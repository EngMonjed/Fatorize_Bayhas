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fatorize_erp_system\SQL Scripts\"/>
    </mc:Choice>
  </mc:AlternateContent>
  <xr:revisionPtr revIDLastSave="0" documentId="13_ncr:9_{4BD7DE4B-C139-4AE5-90A5-849FA77FA480}" xr6:coauthVersionLast="47" xr6:coauthVersionMax="47" xr10:uidLastSave="{00000000-0000-0000-0000-000000000000}"/>
  <bookViews>
    <workbookView xWindow="28680" yWindow="-120" windowWidth="29040" windowHeight="15720" activeTab="1" xr2:uid="{817FC0AE-0967-4F52-8F04-EE9FF0FC522D}"/>
  </bookViews>
  <sheets>
    <sheet name="products" sheetId="2" r:id="rId1"/>
    <sheet name="import_ready-23-8" sheetId="1" r:id="rId2"/>
    <sheet name="Sheet5" sheetId="6" r:id="rId3"/>
    <sheet name="Sheet4" sheetId="5" r:id="rId4"/>
  </sheets>
  <definedNames>
    <definedName name="_xlnm._FilterDatabase" localSheetId="3" hidden="1">Sheet4!#REF!</definedName>
  </definedNames>
  <calcPr calcId="0"/>
</workbook>
</file>

<file path=xl/calcChain.xml><?xml version="1.0" encoding="utf-8"?>
<calcChain xmlns="http://schemas.openxmlformats.org/spreadsheetml/2006/main">
  <c r="L2" i="6" l="1" a="1"/>
  <c r="L2" i="6" s="1"/>
  <c r="M2" i="6" a="1"/>
  <c r="M2" i="6" s="1"/>
  <c r="C2" i="6"/>
  <c r="AF1" i="1" a="1"/>
  <c r="AF1" i="1" s="1"/>
  <c r="AE1" i="1" a="1"/>
  <c r="AE1" i="1" s="1"/>
  <c r="AG1" i="1"/>
  <c r="AD1" i="1" a="1"/>
  <c r="AD1" i="1" s="1"/>
  <c r="AC1" i="1" a="1"/>
  <c r="AC1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Z2" i="1"/>
  <c r="Y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2" i="1"/>
  <c r="W2" i="1" a="1"/>
  <c r="W2" i="1" s="1"/>
  <c r="X2" i="1" a="1"/>
  <c r="X2" i="1" s="1"/>
  <c r="S2" i="1" a="1"/>
  <c r="S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2" i="1"/>
  <c r="R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<sst xmlns="http://schemas.openxmlformats.org/spreadsheetml/2006/main" count="35701" uniqueCount="4117">
  <si>
    <t>model_number</t>
  </si>
  <si>
    <t>product_name</t>
  </si>
  <si>
    <t>category_id</t>
  </si>
  <si>
    <t>supplie_id</t>
  </si>
  <si>
    <t>size</t>
  </si>
  <si>
    <t>age_type</t>
  </si>
  <si>
    <t>selling_price</t>
  </si>
  <si>
    <t>cost_price</t>
  </si>
  <si>
    <t>packet_qty</t>
  </si>
  <si>
    <t>color</t>
  </si>
  <si>
    <t>barcode</t>
  </si>
  <si>
    <t>warehouse_code</t>
  </si>
  <si>
    <t>quantity</t>
  </si>
  <si>
    <t>بنطال كلاسيك</t>
  </si>
  <si>
    <t>سنة</t>
  </si>
  <si>
    <t>أزرق فاتح</t>
  </si>
  <si>
    <t>RET-WH-01</t>
  </si>
  <si>
    <t>أسود</t>
  </si>
  <si>
    <t>أزرق داكن</t>
  </si>
  <si>
    <t>بنطال مطاط كلاسيك</t>
  </si>
  <si>
    <t>أزرق وسط</t>
  </si>
  <si>
    <t>ثلجي</t>
  </si>
  <si>
    <t>بنطال بوي فريند</t>
  </si>
  <si>
    <t>شهر</t>
  </si>
  <si>
    <t>ديرتي</t>
  </si>
  <si>
    <t>بنطال</t>
  </si>
  <si>
    <t>بنطال بوي فرند</t>
  </si>
  <si>
    <t>بنطال اسبنيولي مطاط</t>
  </si>
  <si>
    <t>طقم</t>
  </si>
  <si>
    <t>بني</t>
  </si>
  <si>
    <t>فضي</t>
  </si>
  <si>
    <t>شوكو</t>
  </si>
  <si>
    <t>أبيض</t>
  </si>
  <si>
    <t>سمني</t>
  </si>
  <si>
    <t>اخضر متوسط</t>
  </si>
  <si>
    <t>اخضر</t>
  </si>
  <si>
    <t>طقم شورت</t>
  </si>
  <si>
    <t>زيتي</t>
  </si>
  <si>
    <t>تونز</t>
  </si>
  <si>
    <t>اخضر مائي</t>
  </si>
  <si>
    <t>بنطال اسبنيولي</t>
  </si>
  <si>
    <t>بوي فريند</t>
  </si>
  <si>
    <t>بنطال اسبنيولي مارينز</t>
  </si>
  <si>
    <t>بنطال كلاسيك أسود</t>
  </si>
  <si>
    <t>بنطال جنز</t>
  </si>
  <si>
    <t>بنطال جنز باكي</t>
  </si>
  <si>
    <t>6 اسبنيولي</t>
  </si>
  <si>
    <t>بنطال زارا اسبنيولي</t>
  </si>
  <si>
    <t>طقم شورت كتان</t>
  </si>
  <si>
    <t>بلوزة  فل ليكرا</t>
  </si>
  <si>
    <t>طقم 3 قطع</t>
  </si>
  <si>
    <t>بيجاما</t>
  </si>
  <si>
    <t>فستان</t>
  </si>
  <si>
    <t>بيجام توفليس كبشون</t>
  </si>
  <si>
    <t>بلوزة توفليس كبشون</t>
  </si>
  <si>
    <t>طقم بندكور</t>
  </si>
  <si>
    <t>طقم توينز بنتكور</t>
  </si>
  <si>
    <t>طقم روسيل</t>
  </si>
  <si>
    <t>فستان جود</t>
  </si>
  <si>
    <t>id</t>
  </si>
  <si>
    <t>name</t>
  </si>
  <si>
    <t>age_from</t>
  </si>
  <si>
    <t>age_to</t>
  </si>
  <si>
    <t>age_step</t>
  </si>
  <si>
    <t>packet_size</t>
  </si>
  <si>
    <t>currency</t>
  </si>
  <si>
    <t>discount</t>
  </si>
  <si>
    <t>created_at</t>
  </si>
  <si>
    <t>updated_at</t>
  </si>
  <si>
    <t>user_id</t>
  </si>
  <si>
    <t>full_packet_price</t>
  </si>
  <si>
    <t>unique_code</t>
  </si>
  <si>
    <t>exchange_rate</t>
  </si>
  <si>
    <t>color_enum</t>
  </si>
  <si>
    <t>branch_rate</t>
  </si>
  <si>
    <t>discount_rate</t>
  </si>
  <si>
    <t>notes</t>
  </si>
  <si>
    <t>supplier_id</t>
  </si>
  <si>
    <t>1</t>
  </si>
  <si>
    <t>89260250100479700000</t>
  </si>
  <si>
    <t>01</t>
  </si>
  <si>
    <t>طقم جيب طب كبيشون</t>
  </si>
  <si>
    <t/>
  </si>
  <si>
    <t>6</t>
  </si>
  <si>
    <t>10</t>
  </si>
  <si>
    <t>2</t>
  </si>
  <si>
    <t>3</t>
  </si>
  <si>
    <t>زهري</t>
  </si>
  <si>
    <t>26.00000</t>
  </si>
  <si>
    <t>USD</t>
  </si>
  <si>
    <t>13.00</t>
  </si>
  <si>
    <t>26.00</t>
  </si>
  <si>
    <t>2026-02-07 14:00:00</t>
  </si>
  <si>
    <t>2026-02-08 10:16:32</t>
  </si>
  <si>
    <t>78.00000</t>
  </si>
  <si>
    <t>0.0000</t>
  </si>
  <si>
    <t>0.00000</t>
  </si>
  <si>
    <t>57046981907727500000</t>
  </si>
  <si>
    <t>ذهبي</t>
  </si>
  <si>
    <t>2026-02-08 10:16:35</t>
  </si>
  <si>
    <t>31423687273878500000</t>
  </si>
  <si>
    <t>2026-02-08 10:16:37</t>
  </si>
  <si>
    <t>4</t>
  </si>
  <si>
    <t>93933883254243500000</t>
  </si>
  <si>
    <t>02</t>
  </si>
  <si>
    <t>12</t>
  </si>
  <si>
    <t>16</t>
  </si>
  <si>
    <t>29.00000</t>
  </si>
  <si>
    <t>29.00</t>
  </si>
  <si>
    <t>2026-02-08 10:16:39</t>
  </si>
  <si>
    <t>87.00000</t>
  </si>
  <si>
    <t>5</t>
  </si>
  <si>
    <t>11978296347200700000</t>
  </si>
  <si>
    <t>2026-02-08 10:16:41</t>
  </si>
  <si>
    <t>48944699356080300000</t>
  </si>
  <si>
    <t>2026-02-08 10:16:43</t>
  </si>
  <si>
    <t>7</t>
  </si>
  <si>
    <t>62229779881268000000</t>
  </si>
  <si>
    <t>03</t>
  </si>
  <si>
    <t>طقم سبور أحرف مفنن</t>
  </si>
  <si>
    <t>24.50000</t>
  </si>
  <si>
    <t>24.50</t>
  </si>
  <si>
    <t>2026-02-08 10:16:45</t>
  </si>
  <si>
    <t>73.50000</t>
  </si>
  <si>
    <t>8</t>
  </si>
  <si>
    <t>79352127930728100000</t>
  </si>
  <si>
    <t>خمري</t>
  </si>
  <si>
    <t>2026-02-08 10:16:47</t>
  </si>
  <si>
    <t>9</t>
  </si>
  <si>
    <t>95280224078825300000</t>
  </si>
  <si>
    <t>بيج</t>
  </si>
  <si>
    <t>2026-02-08 10:16:50</t>
  </si>
  <si>
    <t>60373975092269500000</t>
  </si>
  <si>
    <t>2026-02-08 10:16:52</t>
  </si>
  <si>
    <t>11</t>
  </si>
  <si>
    <t>12261711358183500000</t>
  </si>
  <si>
    <t>2026-02-08 10:16:56</t>
  </si>
  <si>
    <t>24201929609298900000</t>
  </si>
  <si>
    <t>04</t>
  </si>
  <si>
    <t>27.50000</t>
  </si>
  <si>
    <t>27.50</t>
  </si>
  <si>
    <t>2026-02-10 08:42:12</t>
  </si>
  <si>
    <t>82.50000</t>
  </si>
  <si>
    <t>13</t>
  </si>
  <si>
    <t>44930121967321000000</t>
  </si>
  <si>
    <t>2026-02-10 08:42:09</t>
  </si>
  <si>
    <t>14</t>
  </si>
  <si>
    <t>44585554114191300000</t>
  </si>
  <si>
    <t>2026-02-10 08:41:56</t>
  </si>
  <si>
    <t>15</t>
  </si>
  <si>
    <t>29772230332742400000</t>
  </si>
  <si>
    <t>2026-02-10 08:41:54</t>
  </si>
  <si>
    <t>73306830645488500000</t>
  </si>
  <si>
    <t>2026-02-10 08:41:51</t>
  </si>
  <si>
    <t>17</t>
  </si>
  <si>
    <t>13088258113827800000</t>
  </si>
  <si>
    <t>07</t>
  </si>
  <si>
    <t>طقم سبور أحرف أتش</t>
  </si>
  <si>
    <t>2026-02-10 09:39:25</t>
  </si>
  <si>
    <t>98.00000</t>
  </si>
  <si>
    <t>18</t>
  </si>
  <si>
    <t>18162366253222500000</t>
  </si>
  <si>
    <t>2026-02-10 09:39:28</t>
  </si>
  <si>
    <t>19</t>
  </si>
  <si>
    <t>9102485467023750000</t>
  </si>
  <si>
    <t>2026-02-10 09:39:30</t>
  </si>
  <si>
    <t>20</t>
  </si>
  <si>
    <t>10687653875332900000</t>
  </si>
  <si>
    <t>2026-02-10 09:39:33</t>
  </si>
  <si>
    <t>21</t>
  </si>
  <si>
    <t>84626909670815000000</t>
  </si>
  <si>
    <t>08</t>
  </si>
  <si>
    <t>2026-02-10 09:44:30</t>
  </si>
  <si>
    <t>110.00000</t>
  </si>
  <si>
    <t>22</t>
  </si>
  <si>
    <t>21638950731720600000</t>
  </si>
  <si>
    <t>2026-02-10 09:46:44</t>
  </si>
  <si>
    <t>23</t>
  </si>
  <si>
    <t>90356468367645900000</t>
  </si>
  <si>
    <t>2026-02-10 09:47:04</t>
  </si>
  <si>
    <t>24</t>
  </si>
  <si>
    <t>84251422972366800000</t>
  </si>
  <si>
    <t>2026-02-10 09:47:23</t>
  </si>
  <si>
    <t>25</t>
  </si>
  <si>
    <t>43818128255205700000</t>
  </si>
  <si>
    <t>طقم جيب فوق جلد</t>
  </si>
  <si>
    <t>27.00000</t>
  </si>
  <si>
    <t>27.00</t>
  </si>
  <si>
    <t>2026-02-10 09:58:44</t>
  </si>
  <si>
    <t>81.00000</t>
  </si>
  <si>
    <t>26</t>
  </si>
  <si>
    <t>23574942941113900000</t>
  </si>
  <si>
    <t>2026-02-10 09:58:38</t>
  </si>
  <si>
    <t>27</t>
  </si>
  <si>
    <t>8315455224899190000</t>
  </si>
  <si>
    <t>2026-02-10 09:58:31</t>
  </si>
  <si>
    <t>28</t>
  </si>
  <si>
    <t>57344651117959500000</t>
  </si>
  <si>
    <t>30.00000</t>
  </si>
  <si>
    <t>30.00</t>
  </si>
  <si>
    <t>2026-02-10 09:58:22</t>
  </si>
  <si>
    <t>90.00000</t>
  </si>
  <si>
    <t>29</t>
  </si>
  <si>
    <t>76832153112680100000</t>
  </si>
  <si>
    <t>2026-02-08 10:17:41</t>
  </si>
  <si>
    <t>30</t>
  </si>
  <si>
    <t>16186846746633700000</t>
  </si>
  <si>
    <t>بني غامق</t>
  </si>
  <si>
    <t>2026-02-08 10:17:44</t>
  </si>
  <si>
    <t>31</t>
  </si>
  <si>
    <t>34757509288646300000</t>
  </si>
  <si>
    <t>طقم طبع وردات</t>
  </si>
  <si>
    <t>2026-02-08 10:17:46</t>
  </si>
  <si>
    <t>32</t>
  </si>
  <si>
    <t>26780371229570700000</t>
  </si>
  <si>
    <t>2026-02-08 10:17:48</t>
  </si>
  <si>
    <t>33</t>
  </si>
  <si>
    <t>38004526528216800000</t>
  </si>
  <si>
    <t>2026-02-08 10:17:50</t>
  </si>
  <si>
    <t>34</t>
  </si>
  <si>
    <t>20038263137149300000</t>
  </si>
  <si>
    <t>2026-02-08 10:17:54</t>
  </si>
  <si>
    <t>35</t>
  </si>
  <si>
    <t>95426123880996800000</t>
  </si>
  <si>
    <t>2026-02-08 10:17:56</t>
  </si>
  <si>
    <t>36</t>
  </si>
  <si>
    <t>59354543362361300000</t>
  </si>
  <si>
    <t>2026-02-08 10:17:58</t>
  </si>
  <si>
    <t>37</t>
  </si>
  <si>
    <t>15989666918505800000</t>
  </si>
  <si>
    <t>طقم طبع بنت فراشة</t>
  </si>
  <si>
    <t>2026-02-08 10:18:00</t>
  </si>
  <si>
    <t>38</t>
  </si>
  <si>
    <t>85381187188266800000</t>
  </si>
  <si>
    <t>2026-02-08 10:18:02</t>
  </si>
  <si>
    <t>39</t>
  </si>
  <si>
    <t>50049678045031000000</t>
  </si>
  <si>
    <t>2026-02-08 10:18:05</t>
  </si>
  <si>
    <t>40</t>
  </si>
  <si>
    <t>11189353165600300000</t>
  </si>
  <si>
    <t>2026-02-08 10:18:08</t>
  </si>
  <si>
    <t>41</t>
  </si>
  <si>
    <t>12116698507990200000</t>
  </si>
  <si>
    <t>2026-02-08 10:18:10</t>
  </si>
  <si>
    <t>42</t>
  </si>
  <si>
    <t>64652254032191200000</t>
  </si>
  <si>
    <t>2026-02-08 10:18:12</t>
  </si>
  <si>
    <t>43</t>
  </si>
  <si>
    <t>87806772071512500000</t>
  </si>
  <si>
    <t>طقم تطريز بولو نصية</t>
  </si>
  <si>
    <t>2026-02-08 10:18:15</t>
  </si>
  <si>
    <t>44</t>
  </si>
  <si>
    <t>90373960324498900000</t>
  </si>
  <si>
    <t>2026-02-08 10:18:18</t>
  </si>
  <si>
    <t>45</t>
  </si>
  <si>
    <t>69301356027593400000</t>
  </si>
  <si>
    <t>2026-02-08 10:18:21</t>
  </si>
  <si>
    <t>46</t>
  </si>
  <si>
    <t>21555913703093400000</t>
  </si>
  <si>
    <t>2026-02-10 10:06:15</t>
  </si>
  <si>
    <t>47</t>
  </si>
  <si>
    <t>30566404886001900000</t>
  </si>
  <si>
    <t>2026-02-10 10:06:27</t>
  </si>
  <si>
    <t>48</t>
  </si>
  <si>
    <t>583621051673655000</t>
  </si>
  <si>
    <t>بني فاتح</t>
  </si>
  <si>
    <t>2026-02-10 10:06:35</t>
  </si>
  <si>
    <t>49</t>
  </si>
  <si>
    <t>95904320879085800000</t>
  </si>
  <si>
    <t>2026-02-10 10:06:43</t>
  </si>
  <si>
    <t>50</t>
  </si>
  <si>
    <t>50346552059713300000</t>
  </si>
  <si>
    <t>طقم تطريز صيني نصية</t>
  </si>
  <si>
    <t>2026-02-08 10:18:33</t>
  </si>
  <si>
    <t>51</t>
  </si>
  <si>
    <t>63325572292992500000</t>
  </si>
  <si>
    <t>2026-02-08 10:18:35</t>
  </si>
  <si>
    <t>52</t>
  </si>
  <si>
    <t>31863357898274200000</t>
  </si>
  <si>
    <t>2026-02-08 10:18:37</t>
  </si>
  <si>
    <t>53</t>
  </si>
  <si>
    <t>3221572662478020000</t>
  </si>
  <si>
    <t>2026-02-08 10:18:40</t>
  </si>
  <si>
    <t>54</t>
  </si>
  <si>
    <t>18684493130346600000</t>
  </si>
  <si>
    <t>2026-02-08 10:18:42</t>
  </si>
  <si>
    <t>55</t>
  </si>
  <si>
    <t>64432356722331900000</t>
  </si>
  <si>
    <t>2026-02-08 10:55:40</t>
  </si>
  <si>
    <t>56</t>
  </si>
  <si>
    <t>65006223401001400000</t>
  </si>
  <si>
    <t>طقم قطع صدرمضلع</t>
  </si>
  <si>
    <t>2026-02-10 11:39:46</t>
  </si>
  <si>
    <t>57</t>
  </si>
  <si>
    <t>16445378665168500000</t>
  </si>
  <si>
    <t>2026-02-10 11:39:49</t>
  </si>
  <si>
    <t>58</t>
  </si>
  <si>
    <t>74417430201369800000</t>
  </si>
  <si>
    <t>2026-02-10 11:39:51</t>
  </si>
  <si>
    <t>59</t>
  </si>
  <si>
    <t>64617398833043500000</t>
  </si>
  <si>
    <t>2026-02-10 11:39:53</t>
  </si>
  <si>
    <t>60</t>
  </si>
  <si>
    <t>18651594291844600000</t>
  </si>
  <si>
    <t>2026-02-10 11:39:55</t>
  </si>
  <si>
    <t>61</t>
  </si>
  <si>
    <t>73565267534242300000</t>
  </si>
  <si>
    <t>2026-02-10 11:39:57</t>
  </si>
  <si>
    <t>62</t>
  </si>
  <si>
    <t>46500260373382500000</t>
  </si>
  <si>
    <t>2026-02-10 11:40:00</t>
  </si>
  <si>
    <t>63</t>
  </si>
  <si>
    <t>45069768626421500000</t>
  </si>
  <si>
    <t>2026-02-10 11:40:02</t>
  </si>
  <si>
    <t>66</t>
  </si>
  <si>
    <t>13469749923478900000</t>
  </si>
  <si>
    <t>3005</t>
  </si>
  <si>
    <t>طقم جونيور سبايدرمان</t>
  </si>
  <si>
    <t>0.00</t>
  </si>
  <si>
    <t>25.00</t>
  </si>
  <si>
    <t>2026-02-16 14:21:28</t>
  </si>
  <si>
    <t>112.01000</t>
  </si>
  <si>
    <t>1.0000</t>
  </si>
  <si>
    <t>7.70000</t>
  </si>
  <si>
    <t>67</t>
  </si>
  <si>
    <t>48143571777691100000</t>
  </si>
  <si>
    <t>5.00</t>
  </si>
  <si>
    <t>2026-02-16 14:21:37</t>
  </si>
  <si>
    <t>68</t>
  </si>
  <si>
    <t>2500446406755980000</t>
  </si>
  <si>
    <t>سماوي</t>
  </si>
  <si>
    <t>2026-04-09 08:51:25</t>
  </si>
  <si>
    <t>69</t>
  </si>
  <si>
    <t>11485050921930500000</t>
  </si>
  <si>
    <t>3004</t>
  </si>
  <si>
    <t>طقم جونيور باتمان</t>
  </si>
  <si>
    <t>ابيض</t>
  </si>
  <si>
    <t>2026-02-16 14:21:42</t>
  </si>
  <si>
    <t>70</t>
  </si>
  <si>
    <t>48082960432038600000</t>
  </si>
  <si>
    <t>بيج فاتح</t>
  </si>
  <si>
    <t>2026-02-16 14:21:44</t>
  </si>
  <si>
    <t>71</t>
  </si>
  <si>
    <t>54972659274059300000</t>
  </si>
  <si>
    <t>151</t>
  </si>
  <si>
    <t>بيجاما ب ب تونز مخمل</t>
  </si>
  <si>
    <t>10.03500</t>
  </si>
  <si>
    <t>9.00</t>
  </si>
  <si>
    <t>2026-02-08 10:19:50</t>
  </si>
  <si>
    <t>120.42000</t>
  </si>
  <si>
    <t>72</t>
  </si>
  <si>
    <t>32848685793820600000</t>
  </si>
  <si>
    <t>142</t>
  </si>
  <si>
    <t>أزرق غامق</t>
  </si>
  <si>
    <t>10.00000</t>
  </si>
  <si>
    <t>2026-02-09 18:03:00</t>
  </si>
  <si>
    <t>11.10000</t>
  </si>
  <si>
    <t>73</t>
  </si>
  <si>
    <t>60104410693050800000</t>
  </si>
  <si>
    <t>148</t>
  </si>
  <si>
    <t>بيجاما ب ب تونز فليس</t>
  </si>
  <si>
    <t>2026-02-08 10:19:46</t>
  </si>
  <si>
    <t>74</t>
  </si>
  <si>
    <t>61396923805116800000</t>
  </si>
  <si>
    <t>140</t>
  </si>
  <si>
    <t>2026-02-08 10:54:54</t>
  </si>
  <si>
    <t>75</t>
  </si>
  <si>
    <t>58117647364656600000</t>
  </si>
  <si>
    <t>131</t>
  </si>
  <si>
    <t>2026-02-08 10:54:46</t>
  </si>
  <si>
    <t>76</t>
  </si>
  <si>
    <t>13128144854598200000</t>
  </si>
  <si>
    <t>149</t>
  </si>
  <si>
    <t>بيجاما ب ب فليس كبيشون</t>
  </si>
  <si>
    <t>9.00000</t>
  </si>
  <si>
    <t>7.50</t>
  </si>
  <si>
    <t>2026-02-08 10:19:41</t>
  </si>
  <si>
    <t>108.00000</t>
  </si>
  <si>
    <t>77</t>
  </si>
  <si>
    <t>50293630135269200000</t>
  </si>
  <si>
    <t>3600</t>
  </si>
  <si>
    <t>بنطال ولادي كلاسيك</t>
  </si>
  <si>
    <t>3.60750</t>
  </si>
  <si>
    <t>3.25</t>
  </si>
  <si>
    <t>2026-02-08 10:05:39</t>
  </si>
  <si>
    <t>14.43000</t>
  </si>
  <si>
    <t>78</t>
  </si>
  <si>
    <t>24488699568729600000</t>
  </si>
  <si>
    <t>2026-02-08 10:05:42</t>
  </si>
  <si>
    <t>79</t>
  </si>
  <si>
    <t>47690898373307600000</t>
  </si>
  <si>
    <t>2026-02-08 10:05:44</t>
  </si>
  <si>
    <t>80</t>
  </si>
  <si>
    <t>2522762851635530000</t>
  </si>
  <si>
    <t>2026-02-07 14:25:19</t>
  </si>
  <si>
    <t>81</t>
  </si>
  <si>
    <t>35552367633501100000</t>
  </si>
  <si>
    <t>4.10700</t>
  </si>
  <si>
    <t>3.70</t>
  </si>
  <si>
    <t>16.43000</t>
  </si>
  <si>
    <t>82</t>
  </si>
  <si>
    <t>21535776401721300000</t>
  </si>
  <si>
    <t>83</t>
  </si>
  <si>
    <t>14070675373102300000</t>
  </si>
  <si>
    <t>84</t>
  </si>
  <si>
    <t>2174213615390620000</t>
  </si>
  <si>
    <t>85</t>
  </si>
  <si>
    <t>45562692273109600000</t>
  </si>
  <si>
    <t>4.60650</t>
  </si>
  <si>
    <t>4.15</t>
  </si>
  <si>
    <t>18.43000</t>
  </si>
  <si>
    <t>86</t>
  </si>
  <si>
    <t>24063316850802200000</t>
  </si>
  <si>
    <t>87</t>
  </si>
  <si>
    <t>82111193222197200000</t>
  </si>
  <si>
    <t>88</t>
  </si>
  <si>
    <t>38831770669160500000</t>
  </si>
  <si>
    <t>89</t>
  </si>
  <si>
    <t>64340812715019700000</t>
  </si>
  <si>
    <t>4.99500</t>
  </si>
  <si>
    <t>4.50</t>
  </si>
  <si>
    <t>19.98000</t>
  </si>
  <si>
    <t>90</t>
  </si>
  <si>
    <t>72354194930790300000</t>
  </si>
  <si>
    <t>91</t>
  </si>
  <si>
    <t>57742462996482400000</t>
  </si>
  <si>
    <t>92</t>
  </si>
  <si>
    <t>63199260676799000000</t>
  </si>
  <si>
    <t>93</t>
  </si>
  <si>
    <t>71729395141380800000</t>
  </si>
  <si>
    <t>3601</t>
  </si>
  <si>
    <t>3.70000</t>
  </si>
  <si>
    <t>2026-02-12 13:04:16</t>
  </si>
  <si>
    <t>13.80000</t>
  </si>
  <si>
    <t>94</t>
  </si>
  <si>
    <t>74185810997570400000</t>
  </si>
  <si>
    <t>2026-02-12 13:05:02</t>
  </si>
  <si>
    <t>95</t>
  </si>
  <si>
    <t>14866071455313900000</t>
  </si>
  <si>
    <t>2026-02-12 13:05:09</t>
  </si>
  <si>
    <t>96</t>
  </si>
  <si>
    <t>68967391843010300000</t>
  </si>
  <si>
    <t>2026-02-12 13:05:19</t>
  </si>
  <si>
    <t>97</t>
  </si>
  <si>
    <t>61575046290555300000</t>
  </si>
  <si>
    <t>4.10001</t>
  </si>
  <si>
    <t>2026-02-12 13:19:21</t>
  </si>
  <si>
    <t>16.40004</t>
  </si>
  <si>
    <t>10.81100</t>
  </si>
  <si>
    <t>98</t>
  </si>
  <si>
    <t>13993324507855600000</t>
  </si>
  <si>
    <t>2026-02-12 13:19:32</t>
  </si>
  <si>
    <t>99</t>
  </si>
  <si>
    <t>93709380972106100000</t>
  </si>
  <si>
    <t>2026-02-12 13:19:40</t>
  </si>
  <si>
    <t>100</t>
  </si>
  <si>
    <t>72110697461249300000</t>
  </si>
  <si>
    <t>2026-02-12 13:19:47</t>
  </si>
  <si>
    <t>101</t>
  </si>
  <si>
    <t>37912302738881200000</t>
  </si>
  <si>
    <t>4.60003</t>
  </si>
  <si>
    <t>2026-02-12 13:22:03</t>
  </si>
  <si>
    <t>18.40012</t>
  </si>
  <si>
    <t>10.84400</t>
  </si>
  <si>
    <t>102</t>
  </si>
  <si>
    <t>21087299478804200000</t>
  </si>
  <si>
    <t>2026-02-12 13:22:09</t>
  </si>
  <si>
    <t>103</t>
  </si>
  <si>
    <t>91111988925482900000</t>
  </si>
  <si>
    <t>2026-02-12 13:22:15</t>
  </si>
  <si>
    <t>104</t>
  </si>
  <si>
    <t>35035358920553600000</t>
  </si>
  <si>
    <t>2026-02-12 13:22:19</t>
  </si>
  <si>
    <t>105</t>
  </si>
  <si>
    <t>59517511288037600000</t>
  </si>
  <si>
    <t>5.00040</t>
  </si>
  <si>
    <t>2026-02-12 13:23:23</t>
  </si>
  <si>
    <t>20.00160</t>
  </si>
  <si>
    <t>11.12000</t>
  </si>
  <si>
    <t>106</t>
  </si>
  <si>
    <t>90479754525723900000</t>
  </si>
  <si>
    <t>2026-02-12 13:23:27</t>
  </si>
  <si>
    <t>107</t>
  </si>
  <si>
    <t>80101504276436000000</t>
  </si>
  <si>
    <t>2026-02-12 13:23:31</t>
  </si>
  <si>
    <t>108</t>
  </si>
  <si>
    <t>24631262967541800000</t>
  </si>
  <si>
    <t>2026-02-12 13:23:38</t>
  </si>
  <si>
    <t>109</t>
  </si>
  <si>
    <t>98370536278704500000</t>
  </si>
  <si>
    <t>5014</t>
  </si>
  <si>
    <t>بنطال بناتي اسبانيول كلاسيك</t>
  </si>
  <si>
    <t>5.70000</t>
  </si>
  <si>
    <t>4.00</t>
  </si>
  <si>
    <t>5.20</t>
  </si>
  <si>
    <t>2026-03-17 13:06:10</t>
  </si>
  <si>
    <t>22.80000</t>
  </si>
  <si>
    <t>110</t>
  </si>
  <si>
    <t>79237453115707500000</t>
  </si>
  <si>
    <t>2026-03-17 13:06:52</t>
  </si>
  <si>
    <t>111</t>
  </si>
  <si>
    <t>30042122221677900000</t>
  </si>
  <si>
    <t>2026-03-17 13:07:18</t>
  </si>
  <si>
    <t>112</t>
  </si>
  <si>
    <t>1797874556894190000</t>
  </si>
  <si>
    <t>6.30000</t>
  </si>
  <si>
    <t>5.75</t>
  </si>
  <si>
    <t>2026-03-17 13:07:57</t>
  </si>
  <si>
    <t>25.20000</t>
  </si>
  <si>
    <t>113</t>
  </si>
  <si>
    <t>53897452298777500000</t>
  </si>
  <si>
    <t>2026-03-17 13:08:17</t>
  </si>
  <si>
    <t>114</t>
  </si>
  <si>
    <t>44635683115451800000</t>
  </si>
  <si>
    <t>2026-03-17 13:08:35</t>
  </si>
  <si>
    <t>115</t>
  </si>
  <si>
    <t>66413849692636600000</t>
  </si>
  <si>
    <t>7.10000</t>
  </si>
  <si>
    <t>6.45</t>
  </si>
  <si>
    <t>2026-03-17 13:09:00</t>
  </si>
  <si>
    <t>28.40000</t>
  </si>
  <si>
    <t>116</t>
  </si>
  <si>
    <t>98480859360608900000</t>
  </si>
  <si>
    <t>2026-03-17 13:09:16</t>
  </si>
  <si>
    <t>117</t>
  </si>
  <si>
    <t>13451459332498300000</t>
  </si>
  <si>
    <t>2026-03-17 13:09:33</t>
  </si>
  <si>
    <t>118</t>
  </si>
  <si>
    <t>44630452477783850000</t>
  </si>
  <si>
    <t>2351</t>
  </si>
  <si>
    <t>طقم تايغر</t>
  </si>
  <si>
    <t>قرميدي</t>
  </si>
  <si>
    <t>22.00000</t>
  </si>
  <si>
    <t>20.00</t>
  </si>
  <si>
    <t>2026-02-08 15:07:18</t>
  </si>
  <si>
    <t>119</t>
  </si>
  <si>
    <t>73858612898647500000</t>
  </si>
  <si>
    <t>بني محروق</t>
  </si>
  <si>
    <t>2026-02-08 15:24:12</t>
  </si>
  <si>
    <t>2026-02-08 15:28:15</t>
  </si>
  <si>
    <t>120</t>
  </si>
  <si>
    <t>15372935032809042000</t>
  </si>
  <si>
    <t>2026-02-08 15:29:50</t>
  </si>
  <si>
    <t>2026-02-08 15:32:47</t>
  </si>
  <si>
    <t>121</t>
  </si>
  <si>
    <t>47154290331766325000</t>
  </si>
  <si>
    <t>أصفر</t>
  </si>
  <si>
    <t>2026-02-08 15:34:37</t>
  </si>
  <si>
    <t>122</t>
  </si>
  <si>
    <t>53163523670401850000</t>
  </si>
  <si>
    <t>2026-02-08 15:41:36</t>
  </si>
  <si>
    <t>123</t>
  </si>
  <si>
    <t>44795117583143720000</t>
  </si>
  <si>
    <t>2151</t>
  </si>
  <si>
    <t>23.98000</t>
  </si>
  <si>
    <t>22.00</t>
  </si>
  <si>
    <t>2026-02-08 15:58:01</t>
  </si>
  <si>
    <t>124</t>
  </si>
  <si>
    <t>83181679193278610000</t>
  </si>
  <si>
    <t>2026-02-08 15:58:53</t>
  </si>
  <si>
    <t>125</t>
  </si>
  <si>
    <t>43566203545585200000</t>
  </si>
  <si>
    <t>2026-02-08 16:00:15</t>
  </si>
  <si>
    <t>126</t>
  </si>
  <si>
    <t>28599645920234643000</t>
  </si>
  <si>
    <t>2026-02-08 16:00:40</t>
  </si>
  <si>
    <t>127</t>
  </si>
  <si>
    <t>25958369312013040000</t>
  </si>
  <si>
    <t>2026-02-08 16:00:59</t>
  </si>
  <si>
    <t>129</t>
  </si>
  <si>
    <t>63710176056563940000</t>
  </si>
  <si>
    <t>2155</t>
  </si>
  <si>
    <t>طقم سباير</t>
  </si>
  <si>
    <t>2026-02-08 16:57:15</t>
  </si>
  <si>
    <t>130</t>
  </si>
  <si>
    <t>65313613713405690000</t>
  </si>
  <si>
    <t>2026-02-08 16:58:37</t>
  </si>
  <si>
    <t>92333306356540360000</t>
  </si>
  <si>
    <t>2026-02-08 17:01:13</t>
  </si>
  <si>
    <t>132</t>
  </si>
  <si>
    <t>56218869983163154000</t>
  </si>
  <si>
    <t>2026-02-08 17:01:38</t>
  </si>
  <si>
    <t>133</t>
  </si>
  <si>
    <t>35777489933237354000</t>
  </si>
  <si>
    <t>2355</t>
  </si>
  <si>
    <t>21.00000</t>
  </si>
  <si>
    <t>19.00</t>
  </si>
  <si>
    <t>2026-02-08 17:06:51</t>
  </si>
  <si>
    <t>10.50000</t>
  </si>
  <si>
    <t>134</t>
  </si>
  <si>
    <t>99755006596230900000</t>
  </si>
  <si>
    <t>2026-02-08 17:07:23</t>
  </si>
  <si>
    <t>135</t>
  </si>
  <si>
    <t>77011097245796300000</t>
  </si>
  <si>
    <t>2026-02-08 17:07:47</t>
  </si>
  <si>
    <t>136</t>
  </si>
  <si>
    <t>23412639435517510000</t>
  </si>
  <si>
    <t>2026-02-08 17:07:59</t>
  </si>
  <si>
    <t>137</t>
  </si>
  <si>
    <t>87870263737152910000</t>
  </si>
  <si>
    <t>طقم جونيور سبايدرن مان</t>
  </si>
  <si>
    <t>2026-02-12 16:15:57</t>
  </si>
  <si>
    <t>2026-02-16 14:21:47</t>
  </si>
  <si>
    <t>112.00000</t>
  </si>
  <si>
    <t>12.00000</t>
  </si>
  <si>
    <t>138</t>
  </si>
  <si>
    <t>58740252546188790000</t>
  </si>
  <si>
    <t>بيج غامق</t>
  </si>
  <si>
    <t>2026-02-12 16:16:35</t>
  </si>
  <si>
    <t>2026-02-16 14:21:49</t>
  </si>
  <si>
    <t>139</t>
  </si>
  <si>
    <t>20168065959426090000</t>
  </si>
  <si>
    <t>2026-02-12 16:17:56</t>
  </si>
  <si>
    <t>2026-02-16 14:21:51</t>
  </si>
  <si>
    <t>62285675894468490000</t>
  </si>
  <si>
    <t>2026-02-12 16:18:11</t>
  </si>
  <si>
    <t>2026-02-16 14:21:54</t>
  </si>
  <si>
    <t>141</t>
  </si>
  <si>
    <t>98197764965751950000</t>
  </si>
  <si>
    <t>2026-02-12 16:18:52</t>
  </si>
  <si>
    <t>2026-02-16 14:21:56</t>
  </si>
  <si>
    <t>73132080864602840000</t>
  </si>
  <si>
    <t>2026-02-12 16:21:09</t>
  </si>
  <si>
    <t>2026-02-16 14:21:59</t>
  </si>
  <si>
    <t>143</t>
  </si>
  <si>
    <t>28454216384105808000</t>
  </si>
  <si>
    <t>2026-02-12 16:21:23</t>
  </si>
  <si>
    <t>2026-02-16 14:22:01</t>
  </si>
  <si>
    <t>144</t>
  </si>
  <si>
    <t>88981029717360250000</t>
  </si>
  <si>
    <t>2026-02-12 16:21:38</t>
  </si>
  <si>
    <t>2026-02-16 14:24:33</t>
  </si>
  <si>
    <t>145</t>
  </si>
  <si>
    <t>47830516345209370000</t>
  </si>
  <si>
    <t>2158</t>
  </si>
  <si>
    <t>طقم وسط صبياني كابتن</t>
  </si>
  <si>
    <t>24.00000</t>
  </si>
  <si>
    <t>2026-02-16 16:17:09</t>
  </si>
  <si>
    <t>96.00000</t>
  </si>
  <si>
    <t>9.09091</t>
  </si>
  <si>
    <t>146</t>
  </si>
  <si>
    <t>23561791299114377000</t>
  </si>
  <si>
    <t>2026-02-16 16:17:25</t>
  </si>
  <si>
    <t>2026-03-04 10:22:21</t>
  </si>
  <si>
    <t>147</t>
  </si>
  <si>
    <t>31673183252673343000</t>
  </si>
  <si>
    <t>2026-02-16 16:17:44</t>
  </si>
  <si>
    <t>67243002673136680000</t>
  </si>
  <si>
    <t>2026-02-16 16:17:58</t>
  </si>
  <si>
    <t>81144691418100830000</t>
  </si>
  <si>
    <t>2026-02-16 16:18:15</t>
  </si>
  <si>
    <t>150</t>
  </si>
  <si>
    <t>47307834972375750000</t>
  </si>
  <si>
    <t>2026-02-16 16:18:30</t>
  </si>
  <si>
    <t>25275719873957306000</t>
  </si>
  <si>
    <t>2026-02-16 16:24:23</t>
  </si>
  <si>
    <t>152</t>
  </si>
  <si>
    <t>64864357446897150000</t>
  </si>
  <si>
    <t>2358</t>
  </si>
  <si>
    <t>طقمم ب ب صبياني كابتن</t>
  </si>
  <si>
    <t>2026-02-18 12:46:51</t>
  </si>
  <si>
    <t>88.00000</t>
  </si>
  <si>
    <t>153</t>
  </si>
  <si>
    <t>77086712187021980000</t>
  </si>
  <si>
    <t>2026-02-18 12:47:12</t>
  </si>
  <si>
    <t>154</t>
  </si>
  <si>
    <t>72504893191998020000</t>
  </si>
  <si>
    <t>2026-02-18 12:47:25</t>
  </si>
  <si>
    <t>2026-02-18 09:56:57</t>
  </si>
  <si>
    <t>155</t>
  </si>
  <si>
    <t>60205194210443090000</t>
  </si>
  <si>
    <t>2026-02-18 12:47:35</t>
  </si>
  <si>
    <t>156</t>
  </si>
  <si>
    <t>92135431144931660000</t>
  </si>
  <si>
    <t>5022</t>
  </si>
  <si>
    <t>بنطال بناتي</t>
  </si>
  <si>
    <t>4.50000</t>
  </si>
  <si>
    <t>2026-02-21 11:40:01</t>
  </si>
  <si>
    <t>2026-03-04 10:08:02</t>
  </si>
  <si>
    <t>18.00000</t>
  </si>
  <si>
    <t>157</t>
  </si>
  <si>
    <t>78703368819660620000</t>
  </si>
  <si>
    <t>2026-02-21 11:40:14</t>
  </si>
  <si>
    <t>2026-03-04 10:08:12</t>
  </si>
  <si>
    <t>158</t>
  </si>
  <si>
    <t>49131729822106300000</t>
  </si>
  <si>
    <t>2026-02-21 11:40:56</t>
  </si>
  <si>
    <t>2026-03-04 10:08:21</t>
  </si>
  <si>
    <t>159</t>
  </si>
  <si>
    <t>50653476233830810000</t>
  </si>
  <si>
    <t>5.10000</t>
  </si>
  <si>
    <t>4.55</t>
  </si>
  <si>
    <t>2026-02-21 11:44:41</t>
  </si>
  <si>
    <t>25.50000</t>
  </si>
  <si>
    <t>12.08791</t>
  </si>
  <si>
    <t>160</t>
  </si>
  <si>
    <t>57361604687721570000</t>
  </si>
  <si>
    <t>2026-02-21 11:44:55</t>
  </si>
  <si>
    <t>161</t>
  </si>
  <si>
    <t>83475395305997600000</t>
  </si>
  <si>
    <t>2026-02-21 11:45:04</t>
  </si>
  <si>
    <t>162</t>
  </si>
  <si>
    <t>19449013330595850000</t>
  </si>
  <si>
    <t>طقم بناتي سقطات نصية</t>
  </si>
  <si>
    <t>23.49</t>
  </si>
  <si>
    <t>2026-02-22 12:42:01</t>
  </si>
  <si>
    <t>14.94253</t>
  </si>
  <si>
    <t>163</t>
  </si>
  <si>
    <t>16406798608536381000</t>
  </si>
  <si>
    <t>2026-02-22 12:42:11</t>
  </si>
  <si>
    <t>164</t>
  </si>
  <si>
    <t>68083205963774790000</t>
  </si>
  <si>
    <t>2026-02-22 12:43:43</t>
  </si>
  <si>
    <t>165</t>
  </si>
  <si>
    <t>87881798611623990000</t>
  </si>
  <si>
    <t>طقم بناتي سقطات نصية محير</t>
  </si>
  <si>
    <t>26.10</t>
  </si>
  <si>
    <t>2026-02-22 12:45:54</t>
  </si>
  <si>
    <t>11.11111</t>
  </si>
  <si>
    <t>166</t>
  </si>
  <si>
    <t>49537746122822180000</t>
  </si>
  <si>
    <t>2026-02-22 12:46:09</t>
  </si>
  <si>
    <t>167</t>
  </si>
  <si>
    <t>90319787527702480000</t>
  </si>
  <si>
    <t>2026-02-22 12:46:26</t>
  </si>
  <si>
    <t>176</t>
  </si>
  <si>
    <t>13798184355511069000</t>
  </si>
  <si>
    <t>5040</t>
  </si>
  <si>
    <t>4.90000</t>
  </si>
  <si>
    <t>4.22</t>
  </si>
  <si>
    <t>2026-02-24 12:52:57</t>
  </si>
  <si>
    <t>2026-03-04 10:03:57</t>
  </si>
  <si>
    <t>19.60000</t>
  </si>
  <si>
    <t>14.69194</t>
  </si>
  <si>
    <t>177</t>
  </si>
  <si>
    <t>52402250027037880000</t>
  </si>
  <si>
    <t>2026-03-04 10:03:45</t>
  </si>
  <si>
    <t>178</t>
  </si>
  <si>
    <t>67481132202082870000</t>
  </si>
  <si>
    <t>4.70</t>
  </si>
  <si>
    <t>2026-02-24 12:57:06</t>
  </si>
  <si>
    <t>2026-03-04 10:04:36</t>
  </si>
  <si>
    <t>20.40000</t>
  </si>
  <si>
    <t>10.21277</t>
  </si>
  <si>
    <t>179</t>
  </si>
  <si>
    <t>24998826989940590000</t>
  </si>
  <si>
    <t>2026-02-24 12:57:07</t>
  </si>
  <si>
    <t>2026-03-04 10:03:11</t>
  </si>
  <si>
    <t>180</t>
  </si>
  <si>
    <t>25487736221186286000</t>
  </si>
  <si>
    <t>6.12000</t>
  </si>
  <si>
    <t>5.28</t>
  </si>
  <si>
    <t>2026-02-24 12:57:58</t>
  </si>
  <si>
    <t>2026-03-04 10:01:44</t>
  </si>
  <si>
    <t>24.48000</t>
  </si>
  <si>
    <t>181</t>
  </si>
  <si>
    <t>47502929700581810000</t>
  </si>
  <si>
    <t>2026-02-24 12:57:59</t>
  </si>
  <si>
    <t>2026-03-04 10:02:47</t>
  </si>
  <si>
    <t>10.03788</t>
  </si>
  <si>
    <t>182</t>
  </si>
  <si>
    <t>22922458095518050000</t>
  </si>
  <si>
    <t>1022</t>
  </si>
  <si>
    <t>3.60000</t>
  </si>
  <si>
    <t>3.16</t>
  </si>
  <si>
    <t>2026-03-02 10:24:59</t>
  </si>
  <si>
    <t>14.40000</t>
  </si>
  <si>
    <t>13.92405</t>
  </si>
  <si>
    <t>183</t>
  </si>
  <si>
    <t>90588507976608970000</t>
  </si>
  <si>
    <t>184</t>
  </si>
  <si>
    <t>75586200700683060000</t>
  </si>
  <si>
    <t>2026-03-02 10:25:00</t>
  </si>
  <si>
    <t>185</t>
  </si>
  <si>
    <t>27452239357303300000</t>
  </si>
  <si>
    <t>4.10000</t>
  </si>
  <si>
    <t>3.60</t>
  </si>
  <si>
    <t>2026-03-02 10:27:31</t>
  </si>
  <si>
    <t>16.40000</t>
  </si>
  <si>
    <t>13.88889</t>
  </si>
  <si>
    <t>186</t>
  </si>
  <si>
    <t>53372060213785390000</t>
  </si>
  <si>
    <t>2026-03-02 10:27:32</t>
  </si>
  <si>
    <t>187</t>
  </si>
  <si>
    <t>13522708095014806000</t>
  </si>
  <si>
    <t>188</t>
  </si>
  <si>
    <t>88609951767871500000</t>
  </si>
  <si>
    <t>4.70000</t>
  </si>
  <si>
    <t>4.03</t>
  </si>
  <si>
    <t>2026-03-02 10:29:37</t>
  </si>
  <si>
    <t>18.80000</t>
  </si>
  <si>
    <t>16.62531</t>
  </si>
  <si>
    <t>189</t>
  </si>
  <si>
    <t>86363220073269130000</t>
  </si>
  <si>
    <t>2026-03-02 10:29:39</t>
  </si>
  <si>
    <t>190</t>
  </si>
  <si>
    <t>34669293560758653000</t>
  </si>
  <si>
    <t>191</t>
  </si>
  <si>
    <t>79381630955342000000</t>
  </si>
  <si>
    <t>5.00000</t>
  </si>
  <si>
    <t>4.36</t>
  </si>
  <si>
    <t>2026-03-02 10:30:27</t>
  </si>
  <si>
    <t>20.00000</t>
  </si>
  <si>
    <t>14.67890</t>
  </si>
  <si>
    <t>192</t>
  </si>
  <si>
    <t>30866821840538173000</t>
  </si>
  <si>
    <t>2026-03-02 10:30:28</t>
  </si>
  <si>
    <t>193</t>
  </si>
  <si>
    <t>86544463931717620000</t>
  </si>
  <si>
    <t>2026-03-02 10:30:29</t>
  </si>
  <si>
    <t>195</t>
  </si>
  <si>
    <t>70436322867756370000</t>
  </si>
  <si>
    <t>653</t>
  </si>
  <si>
    <t>طقم ب ب صبياني</t>
  </si>
  <si>
    <t>23.59800</t>
  </si>
  <si>
    <t>10.00</t>
  </si>
  <si>
    <t>23.00</t>
  </si>
  <si>
    <t>2026-03-02 15:14:55</t>
  </si>
  <si>
    <t>2026-03-03 10:51:27</t>
  </si>
  <si>
    <t>94.39200</t>
  </si>
  <si>
    <t>14.00000</t>
  </si>
  <si>
    <t>196</t>
  </si>
  <si>
    <t>34671845007298410000</t>
  </si>
  <si>
    <t>2026-03-02 15:14:56</t>
  </si>
  <si>
    <t>2026-03-03 10:52:04</t>
  </si>
  <si>
    <t>197</t>
  </si>
  <si>
    <t>80196684504407820000</t>
  </si>
  <si>
    <t>2356</t>
  </si>
  <si>
    <t>طقم ب ب صبياني باتمان</t>
  </si>
  <si>
    <t>23.00000</t>
  </si>
  <si>
    <t>21.00</t>
  </si>
  <si>
    <t>2026-03-02 15:18:11</t>
  </si>
  <si>
    <t>2026-03-04 10:17:06</t>
  </si>
  <si>
    <t>92.00000</t>
  </si>
  <si>
    <t>15.28822</t>
  </si>
  <si>
    <t>198</t>
  </si>
  <si>
    <t>55597102651942320000</t>
  </si>
  <si>
    <t>2026-03-02 15:18:12</t>
  </si>
  <si>
    <t>2026-03-04 10:17:16</t>
  </si>
  <si>
    <t>199</t>
  </si>
  <si>
    <t>59966571478984960000</t>
  </si>
  <si>
    <t>2026-03-04 10:17:26</t>
  </si>
  <si>
    <t>200</t>
  </si>
  <si>
    <t>11694240213268273000</t>
  </si>
  <si>
    <t>2026-03-02 15:18:13</t>
  </si>
  <si>
    <t>2026-03-04 10:17:38</t>
  </si>
  <si>
    <t>201</t>
  </si>
  <si>
    <t>27642634662082700000</t>
  </si>
  <si>
    <t>2026-03-02 15:18:14</t>
  </si>
  <si>
    <t>2026-03-04 10:23:19</t>
  </si>
  <si>
    <t>202</t>
  </si>
  <si>
    <t>60530344597916000000</t>
  </si>
  <si>
    <t>2026-03-02 15:18:15</t>
  </si>
  <si>
    <t>2026-03-04 10:17:49</t>
  </si>
  <si>
    <t>203</t>
  </si>
  <si>
    <t>88946678175738090000</t>
  </si>
  <si>
    <t>طقم جونيور صبياني</t>
  </si>
  <si>
    <t>23.75</t>
  </si>
  <si>
    <t>2026-03-03 10:21:36</t>
  </si>
  <si>
    <t>13.68421</t>
  </si>
  <si>
    <t>204</t>
  </si>
  <si>
    <t>24832028906270433000</t>
  </si>
  <si>
    <t>2026-03-03 10:21:37</t>
  </si>
  <si>
    <t>205</t>
  </si>
  <si>
    <t>66412550962515845000</t>
  </si>
  <si>
    <t>2026-03-03 10:21:38</t>
  </si>
  <si>
    <t>206</t>
  </si>
  <si>
    <t>14628037951363826000</t>
  </si>
  <si>
    <t>207</t>
  </si>
  <si>
    <t>45958899355173765000</t>
  </si>
  <si>
    <t>طقم  ب ب صبياني</t>
  </si>
  <si>
    <t>2026-03-03 10:26:09</t>
  </si>
  <si>
    <t>2026-03-03 10:37:40</t>
  </si>
  <si>
    <t>15.78947</t>
  </si>
  <si>
    <t>208</t>
  </si>
  <si>
    <t>88963391784076700000</t>
  </si>
  <si>
    <t>23.15789</t>
  </si>
  <si>
    <t>2026-03-03 10:26:10</t>
  </si>
  <si>
    <t>2026-03-03 10:37:58</t>
  </si>
  <si>
    <t>92.63156</t>
  </si>
  <si>
    <t>209</t>
  </si>
  <si>
    <t>59299303710172620000</t>
  </si>
  <si>
    <t>2026-03-03 10:44:42</t>
  </si>
  <si>
    <t>2026-03-03 11:08:41</t>
  </si>
  <si>
    <t>210</t>
  </si>
  <si>
    <t>48345374037560310000</t>
  </si>
  <si>
    <t>2026-03-03 10:44:43</t>
  </si>
  <si>
    <t>2026-03-03 10:52:41</t>
  </si>
  <si>
    <t>211</t>
  </si>
  <si>
    <t>72671680665105840000</t>
  </si>
  <si>
    <t>طقم صبياني</t>
  </si>
  <si>
    <t>18.90</t>
  </si>
  <si>
    <t>2026-03-03 11:05:16</t>
  </si>
  <si>
    <t>16.40212</t>
  </si>
  <si>
    <t>212</t>
  </si>
  <si>
    <t>68510278409616070000</t>
  </si>
  <si>
    <t>2026-03-07 16:39:21</t>
  </si>
  <si>
    <t>72.00000</t>
  </si>
  <si>
    <t>213</t>
  </si>
  <si>
    <t>93784878419143000000</t>
  </si>
  <si>
    <t>5051</t>
  </si>
  <si>
    <t>5.80000</t>
  </si>
  <si>
    <t>2026-03-15 09:55:54</t>
  </si>
  <si>
    <t>23.20000</t>
  </si>
  <si>
    <t>11.53846</t>
  </si>
  <si>
    <t>214</t>
  </si>
  <si>
    <t>65410428425639305000</t>
  </si>
  <si>
    <t>2026-03-15 09:55:55</t>
  </si>
  <si>
    <t>215</t>
  </si>
  <si>
    <t>99279496324273000000</t>
  </si>
  <si>
    <t>2026-03-15 09:55:56</t>
  </si>
  <si>
    <t>216</t>
  </si>
  <si>
    <t>23349872168987427000</t>
  </si>
  <si>
    <t>6.40000</t>
  </si>
  <si>
    <t>2026-03-15 09:57:00</t>
  </si>
  <si>
    <t>25.60000</t>
  </si>
  <si>
    <t>11.30435</t>
  </si>
  <si>
    <t>217</t>
  </si>
  <si>
    <t>11172371151901387000</t>
  </si>
  <si>
    <t>2026-03-15 09:57:01</t>
  </si>
  <si>
    <t>218</t>
  </si>
  <si>
    <t>45235176341434310000</t>
  </si>
  <si>
    <t>2026-03-15 09:57:02</t>
  </si>
  <si>
    <t>219</t>
  </si>
  <si>
    <t>53014694244798190000</t>
  </si>
  <si>
    <t>2026-03-15 09:58:04</t>
  </si>
  <si>
    <t>10.07752</t>
  </si>
  <si>
    <t>220</t>
  </si>
  <si>
    <t>19945158556869600000</t>
  </si>
  <si>
    <t>2026-03-15 09:58:05</t>
  </si>
  <si>
    <t>221</t>
  </si>
  <si>
    <t>90567805021720770000</t>
  </si>
  <si>
    <t>222</t>
  </si>
  <si>
    <t>65172521082807400000</t>
  </si>
  <si>
    <t>1049</t>
  </si>
  <si>
    <t>ولادي كلاسيك ZARA</t>
  </si>
  <si>
    <t>4.00000</t>
  </si>
  <si>
    <t>3.75</t>
  </si>
  <si>
    <t>2026-03-17 16:24:01</t>
  </si>
  <si>
    <t>2026-03-17 16:33:09</t>
  </si>
  <si>
    <t>16.00000</t>
  </si>
  <si>
    <t>6.66667</t>
  </si>
  <si>
    <t>223</t>
  </si>
  <si>
    <t>18015131566469260000</t>
  </si>
  <si>
    <t>2026-03-17 16:24:03</t>
  </si>
  <si>
    <t>2026-03-17 16:32:55</t>
  </si>
  <si>
    <t>224</t>
  </si>
  <si>
    <t>22641482675322503000</t>
  </si>
  <si>
    <t>2026-03-17 16:24:04</t>
  </si>
  <si>
    <t>2026-03-17 16:32:40</t>
  </si>
  <si>
    <t>225</t>
  </si>
  <si>
    <t>46463128073126120000</t>
  </si>
  <si>
    <t>2026-03-17 16:25:08</t>
  </si>
  <si>
    <t>2026-03-17 16:30:54</t>
  </si>
  <si>
    <t>8.43373</t>
  </si>
  <si>
    <t>226</t>
  </si>
  <si>
    <t>59679974927738724000</t>
  </si>
  <si>
    <t>2026-03-17 16:25:11</t>
  </si>
  <si>
    <t>2026-03-17 16:31:55</t>
  </si>
  <si>
    <t>227</t>
  </si>
  <si>
    <t>93439502188880170000</t>
  </si>
  <si>
    <t>2026-03-17 16:25:12</t>
  </si>
  <si>
    <t>2026-03-17 16:32:11</t>
  </si>
  <si>
    <t>228</t>
  </si>
  <si>
    <t>99698537115276940000</t>
  </si>
  <si>
    <t>4.65</t>
  </si>
  <si>
    <t>2026-03-17 16:26:19</t>
  </si>
  <si>
    <t>2026-03-17 16:29:28</t>
  </si>
  <si>
    <t>9.67742</t>
  </si>
  <si>
    <t>229</t>
  </si>
  <si>
    <t>79123319067044250000</t>
  </si>
  <si>
    <t>2026-03-17 16:26:20</t>
  </si>
  <si>
    <t>2026-03-17 16:29:41</t>
  </si>
  <si>
    <t>230</t>
  </si>
  <si>
    <t>91979534029136720000</t>
  </si>
  <si>
    <t>2026-03-17 16:26:21</t>
  </si>
  <si>
    <t>2026-03-17 16:30:01</t>
  </si>
  <si>
    <t>231</t>
  </si>
  <si>
    <t>77724100074300690000</t>
  </si>
  <si>
    <t>5.60000</t>
  </si>
  <si>
    <t>5.10</t>
  </si>
  <si>
    <t>2026-03-17 16:26:59</t>
  </si>
  <si>
    <t>2026-03-17 16:30:38</t>
  </si>
  <si>
    <t>22.40000</t>
  </si>
  <si>
    <t>9.80392</t>
  </si>
  <si>
    <t>232</t>
  </si>
  <si>
    <t>50907495075943880000</t>
  </si>
  <si>
    <t>2026-03-17 16:27:00</t>
  </si>
  <si>
    <t>2026-03-17 16:28:57</t>
  </si>
  <si>
    <t>233</t>
  </si>
  <si>
    <t>35411188714033037000</t>
  </si>
  <si>
    <t>2026-03-17 16:27:01</t>
  </si>
  <si>
    <t>2026-03-17 16:29:10</t>
  </si>
  <si>
    <t>234</t>
  </si>
  <si>
    <t>59003973324729440000</t>
  </si>
  <si>
    <t>5.72000</t>
  </si>
  <si>
    <t>2026-04-02 15:59:18</t>
  </si>
  <si>
    <t>22.88000</t>
  </si>
  <si>
    <t>235</t>
  </si>
  <si>
    <t>46021370583996520000</t>
  </si>
  <si>
    <t>339</t>
  </si>
  <si>
    <t>بيجاما توفليس كبشون</t>
  </si>
  <si>
    <t>أزرق</t>
  </si>
  <si>
    <t>12.25000</t>
  </si>
  <si>
    <t>11.50</t>
  </si>
  <si>
    <t>2026-04-08 10:57:26</t>
  </si>
  <si>
    <t>2026-04-09 08:47:40</t>
  </si>
  <si>
    <t>36.75000</t>
  </si>
  <si>
    <t>6.52174</t>
  </si>
  <si>
    <t>236</t>
  </si>
  <si>
    <t>39827323721941080000</t>
  </si>
  <si>
    <t>2026-04-09 08:47:32</t>
  </si>
  <si>
    <t>237</t>
  </si>
  <si>
    <t>53628696908538630000</t>
  </si>
  <si>
    <t>أخضر متوسط</t>
  </si>
  <si>
    <t>2026-04-09 08:47:42</t>
  </si>
  <si>
    <t>238</t>
  </si>
  <si>
    <t>15002503249451606000</t>
  </si>
  <si>
    <t>2026-04-09 08:47:37</t>
  </si>
  <si>
    <t>239</t>
  </si>
  <si>
    <t>76915103597934120000</t>
  </si>
  <si>
    <t>2026-04-09 08:47:35</t>
  </si>
  <si>
    <t>240</t>
  </si>
  <si>
    <t>42760681336938270000</t>
  </si>
  <si>
    <t>11.25000</t>
  </si>
  <si>
    <t>10.50</t>
  </si>
  <si>
    <t>2026-04-08 10:59:15</t>
  </si>
  <si>
    <t>2026-04-09 08:45:24</t>
  </si>
  <si>
    <t>33.75000</t>
  </si>
  <si>
    <t>7.14286</t>
  </si>
  <si>
    <t>241</t>
  </si>
  <si>
    <t>94045645574244680000</t>
  </si>
  <si>
    <t>2026-04-09 08:47:20</t>
  </si>
  <si>
    <t>242</t>
  </si>
  <si>
    <t>53207685767634270000</t>
  </si>
  <si>
    <t>2026-04-09 08:47:25</t>
  </si>
  <si>
    <t>243</t>
  </si>
  <si>
    <t>68058312651590000000</t>
  </si>
  <si>
    <t>2026-04-09 08:47:27</t>
  </si>
  <si>
    <t>244</t>
  </si>
  <si>
    <t>54358710140269404000</t>
  </si>
  <si>
    <t>2026-04-08 10:59:16</t>
  </si>
  <si>
    <t>2026-04-09 08:47:22</t>
  </si>
  <si>
    <t>245</t>
  </si>
  <si>
    <t>55277323344230924000</t>
  </si>
  <si>
    <t>بيجاما توفليس</t>
  </si>
  <si>
    <t>12.50000</t>
  </si>
  <si>
    <t>12.00</t>
  </si>
  <si>
    <t>2026-04-08 11:01:32</t>
  </si>
  <si>
    <t>2026-04-09 11:43:53</t>
  </si>
  <si>
    <t>37.50000</t>
  </si>
  <si>
    <t>246</t>
  </si>
  <si>
    <t>75983589280597870000</t>
  </si>
  <si>
    <t>أخضر</t>
  </si>
  <si>
    <t>2026-04-09 11:44:09</t>
  </si>
  <si>
    <t>247</t>
  </si>
  <si>
    <t>22417689990544330000</t>
  </si>
  <si>
    <t>2026-04-09 11:44:25</t>
  </si>
  <si>
    <t>248</t>
  </si>
  <si>
    <t>13096803643540324000</t>
  </si>
  <si>
    <t>336</t>
  </si>
  <si>
    <t>6.75000</t>
  </si>
  <si>
    <t>6.00</t>
  </si>
  <si>
    <t>2026-04-08 11:03:28</t>
  </si>
  <si>
    <t>2026-04-09 08:51:03</t>
  </si>
  <si>
    <t>20.25000</t>
  </si>
  <si>
    <t>249</t>
  </si>
  <si>
    <t>44653072834825900000</t>
  </si>
  <si>
    <t>2026-04-09 08:51:01</t>
  </si>
  <si>
    <t>250</t>
  </si>
  <si>
    <t>28238810669640094000</t>
  </si>
  <si>
    <t>2026-04-09 08:51:06</t>
  </si>
  <si>
    <t>251</t>
  </si>
  <si>
    <t>85845933386172840000</t>
  </si>
  <si>
    <t>6.25000</t>
  </si>
  <si>
    <t>5.50</t>
  </si>
  <si>
    <t>2026-04-08 11:06:18</t>
  </si>
  <si>
    <t>2026-04-09 08:50:56</t>
  </si>
  <si>
    <t>18.75000</t>
  </si>
  <si>
    <t>13.63636</t>
  </si>
  <si>
    <t>252</t>
  </si>
  <si>
    <t>80994211620669420000</t>
  </si>
  <si>
    <t>2026-04-08 11:06:19</t>
  </si>
  <si>
    <t>2026-04-09 08:50:58</t>
  </si>
  <si>
    <t>253</t>
  </si>
  <si>
    <t>11746557667193790000</t>
  </si>
  <si>
    <t>2026-04-09 08:50:54</t>
  </si>
  <si>
    <t>254</t>
  </si>
  <si>
    <t>76679249536367530000</t>
  </si>
  <si>
    <t>بيجاما فول ليكرا ب ب</t>
  </si>
  <si>
    <t>أحمر</t>
  </si>
  <si>
    <t>7.00000</t>
  </si>
  <si>
    <t>6.50</t>
  </si>
  <si>
    <t>2026-04-08 11:07:57</t>
  </si>
  <si>
    <t>2026-04-09 09:04:29</t>
  </si>
  <si>
    <t>7.69231</t>
  </si>
  <si>
    <t>255</t>
  </si>
  <si>
    <t>13524698210426620000</t>
  </si>
  <si>
    <t>2026-04-09 09:04:32</t>
  </si>
  <si>
    <t>256</t>
  </si>
  <si>
    <t>18534432861462030000</t>
  </si>
  <si>
    <t>2026-04-09 09:04:34</t>
  </si>
  <si>
    <t>257</t>
  </si>
  <si>
    <t>69161670188558836000</t>
  </si>
  <si>
    <t>بلوزة فلبيكرا ب ب</t>
  </si>
  <si>
    <t>3.75000</t>
  </si>
  <si>
    <t>2026-04-08 11:17:40</t>
  </si>
  <si>
    <t>2026-04-09 09:08:49</t>
  </si>
  <si>
    <t>15.38462</t>
  </si>
  <si>
    <t>258</t>
  </si>
  <si>
    <t>36109748095656526000</t>
  </si>
  <si>
    <t>2026-04-09 09:08:40</t>
  </si>
  <si>
    <t>259</t>
  </si>
  <si>
    <t>51365937401749350000</t>
  </si>
  <si>
    <t>اورنج</t>
  </si>
  <si>
    <t>2026-04-08 11:17:41</t>
  </si>
  <si>
    <t>2026-04-09 09:08:42</t>
  </si>
  <si>
    <t>260</t>
  </si>
  <si>
    <t>46244283148107320000</t>
  </si>
  <si>
    <t>2026-04-08 11:20:23</t>
  </si>
  <si>
    <t>2026-04-09 09:08:52</t>
  </si>
  <si>
    <t>261</t>
  </si>
  <si>
    <t>82714866534519540000</t>
  </si>
  <si>
    <t>2026-04-09 09:09:00</t>
  </si>
  <si>
    <t>262</t>
  </si>
  <si>
    <t>78194802115104640000</t>
  </si>
  <si>
    <t>2026-04-09 09:08:55</t>
  </si>
  <si>
    <t>263</t>
  </si>
  <si>
    <t>21733401070498980000</t>
  </si>
  <si>
    <t>2026-04-08 11:27:26</t>
  </si>
  <si>
    <t>2026-04-09 08:47:30</t>
  </si>
  <si>
    <t>264</t>
  </si>
  <si>
    <t>79649549115766670000</t>
  </si>
  <si>
    <t>340</t>
  </si>
  <si>
    <t>بيجاما نص كم</t>
  </si>
  <si>
    <t>7.45000</t>
  </si>
  <si>
    <t>7.00</t>
  </si>
  <si>
    <t>2026-04-09 09:15:05</t>
  </si>
  <si>
    <t>22.35000</t>
  </si>
  <si>
    <t>6.42857</t>
  </si>
  <si>
    <t>265</t>
  </si>
  <si>
    <t>75518710144045380000</t>
  </si>
  <si>
    <t>2026-04-09 09:15:06</t>
  </si>
  <si>
    <t>266</t>
  </si>
  <si>
    <t>42681618826640740000</t>
  </si>
  <si>
    <t>267</t>
  </si>
  <si>
    <t>90908027438935310000</t>
  </si>
  <si>
    <t>8.45000</t>
  </si>
  <si>
    <t>8.00</t>
  </si>
  <si>
    <t>2026-04-09 09:15:39</t>
  </si>
  <si>
    <t>25.35000</t>
  </si>
  <si>
    <t>5.62500</t>
  </si>
  <si>
    <t>268</t>
  </si>
  <si>
    <t>13338046473677492000</t>
  </si>
  <si>
    <t>2026-04-09 09:15:40</t>
  </si>
  <si>
    <t>269</t>
  </si>
  <si>
    <t>12125094182973174000</t>
  </si>
  <si>
    <t>270</t>
  </si>
  <si>
    <t>57388292113775526000</t>
  </si>
  <si>
    <t>5043</t>
  </si>
  <si>
    <t>بوت كات</t>
  </si>
  <si>
    <t>4.05</t>
  </si>
  <si>
    <t>2026-04-09 09:45:26</t>
  </si>
  <si>
    <t>2026-04-09 09:50:37</t>
  </si>
  <si>
    <t>271</t>
  </si>
  <si>
    <t>32318666049563128000</t>
  </si>
  <si>
    <t>2026-04-09 09:45:27</t>
  </si>
  <si>
    <t>2026-04-09 09:50:19</t>
  </si>
  <si>
    <t>272</t>
  </si>
  <si>
    <t>45899627745569360000</t>
  </si>
  <si>
    <t>2026-04-09 09:45:28</t>
  </si>
  <si>
    <t>2026-04-09 09:49:54</t>
  </si>
  <si>
    <t>273</t>
  </si>
  <si>
    <t>10486610100796789000</t>
  </si>
  <si>
    <t>4.60</t>
  </si>
  <si>
    <t>2026-04-09 09:48:02</t>
  </si>
  <si>
    <t>10.86957</t>
  </si>
  <si>
    <t>274</t>
  </si>
  <si>
    <t>16279711397829374000</t>
  </si>
  <si>
    <t>2026-04-09 09:48:03</t>
  </si>
  <si>
    <t>275</t>
  </si>
  <si>
    <t>48084197797110374000</t>
  </si>
  <si>
    <t>276</t>
  </si>
  <si>
    <t>29145579617756324000</t>
  </si>
  <si>
    <t>277</t>
  </si>
  <si>
    <t>64000161044445070000</t>
  </si>
  <si>
    <t>5.25</t>
  </si>
  <si>
    <t>2026-04-09 09:52:56</t>
  </si>
  <si>
    <t>10.47619</t>
  </si>
  <si>
    <t>278</t>
  </si>
  <si>
    <t>22381315527405420000</t>
  </si>
  <si>
    <t>279</t>
  </si>
  <si>
    <t>29935842336873206000</t>
  </si>
  <si>
    <t>280</t>
  </si>
  <si>
    <t>57309307473499185000</t>
  </si>
  <si>
    <t>2026-04-09 09:52:57</t>
  </si>
  <si>
    <t>281</t>
  </si>
  <si>
    <t>58504121792000870000</t>
  </si>
  <si>
    <t>1045</t>
  </si>
  <si>
    <t>ولادي بوي فريند</t>
  </si>
  <si>
    <t>2026-04-09 10:04:29</t>
  </si>
  <si>
    <t>282</t>
  </si>
  <si>
    <t>50529549826792290000</t>
  </si>
  <si>
    <t>283</t>
  </si>
  <si>
    <t>42413331484100670000</t>
  </si>
  <si>
    <t>284</t>
  </si>
  <si>
    <t>43156463123322900000</t>
  </si>
  <si>
    <t>2026-04-09 10:05:49</t>
  </si>
  <si>
    <t>285</t>
  </si>
  <si>
    <t>83520847823892580000</t>
  </si>
  <si>
    <t>286</t>
  </si>
  <si>
    <t>84247816965657620000</t>
  </si>
  <si>
    <t>287</t>
  </si>
  <si>
    <t>57380623490027770000</t>
  </si>
  <si>
    <t>1058</t>
  </si>
  <si>
    <t>مطاط كلاسيكي</t>
  </si>
  <si>
    <t>2026-04-12 08:36:42</t>
  </si>
  <si>
    <t>288</t>
  </si>
  <si>
    <t>27749586302336963000</t>
  </si>
  <si>
    <t>289</t>
  </si>
  <si>
    <t>18419962873368926000</t>
  </si>
  <si>
    <t>290</t>
  </si>
  <si>
    <t>98439599169434370000</t>
  </si>
  <si>
    <t>2026-04-12 08:36:43</t>
  </si>
  <si>
    <t>291</t>
  </si>
  <si>
    <t>25192264862515757000</t>
  </si>
  <si>
    <t>2026-04-12 08:37:20</t>
  </si>
  <si>
    <t>292</t>
  </si>
  <si>
    <t>76943613700024010000</t>
  </si>
  <si>
    <t>2026-04-12 08:37:21</t>
  </si>
  <si>
    <t>293</t>
  </si>
  <si>
    <t>94870952442929450000</t>
  </si>
  <si>
    <t>294</t>
  </si>
  <si>
    <t>13931177303682460000</t>
  </si>
  <si>
    <t>295</t>
  </si>
  <si>
    <t>34740693163753410000</t>
  </si>
  <si>
    <t>5.50000</t>
  </si>
  <si>
    <t>5.05</t>
  </si>
  <si>
    <t>2026-04-12 08:37:51</t>
  </si>
  <si>
    <t>8.91089</t>
  </si>
  <si>
    <t>296</t>
  </si>
  <si>
    <t>84209110727181760000</t>
  </si>
  <si>
    <t>297</t>
  </si>
  <si>
    <t>77587474056539140000</t>
  </si>
  <si>
    <t>298</t>
  </si>
  <si>
    <t>11755291675562900000</t>
  </si>
  <si>
    <t>2026-04-12 08:37:56</t>
  </si>
  <si>
    <t>299</t>
  </si>
  <si>
    <t>22309750186651734000</t>
  </si>
  <si>
    <t>مطاط كلاسيك</t>
  </si>
  <si>
    <t>6.50000</t>
  </si>
  <si>
    <t>5.95</t>
  </si>
  <si>
    <t>2026-04-12 08:40:45</t>
  </si>
  <si>
    <t>9.24370</t>
  </si>
  <si>
    <t>300</t>
  </si>
  <si>
    <t>93520152799645550000</t>
  </si>
  <si>
    <t>301</t>
  </si>
  <si>
    <t>84960168527192000000</t>
  </si>
  <si>
    <t>302</t>
  </si>
  <si>
    <t>94633511699903480000</t>
  </si>
  <si>
    <t>303</t>
  </si>
  <si>
    <t>17568662447677553000</t>
  </si>
  <si>
    <t>5052</t>
  </si>
  <si>
    <t>بنطال بناتي جيوب</t>
  </si>
  <si>
    <t>ازرق ثلجي</t>
  </si>
  <si>
    <t>2026-04-13 07:13:14</t>
  </si>
  <si>
    <t>304</t>
  </si>
  <si>
    <t>90335352405429170000</t>
  </si>
  <si>
    <t>2026-04-13 07:13:15</t>
  </si>
  <si>
    <t>305</t>
  </si>
  <si>
    <t>86532612707255860000</t>
  </si>
  <si>
    <t>6.15000</t>
  </si>
  <si>
    <t>5.60</t>
  </si>
  <si>
    <t>2026-04-13 07:14:24</t>
  </si>
  <si>
    <t>24.60000</t>
  </si>
  <si>
    <t>9.82143</t>
  </si>
  <si>
    <t>306</t>
  </si>
  <si>
    <t>28755762309501570000</t>
  </si>
  <si>
    <t>2026-04-13 07:14:25</t>
  </si>
  <si>
    <t>307</t>
  </si>
  <si>
    <t>83533888292400580000</t>
  </si>
  <si>
    <t>342</t>
  </si>
  <si>
    <t>نص كم وسط</t>
  </si>
  <si>
    <t>9.25000</t>
  </si>
  <si>
    <t>8.50</t>
  </si>
  <si>
    <t>2026-04-13 07:28:44</t>
  </si>
  <si>
    <t>27.75000</t>
  </si>
  <si>
    <t>8.82353</t>
  </si>
  <si>
    <t>308</t>
  </si>
  <si>
    <t>19153617136774885000</t>
  </si>
  <si>
    <t>309</t>
  </si>
  <si>
    <t>38599355855948450000</t>
  </si>
  <si>
    <t>أورنج</t>
  </si>
  <si>
    <t>2026-04-13 07:28:45</t>
  </si>
  <si>
    <t>310</t>
  </si>
  <si>
    <t>78056821657396770000</t>
  </si>
  <si>
    <t>311</t>
  </si>
  <si>
    <t>44376387823580090000</t>
  </si>
  <si>
    <t>170</t>
  </si>
  <si>
    <t>بيجاما نص كم ب ب</t>
  </si>
  <si>
    <t>7.75000</t>
  </si>
  <si>
    <t>2026-04-13 07:35:30</t>
  </si>
  <si>
    <t>31.00000</t>
  </si>
  <si>
    <t>10.71429</t>
  </si>
  <si>
    <t>312</t>
  </si>
  <si>
    <t>46514117586975270000</t>
  </si>
  <si>
    <t>313</t>
  </si>
  <si>
    <t>58518666472687860000</t>
  </si>
  <si>
    <t>حبري</t>
  </si>
  <si>
    <t>314</t>
  </si>
  <si>
    <t>88704175990423190000</t>
  </si>
  <si>
    <t>1050</t>
  </si>
  <si>
    <t>ولادي كلاسيك</t>
  </si>
  <si>
    <t>4.25000</t>
  </si>
  <si>
    <t>3.85</t>
  </si>
  <si>
    <t>2026-04-15 08:27:03</t>
  </si>
  <si>
    <t>17.00000</t>
  </si>
  <si>
    <t>10.38961</t>
  </si>
  <si>
    <t>315</t>
  </si>
  <si>
    <t>49181082690572480000</t>
  </si>
  <si>
    <t>316</t>
  </si>
  <si>
    <t>18497705213671650000</t>
  </si>
  <si>
    <t>2026-04-15 08:27:04</t>
  </si>
  <si>
    <t>317</t>
  </si>
  <si>
    <t>73021945025507205000</t>
  </si>
  <si>
    <t>318</t>
  </si>
  <si>
    <t>52758881369648950000</t>
  </si>
  <si>
    <t>4.80000</t>
  </si>
  <si>
    <t>2026-04-15 08:27:52</t>
  </si>
  <si>
    <t>19.20000</t>
  </si>
  <si>
    <t>10.09174</t>
  </si>
  <si>
    <t>319</t>
  </si>
  <si>
    <t>87859504894855740000</t>
  </si>
  <si>
    <t>320</t>
  </si>
  <si>
    <t>50069896535166950000</t>
  </si>
  <si>
    <t>321</t>
  </si>
  <si>
    <t>48716764887123120000</t>
  </si>
  <si>
    <t>322</t>
  </si>
  <si>
    <t>34081341593504800000</t>
  </si>
  <si>
    <t>5.40000</t>
  </si>
  <si>
    <t>4.90</t>
  </si>
  <si>
    <t>2026-04-15 08:28:39</t>
  </si>
  <si>
    <t>2026-04-19 10:03:13</t>
  </si>
  <si>
    <t>21.60000</t>
  </si>
  <si>
    <t>3.87755</t>
  </si>
  <si>
    <t>323</t>
  </si>
  <si>
    <t>25610966863175037000</t>
  </si>
  <si>
    <t>2026-04-19 10:03:30</t>
  </si>
  <si>
    <t>324</t>
  </si>
  <si>
    <t>88370069494060370000</t>
  </si>
  <si>
    <t>2026-04-19 10:03:46</t>
  </si>
  <si>
    <t>325</t>
  </si>
  <si>
    <t>47329494197572125000</t>
  </si>
  <si>
    <t>2026-04-15 08:28:40</t>
  </si>
  <si>
    <t>2026-04-19 10:04:02</t>
  </si>
  <si>
    <t>326</t>
  </si>
  <si>
    <t>86965426418277090000</t>
  </si>
  <si>
    <t>6.00000</t>
  </si>
  <si>
    <t>5.40</t>
  </si>
  <si>
    <t>2026-04-15 08:29:18</t>
  </si>
  <si>
    <t>327</t>
  </si>
  <si>
    <t>41942793692792190000</t>
  </si>
  <si>
    <t>328</t>
  </si>
  <si>
    <t>41744950582339486000</t>
  </si>
  <si>
    <t>329</t>
  </si>
  <si>
    <t>32219776195487523000</t>
  </si>
  <si>
    <t>2026-04-15 08:29:19</t>
  </si>
  <si>
    <t>330</t>
  </si>
  <si>
    <t>22740369430232695000</t>
  </si>
  <si>
    <t>1009</t>
  </si>
  <si>
    <t>بنطال خصر مطاط</t>
  </si>
  <si>
    <t>4.40</t>
  </si>
  <si>
    <t>2026-04-19 08:03:14</t>
  </si>
  <si>
    <t>2026-04-19 08:59:01</t>
  </si>
  <si>
    <t>331</t>
  </si>
  <si>
    <t>66481383790628045000</t>
  </si>
  <si>
    <t>4.89998</t>
  </si>
  <si>
    <t>2026-04-19 08:03:15</t>
  </si>
  <si>
    <t>2026-04-19 08:58:37</t>
  </si>
  <si>
    <t>19.59992</t>
  </si>
  <si>
    <t>332</t>
  </si>
  <si>
    <t>60324744647613430000</t>
  </si>
  <si>
    <t>2026-04-19 08:04:11</t>
  </si>
  <si>
    <t>2026-04-19 08:59:51</t>
  </si>
  <si>
    <t>28.00000</t>
  </si>
  <si>
    <t>10.30928</t>
  </si>
  <si>
    <t>333</t>
  </si>
  <si>
    <t>98296948637822470000</t>
  </si>
  <si>
    <t>2026-04-19 08:59:30</t>
  </si>
  <si>
    <t>334</t>
  </si>
  <si>
    <t>58862229728341295000</t>
  </si>
  <si>
    <t>2026-04-19 08:51:50</t>
  </si>
  <si>
    <t>2026-05-05 11:16:19</t>
  </si>
  <si>
    <t>10.83744</t>
  </si>
  <si>
    <t>335</t>
  </si>
  <si>
    <t>63079830729723355000</t>
  </si>
  <si>
    <t>2026-05-05 11:16:24</t>
  </si>
  <si>
    <t>98325964844923850000</t>
  </si>
  <si>
    <t>4.48000</t>
  </si>
  <si>
    <t>2026-04-20 07:28:34</t>
  </si>
  <si>
    <t>2026-05-05 11:16:27</t>
  </si>
  <si>
    <t>17.92000</t>
  </si>
  <si>
    <t>10.61728</t>
  </si>
  <si>
    <t>337</t>
  </si>
  <si>
    <t>58939285488334580000</t>
  </si>
  <si>
    <t>2026-05-05 11:16:10</t>
  </si>
  <si>
    <t>338</t>
  </si>
  <si>
    <t>49054101880604290000</t>
  </si>
  <si>
    <t>4.84000</t>
  </si>
  <si>
    <t>2026-04-20 07:29:08</t>
  </si>
  <si>
    <t>19.36000</t>
  </si>
  <si>
    <t>84934084883863320000</t>
  </si>
  <si>
    <t>2026-04-20 07:29:09</t>
  </si>
  <si>
    <t>83545123998668390000</t>
  </si>
  <si>
    <t>5.57000</t>
  </si>
  <si>
    <t>2026-04-20 07:29:37</t>
  </si>
  <si>
    <t>27.85000</t>
  </si>
  <si>
    <t>10.29703</t>
  </si>
  <si>
    <t>341</t>
  </si>
  <si>
    <t>83458118587936470000</t>
  </si>
  <si>
    <t>81779107227162250000</t>
  </si>
  <si>
    <t>1059</t>
  </si>
  <si>
    <t>4.20000</t>
  </si>
  <si>
    <t>2026-04-26 11:49:04</t>
  </si>
  <si>
    <t>16.80000</t>
  </si>
  <si>
    <t>343</t>
  </si>
  <si>
    <t>82514338067367170000</t>
  </si>
  <si>
    <t>344</t>
  </si>
  <si>
    <t>15101079400451768000</t>
  </si>
  <si>
    <t>2026-04-26 11:49:05</t>
  </si>
  <si>
    <t>345</t>
  </si>
  <si>
    <t>76482193046145070000</t>
  </si>
  <si>
    <t>4.35</t>
  </si>
  <si>
    <t>2026-04-26 11:50:09</t>
  </si>
  <si>
    <t>10.34483</t>
  </si>
  <si>
    <t>346</t>
  </si>
  <si>
    <t>42584159994230555000</t>
  </si>
  <si>
    <t>2026-04-26 11:50:10</t>
  </si>
  <si>
    <t>347</t>
  </si>
  <si>
    <t>84434058316454120000</t>
  </si>
  <si>
    <t>348</t>
  </si>
  <si>
    <t>94271556949046890000</t>
  </si>
  <si>
    <t>2026-04-26 11:50:44</t>
  </si>
  <si>
    <t>10.20408</t>
  </si>
  <si>
    <t>349</t>
  </si>
  <si>
    <t>47863148063794720000</t>
  </si>
  <si>
    <t>350</t>
  </si>
  <si>
    <t>13819943337393970000</t>
  </si>
  <si>
    <t>2026-04-26 11:50:45</t>
  </si>
  <si>
    <t>351</t>
  </si>
  <si>
    <t>25014260808527323000</t>
  </si>
  <si>
    <t>2026-04-26 11:51:16</t>
  </si>
  <si>
    <t>352</t>
  </si>
  <si>
    <t>17288322159039859000</t>
  </si>
  <si>
    <t>2026-04-26 11:51:17</t>
  </si>
  <si>
    <t>353</t>
  </si>
  <si>
    <t>67566065741884810000</t>
  </si>
  <si>
    <t>354</t>
  </si>
  <si>
    <t>57966451326131360000</t>
  </si>
  <si>
    <t>2329</t>
  </si>
  <si>
    <t>طقم ب ب</t>
  </si>
  <si>
    <t>كرزي</t>
  </si>
  <si>
    <t>9.50</t>
  </si>
  <si>
    <t>2026-04-26 12:11:29</t>
  </si>
  <si>
    <t>2026-04-26 12:18:57</t>
  </si>
  <si>
    <t>48.00000</t>
  </si>
  <si>
    <t>13.33333</t>
  </si>
  <si>
    <t>355</t>
  </si>
  <si>
    <t>19931268422004326000</t>
  </si>
  <si>
    <t>2026-04-26 12:19:13</t>
  </si>
  <si>
    <t>356</t>
  </si>
  <si>
    <t>32747783688605390000</t>
  </si>
  <si>
    <t>فستقي</t>
  </si>
  <si>
    <t>2026-04-26 12:11:30</t>
  </si>
  <si>
    <t>2026-04-26 12:19:31</t>
  </si>
  <si>
    <t>357</t>
  </si>
  <si>
    <t>88408058733386730000</t>
  </si>
  <si>
    <t>مشمشي</t>
  </si>
  <si>
    <t>2026-04-26 12:19:49</t>
  </si>
  <si>
    <t>358</t>
  </si>
  <si>
    <t>88347708704370840000</t>
  </si>
  <si>
    <t>2529</t>
  </si>
  <si>
    <t>طقم وسط</t>
  </si>
  <si>
    <t>16.00</t>
  </si>
  <si>
    <t>2026-04-26 12:13:46</t>
  </si>
  <si>
    <t>359</t>
  </si>
  <si>
    <t>67746814452318720000</t>
  </si>
  <si>
    <t>360</t>
  </si>
  <si>
    <t>68674656495444150000</t>
  </si>
  <si>
    <t>361</t>
  </si>
  <si>
    <t>53323426408264204000</t>
  </si>
  <si>
    <t>2398</t>
  </si>
  <si>
    <t>طقم بناتي كرافة وسط</t>
  </si>
  <si>
    <t>19.00000</t>
  </si>
  <si>
    <t>16.87</t>
  </si>
  <si>
    <t>2026-04-26 12:28:59</t>
  </si>
  <si>
    <t>76.00000</t>
  </si>
  <si>
    <t>12.62596</t>
  </si>
  <si>
    <t>362</t>
  </si>
  <si>
    <t>74383747242766530000</t>
  </si>
  <si>
    <t>363</t>
  </si>
  <si>
    <t>48160268399682070000</t>
  </si>
  <si>
    <t>2026-04-26 12:29:00</t>
  </si>
  <si>
    <t>364</t>
  </si>
  <si>
    <t>84226219851375700000</t>
  </si>
  <si>
    <t>365</t>
  </si>
  <si>
    <t>44899523851394515000</t>
  </si>
  <si>
    <t>803</t>
  </si>
  <si>
    <t>طقم صبياني  طبعات</t>
  </si>
  <si>
    <t>14.99000</t>
  </si>
  <si>
    <t>2026-04-26 12:35:35</t>
  </si>
  <si>
    <t>2026-04-26 12:42:12</t>
  </si>
  <si>
    <t>59.96000</t>
  </si>
  <si>
    <t>15.30769</t>
  </si>
  <si>
    <t>366</t>
  </si>
  <si>
    <t>59506829569626505000</t>
  </si>
  <si>
    <t>2026-04-26 12:42:09</t>
  </si>
  <si>
    <t>367</t>
  </si>
  <si>
    <t>29540932952698160000</t>
  </si>
  <si>
    <t>2026-04-26 12:42:05</t>
  </si>
  <si>
    <t>369</t>
  </si>
  <si>
    <t>18738524490328790000</t>
  </si>
  <si>
    <t>شورت توينز ب ب</t>
  </si>
  <si>
    <t>15.00000</t>
  </si>
  <si>
    <t>2026-04-26 12:55:08</t>
  </si>
  <si>
    <t>60.00000</t>
  </si>
  <si>
    <t>370</t>
  </si>
  <si>
    <t>26796992264006525000</t>
  </si>
  <si>
    <t>371</t>
  </si>
  <si>
    <t>72390200282325840000</t>
  </si>
  <si>
    <t>كحلي</t>
  </si>
  <si>
    <t>2026-04-26 12:55:09</t>
  </si>
  <si>
    <t>2026-04-26 12:58:26</t>
  </si>
  <si>
    <t>372</t>
  </si>
  <si>
    <t>46582192013163086000</t>
  </si>
  <si>
    <t>تونز بنتكور وسط</t>
  </si>
  <si>
    <t>14.00</t>
  </si>
  <si>
    <t>2026-04-26 13:00:32</t>
  </si>
  <si>
    <t>64.00000</t>
  </si>
  <si>
    <t>14.28571</t>
  </si>
  <si>
    <t>373</t>
  </si>
  <si>
    <t>52904456910234460000</t>
  </si>
  <si>
    <t>374</t>
  </si>
  <si>
    <t>24264974158038925000</t>
  </si>
  <si>
    <t>2026-04-26 13:00:33</t>
  </si>
  <si>
    <t>375</t>
  </si>
  <si>
    <t>95602870151210290000</t>
  </si>
  <si>
    <t>439</t>
  </si>
  <si>
    <t>تونز بنتكور محير</t>
  </si>
  <si>
    <t>15.00</t>
  </si>
  <si>
    <t>2026-04-26 13:02:08</t>
  </si>
  <si>
    <t>51.00000</t>
  </si>
  <si>
    <t>376</t>
  </si>
  <si>
    <t>58112003382240076000</t>
  </si>
  <si>
    <t>2026-04-26 13:02:09</t>
  </si>
  <si>
    <t>377</t>
  </si>
  <si>
    <t>50978286460647830000</t>
  </si>
  <si>
    <t>378</t>
  </si>
  <si>
    <t>78460073618811290000</t>
  </si>
  <si>
    <t>شورت ب ب</t>
  </si>
  <si>
    <t>2026-04-26 13:05:10</t>
  </si>
  <si>
    <t>50.00000</t>
  </si>
  <si>
    <t>19.04762</t>
  </si>
  <si>
    <t>379</t>
  </si>
  <si>
    <t>34669843726105362000</t>
  </si>
  <si>
    <t>380</t>
  </si>
  <si>
    <t>19894812761623855000</t>
  </si>
  <si>
    <t>381</t>
  </si>
  <si>
    <t>64050837884245330000</t>
  </si>
  <si>
    <t>2026-04-26 13:05:11</t>
  </si>
  <si>
    <t>382</t>
  </si>
  <si>
    <t>58602208670630170000</t>
  </si>
  <si>
    <t>طقم بنتكور وسط</t>
  </si>
  <si>
    <t>13.50000</t>
  </si>
  <si>
    <t>2026-04-26 13:06:05</t>
  </si>
  <si>
    <t>54.00000</t>
  </si>
  <si>
    <t>17.39130</t>
  </si>
  <si>
    <t>383</t>
  </si>
  <si>
    <t>25065385835856577000</t>
  </si>
  <si>
    <t>2026-05-06 11:47:15</t>
  </si>
  <si>
    <t>384</t>
  </si>
  <si>
    <t>11950320884659350000</t>
  </si>
  <si>
    <t>2026-04-26 13:06:06</t>
  </si>
  <si>
    <t>2026-05-06 11:47:26</t>
  </si>
  <si>
    <t>385</t>
  </si>
  <si>
    <t>20349771749707710000</t>
  </si>
  <si>
    <t>2026-04-26 13:06:07</t>
  </si>
  <si>
    <t>2026-05-06 11:47:44</t>
  </si>
  <si>
    <t>386</t>
  </si>
  <si>
    <t>78913323482996410000</t>
  </si>
  <si>
    <t>440</t>
  </si>
  <si>
    <t>طقم بنتكور محير</t>
  </si>
  <si>
    <t>14.50000</t>
  </si>
  <si>
    <t>12.50</t>
  </si>
  <si>
    <t>2026-04-27 09:58:07</t>
  </si>
  <si>
    <t>43.50000</t>
  </si>
  <si>
    <t>387</t>
  </si>
  <si>
    <t>94680463617483640000</t>
  </si>
  <si>
    <t>388</t>
  </si>
  <si>
    <t>99670090146737160000</t>
  </si>
  <si>
    <t>2026-04-27 09:58:08</t>
  </si>
  <si>
    <t>389</t>
  </si>
  <si>
    <t>67996079557874830000</t>
  </si>
  <si>
    <t>390</t>
  </si>
  <si>
    <t>58452850849093650000</t>
  </si>
  <si>
    <t>410</t>
  </si>
  <si>
    <t>بنطلون طويل كتان</t>
  </si>
  <si>
    <t>13.00000</t>
  </si>
  <si>
    <t>11.00</t>
  </si>
  <si>
    <t>2026-04-27 10:16:15</t>
  </si>
  <si>
    <t>52.00000</t>
  </si>
  <si>
    <t>18.18182</t>
  </si>
  <si>
    <t>391</t>
  </si>
  <si>
    <t>25062852160219832000</t>
  </si>
  <si>
    <t>392</t>
  </si>
  <si>
    <t>30192234279369280000</t>
  </si>
  <si>
    <t>395</t>
  </si>
  <si>
    <t>52012134882378610000</t>
  </si>
  <si>
    <t>شورت كتان ب ب</t>
  </si>
  <si>
    <t>2026-04-27 10:18:14</t>
  </si>
  <si>
    <t>2026-05-03 12:55:44</t>
  </si>
  <si>
    <t>21.05263</t>
  </si>
  <si>
    <t>396</t>
  </si>
  <si>
    <t>14727810702222316000</t>
  </si>
  <si>
    <t>2026-05-03 12:55:37</t>
  </si>
  <si>
    <t>397</t>
  </si>
  <si>
    <t>26871015995227267000</t>
  </si>
  <si>
    <t>2026-05-03 12:55:29</t>
  </si>
  <si>
    <t>398</t>
  </si>
  <si>
    <t>69362723408518850000</t>
  </si>
  <si>
    <t>11.50000</t>
  </si>
  <si>
    <t>2026-04-27 10:19:18</t>
  </si>
  <si>
    <t>46.00000</t>
  </si>
  <si>
    <t>399</t>
  </si>
  <si>
    <t>38792860867663000000</t>
  </si>
  <si>
    <t>401</t>
  </si>
  <si>
    <t>16368359662470767000</t>
  </si>
  <si>
    <t>2026-04-27 10:19:19</t>
  </si>
  <si>
    <t>402</t>
  </si>
  <si>
    <t>59269176623689015000</t>
  </si>
  <si>
    <t>2026-04-27 10:24:26</t>
  </si>
  <si>
    <t>2026-05-03 12:57:56</t>
  </si>
  <si>
    <t>403</t>
  </si>
  <si>
    <t>30056681889954120000</t>
  </si>
  <si>
    <t>2026-05-03 12:57:49</t>
  </si>
  <si>
    <t>404</t>
  </si>
  <si>
    <t>36500577632435410000</t>
  </si>
  <si>
    <t>2026-04-27 10:24:27</t>
  </si>
  <si>
    <t>2026-05-03 12:57:42</t>
  </si>
  <si>
    <t>405</t>
  </si>
  <si>
    <t>56816290227513230000</t>
  </si>
  <si>
    <t>2026-04-27 10:24:50</t>
  </si>
  <si>
    <t>406</t>
  </si>
  <si>
    <t>54506777000331020000</t>
  </si>
  <si>
    <t>2026-04-27 10:24:51</t>
  </si>
  <si>
    <t>407</t>
  </si>
  <si>
    <t>54727782508432580000</t>
  </si>
  <si>
    <t>408</t>
  </si>
  <si>
    <t>81728161474251590000</t>
  </si>
  <si>
    <t>413</t>
  </si>
  <si>
    <t>12.99000</t>
  </si>
  <si>
    <t>2026-04-27 10:26:58</t>
  </si>
  <si>
    <t>51.96000</t>
  </si>
  <si>
    <t>18.09091</t>
  </si>
  <si>
    <t>409</t>
  </si>
  <si>
    <t>78238078647447980000</t>
  </si>
  <si>
    <t>12673641427691016000</t>
  </si>
  <si>
    <t>2026-04-27 10:26:59</t>
  </si>
  <si>
    <t>411</t>
  </si>
  <si>
    <t>76343346530373880000</t>
  </si>
  <si>
    <t>بلوزة ب ب فل ليكرا</t>
  </si>
  <si>
    <t>2026-04-27 10:31:49</t>
  </si>
  <si>
    <t>2026-04-29 12:51:32</t>
  </si>
  <si>
    <t>33.33333</t>
  </si>
  <si>
    <t>412</t>
  </si>
  <si>
    <t>41985099779867000000</t>
  </si>
  <si>
    <t>2026-04-27 10:31:50</t>
  </si>
  <si>
    <t>2026-04-29 12:53:20</t>
  </si>
  <si>
    <t>55547201014674630000</t>
  </si>
  <si>
    <t>2026-05-18 13:53:54</t>
  </si>
  <si>
    <t>414</t>
  </si>
  <si>
    <t>21494349026187010000</t>
  </si>
  <si>
    <t>موف</t>
  </si>
  <si>
    <t>2026-05-18 13:53:42</t>
  </si>
  <si>
    <t>415</t>
  </si>
  <si>
    <t>93624190011340320000</t>
  </si>
  <si>
    <t>2026-04-27 10:32:25</t>
  </si>
  <si>
    <t>2026-04-29 09:40:51</t>
  </si>
  <si>
    <t>416</t>
  </si>
  <si>
    <t>37588488236653840000</t>
  </si>
  <si>
    <t>2026-04-29 09:41:50</t>
  </si>
  <si>
    <t>417</t>
  </si>
  <si>
    <t>76471301951380230000</t>
  </si>
  <si>
    <t>2026-04-27 10:32:26</t>
  </si>
  <si>
    <t>2026-04-29 09:40:20</t>
  </si>
  <si>
    <t>418</t>
  </si>
  <si>
    <t>91983076389669910000</t>
  </si>
  <si>
    <t>2026-04-29 09:40:36</t>
  </si>
  <si>
    <t>419</t>
  </si>
  <si>
    <t>85166817790260870000</t>
  </si>
  <si>
    <t>بلوزة وسط فل ليكرا</t>
  </si>
  <si>
    <t>4.25</t>
  </si>
  <si>
    <t>2026-04-27 10:34:47</t>
  </si>
  <si>
    <t>41.17647</t>
  </si>
  <si>
    <t>420</t>
  </si>
  <si>
    <t>97234995571368310000</t>
  </si>
  <si>
    <t>2026-04-27 10:34:48</t>
  </si>
  <si>
    <t>421</t>
  </si>
  <si>
    <t>19585495801199223000</t>
  </si>
  <si>
    <t>2026-04-27 10:34:49</t>
  </si>
  <si>
    <t>422</t>
  </si>
  <si>
    <t>78112113576887420000</t>
  </si>
  <si>
    <t>423</t>
  </si>
  <si>
    <t>10248266996687436000</t>
  </si>
  <si>
    <t>2026-04-27 10:35:27</t>
  </si>
  <si>
    <t>2026-08-06 10:06:20</t>
  </si>
  <si>
    <t>424</t>
  </si>
  <si>
    <t>60642044803575100000</t>
  </si>
  <si>
    <t>2026-08-06 10:06:34</t>
  </si>
  <si>
    <t>425</t>
  </si>
  <si>
    <t>64069460185920240000</t>
  </si>
  <si>
    <t>2026-04-27 10:35:28</t>
  </si>
  <si>
    <t>2026-08-06 10:06:50</t>
  </si>
  <si>
    <t>426</t>
  </si>
  <si>
    <t>39220594345430950000</t>
  </si>
  <si>
    <t>2026-08-06 10:07:06</t>
  </si>
  <si>
    <t>427</t>
  </si>
  <si>
    <t>36585396851201135000</t>
  </si>
  <si>
    <t>2026-04-27 10:36:12</t>
  </si>
  <si>
    <t>2026-04-29 08:26:43</t>
  </si>
  <si>
    <t>428</t>
  </si>
  <si>
    <t>21022303521438056000</t>
  </si>
  <si>
    <t>2026-04-27 10:36:13</t>
  </si>
  <si>
    <t>2026-04-29 08:29:12</t>
  </si>
  <si>
    <t>429</t>
  </si>
  <si>
    <t>20896559377916895000</t>
  </si>
  <si>
    <t>2026-04-29 08:29:02</t>
  </si>
  <si>
    <t>430</t>
  </si>
  <si>
    <t>47477278911254630000</t>
  </si>
  <si>
    <t>2026-04-27 10:36:14</t>
  </si>
  <si>
    <t>2026-04-29 08:28:51</t>
  </si>
  <si>
    <t>431</t>
  </si>
  <si>
    <t>88112777701790970000</t>
  </si>
  <si>
    <t>طقم بناتي شورت قصير</t>
  </si>
  <si>
    <t>2026-04-27 10:37:51</t>
  </si>
  <si>
    <t>36.00000</t>
  </si>
  <si>
    <t>432</t>
  </si>
  <si>
    <t>30957407235146400000</t>
  </si>
  <si>
    <t>1456</t>
  </si>
  <si>
    <t>طقم بناتي</t>
  </si>
  <si>
    <t>7.25</t>
  </si>
  <si>
    <t>2026-04-27 11:58:53</t>
  </si>
  <si>
    <t>2026-04-27 12:20:22</t>
  </si>
  <si>
    <t>27.58621</t>
  </si>
  <si>
    <t>433</t>
  </si>
  <si>
    <t>15051757283300336000</t>
  </si>
  <si>
    <t>2026-04-27 12:20:36</t>
  </si>
  <si>
    <t>434</t>
  </si>
  <si>
    <t>31281304626848313000</t>
  </si>
  <si>
    <t>فومي</t>
  </si>
  <si>
    <t>2026-04-27 11:58:55</t>
  </si>
  <si>
    <t>2026-04-27 12:20:50</t>
  </si>
  <si>
    <t>435</t>
  </si>
  <si>
    <t>93186285300631360000</t>
  </si>
  <si>
    <t>814</t>
  </si>
  <si>
    <t>18.50000</t>
  </si>
  <si>
    <t>16.50</t>
  </si>
  <si>
    <t>2026-04-27 12:00:27</t>
  </si>
  <si>
    <t>2026-04-27 12:23:14</t>
  </si>
  <si>
    <t>74.00000</t>
  </si>
  <si>
    <t>12.12121</t>
  </si>
  <si>
    <t>436</t>
  </si>
  <si>
    <t>57239697928860060000</t>
  </si>
  <si>
    <t>2026-04-27 12:00:28</t>
  </si>
  <si>
    <t>2026-04-27 12:23:28</t>
  </si>
  <si>
    <t>437</t>
  </si>
  <si>
    <t>76888208093228240000</t>
  </si>
  <si>
    <t>481</t>
  </si>
  <si>
    <t>تونز ب ب</t>
  </si>
  <si>
    <t>11.00000</t>
  </si>
  <si>
    <t>2026-04-27 12:04:12</t>
  </si>
  <si>
    <t>2026-04-28 14:49:37</t>
  </si>
  <si>
    <t>33.00000</t>
  </si>
  <si>
    <t>22.22222</t>
  </si>
  <si>
    <t>438</t>
  </si>
  <si>
    <t>27005082129853170000</t>
  </si>
  <si>
    <t>بترولي</t>
  </si>
  <si>
    <t>2026-04-28 14:49:49</t>
  </si>
  <si>
    <t>81965292145179260000</t>
  </si>
  <si>
    <t>2026-04-28 14:50:01</t>
  </si>
  <si>
    <t>28617871563747156000</t>
  </si>
  <si>
    <t>581</t>
  </si>
  <si>
    <t>تونز  وسط</t>
  </si>
  <si>
    <t>2026-04-27 12:05:47</t>
  </si>
  <si>
    <t>2026-05-04 13:31:44</t>
  </si>
  <si>
    <t>441</t>
  </si>
  <si>
    <t>39907655667212680000</t>
  </si>
  <si>
    <t>2026-05-04 13:31:34</t>
  </si>
  <si>
    <t>442</t>
  </si>
  <si>
    <t>23992707923335070000</t>
  </si>
  <si>
    <t>2026-04-27 12:05:48</t>
  </si>
  <si>
    <t>2026-05-04 13:31:22</t>
  </si>
  <si>
    <t>443</t>
  </si>
  <si>
    <t>46433191869997360000</t>
  </si>
  <si>
    <t>681</t>
  </si>
  <si>
    <t>تونز محير</t>
  </si>
  <si>
    <t>2026-04-27 12:07:06</t>
  </si>
  <si>
    <t>39.00000</t>
  </si>
  <si>
    <t>444</t>
  </si>
  <si>
    <t>36243302444430860000</t>
  </si>
  <si>
    <t>2026-04-27 12:07:07</t>
  </si>
  <si>
    <t>445</t>
  </si>
  <si>
    <t>33709409408640725000</t>
  </si>
  <si>
    <t>446</t>
  </si>
  <si>
    <t>22594514222377200000</t>
  </si>
  <si>
    <t>861</t>
  </si>
  <si>
    <t>طقم ب ب مع حذاء</t>
  </si>
  <si>
    <t>2026-04-27 12:09:16</t>
  </si>
  <si>
    <t>2026-04-27 12:42:44</t>
  </si>
  <si>
    <t>447</t>
  </si>
  <si>
    <t>10305960901827856000</t>
  </si>
  <si>
    <t>2026-04-27 12:42:57</t>
  </si>
  <si>
    <t>448</t>
  </si>
  <si>
    <t>47665010685124170000</t>
  </si>
  <si>
    <t>2026-04-27 12:09:17</t>
  </si>
  <si>
    <t>2026-04-27 12:43:13</t>
  </si>
  <si>
    <t>449</t>
  </si>
  <si>
    <t>76753732825130090000</t>
  </si>
  <si>
    <t>702</t>
  </si>
  <si>
    <t>تونز وسط</t>
  </si>
  <si>
    <t>2026-04-27 12:11:04</t>
  </si>
  <si>
    <t>2026-05-03 14:09:42</t>
  </si>
  <si>
    <t>67.50000</t>
  </si>
  <si>
    <t>450</t>
  </si>
  <si>
    <t>13324059842176549000</t>
  </si>
  <si>
    <t>705</t>
  </si>
  <si>
    <t>2026-04-27 12:12:51</t>
  </si>
  <si>
    <t>2026-04-29 09:32:51</t>
  </si>
  <si>
    <t>451</t>
  </si>
  <si>
    <t>24033394207046550000</t>
  </si>
  <si>
    <t>699</t>
  </si>
  <si>
    <t>2026-04-27 12:13:08</t>
  </si>
  <si>
    <t>2026-04-27 12:30:52</t>
  </si>
  <si>
    <t>452</t>
  </si>
  <si>
    <t>64207299531576810000</t>
  </si>
  <si>
    <t>812</t>
  </si>
  <si>
    <t>طقم بناتي وسط</t>
  </si>
  <si>
    <t>18.00</t>
  </si>
  <si>
    <t>2026-04-27 12:17:09</t>
  </si>
  <si>
    <t>453</t>
  </si>
  <si>
    <t>29398693352595580000</t>
  </si>
  <si>
    <t>2026-04-27 12:17:10</t>
  </si>
  <si>
    <t>454</t>
  </si>
  <si>
    <t>16435950874232435000</t>
  </si>
  <si>
    <t>455</t>
  </si>
  <si>
    <t>98173020240097430000</t>
  </si>
  <si>
    <t>قميص ب ب</t>
  </si>
  <si>
    <t>2026-04-27 15:30:43</t>
  </si>
  <si>
    <t>456</t>
  </si>
  <si>
    <t>89655903022815540000</t>
  </si>
  <si>
    <t>2026-04-27 15:31:17</t>
  </si>
  <si>
    <t>19.50000</t>
  </si>
  <si>
    <t>457</t>
  </si>
  <si>
    <t>36204102644144400000</t>
  </si>
  <si>
    <t>2026-04-27 15:31:44</t>
  </si>
  <si>
    <t>27.27273</t>
  </si>
  <si>
    <t>458</t>
  </si>
  <si>
    <t>25671213580925280000</t>
  </si>
  <si>
    <t>2528</t>
  </si>
  <si>
    <t>طقم وسط بناتي</t>
  </si>
  <si>
    <t>2026-04-27 15:36:59</t>
  </si>
  <si>
    <t>459</t>
  </si>
  <si>
    <t>43128616078587950000</t>
  </si>
  <si>
    <t>460</t>
  </si>
  <si>
    <t>63244508598723300000</t>
  </si>
  <si>
    <t>461</t>
  </si>
  <si>
    <t>50212724001969280000</t>
  </si>
  <si>
    <t>175</t>
  </si>
  <si>
    <t>8.50000</t>
  </si>
  <si>
    <t>2026-04-28 08:59:33</t>
  </si>
  <si>
    <t>34.00000</t>
  </si>
  <si>
    <t>30.76923</t>
  </si>
  <si>
    <t>462</t>
  </si>
  <si>
    <t>37567044728063160000</t>
  </si>
  <si>
    <t>463</t>
  </si>
  <si>
    <t>79384771315787920000</t>
  </si>
  <si>
    <t>464</t>
  </si>
  <si>
    <t>14324879201492150000</t>
  </si>
  <si>
    <t>بيجاما بنتكور وسط</t>
  </si>
  <si>
    <t>2026-04-28 09:09:48</t>
  </si>
  <si>
    <t>28.57143</t>
  </si>
  <si>
    <t>465</t>
  </si>
  <si>
    <t>41324574201018384000</t>
  </si>
  <si>
    <t>466</t>
  </si>
  <si>
    <t>39205264784163680000</t>
  </si>
  <si>
    <t>2026-04-28 09:09:49</t>
  </si>
  <si>
    <t>467</t>
  </si>
  <si>
    <t>14970697059976856000</t>
  </si>
  <si>
    <t>468</t>
  </si>
  <si>
    <t>60591561325970600000</t>
  </si>
  <si>
    <t>1026</t>
  </si>
  <si>
    <t>2026-04-28 10:15:06</t>
  </si>
  <si>
    <t>469</t>
  </si>
  <si>
    <t>91192137131411460000</t>
  </si>
  <si>
    <t>2026-04-28 10:15:07</t>
  </si>
  <si>
    <t>470</t>
  </si>
  <si>
    <t>64863935502893830000</t>
  </si>
  <si>
    <t>471</t>
  </si>
  <si>
    <t>19671545199068488000</t>
  </si>
  <si>
    <t>2026-04-28 10:15:08</t>
  </si>
  <si>
    <t>472</t>
  </si>
  <si>
    <t>30527060803659420000</t>
  </si>
  <si>
    <t>4.87000</t>
  </si>
  <si>
    <t>2026-04-28 10:15:43</t>
  </si>
  <si>
    <t>19.48000</t>
  </si>
  <si>
    <t>10.68182</t>
  </si>
  <si>
    <t>473</t>
  </si>
  <si>
    <t>13976707984829040000</t>
  </si>
  <si>
    <t>474</t>
  </si>
  <si>
    <t>82178995373289140000</t>
  </si>
  <si>
    <t>475</t>
  </si>
  <si>
    <t>83866964063184060000</t>
  </si>
  <si>
    <t>2026-04-28 10:15:44</t>
  </si>
  <si>
    <t>476</t>
  </si>
  <si>
    <t>89937080067289530000</t>
  </si>
  <si>
    <t>5.49000</t>
  </si>
  <si>
    <t>4.80</t>
  </si>
  <si>
    <t>2026-04-28 10:16:23</t>
  </si>
  <si>
    <t>21.96000</t>
  </si>
  <si>
    <t>14.37500</t>
  </si>
  <si>
    <t>477</t>
  </si>
  <si>
    <t>22387891552870425000</t>
  </si>
  <si>
    <t>2026-04-28 10:16:24</t>
  </si>
  <si>
    <t>478</t>
  </si>
  <si>
    <t>55331475309148520000</t>
  </si>
  <si>
    <t>479</t>
  </si>
  <si>
    <t>59125224644469250000</t>
  </si>
  <si>
    <t>480</t>
  </si>
  <si>
    <t>69278257579070400000</t>
  </si>
  <si>
    <t>1100</t>
  </si>
  <si>
    <t>طقم ولادي</t>
  </si>
  <si>
    <t>2026-04-28 11:29:15</t>
  </si>
  <si>
    <t>14399488708182444000</t>
  </si>
  <si>
    <t>482</t>
  </si>
  <si>
    <t>32042834495333593000</t>
  </si>
  <si>
    <t>483</t>
  </si>
  <si>
    <t>90426577192600010000</t>
  </si>
  <si>
    <t>484</t>
  </si>
  <si>
    <t>30241788698148230000</t>
  </si>
  <si>
    <t>1101</t>
  </si>
  <si>
    <t>2026-04-28 11:30:02</t>
  </si>
  <si>
    <t>485</t>
  </si>
  <si>
    <t>65160484355140346000</t>
  </si>
  <si>
    <t>486</t>
  </si>
  <si>
    <t>60849812636028250000</t>
  </si>
  <si>
    <t>487</t>
  </si>
  <si>
    <t>39551182894975290000</t>
  </si>
  <si>
    <t>2026-04-28 11:30:03</t>
  </si>
  <si>
    <t>490</t>
  </si>
  <si>
    <t>52159866718189840000</t>
  </si>
  <si>
    <t>3811</t>
  </si>
  <si>
    <t>طقم بناتي 3 قطع وسط</t>
  </si>
  <si>
    <t>2026-04-28 11:39:19</t>
  </si>
  <si>
    <t>2026-04-28 13:29:22</t>
  </si>
  <si>
    <t>69.00000</t>
  </si>
  <si>
    <t>4.54545</t>
  </si>
  <si>
    <t>491</t>
  </si>
  <si>
    <t>52524502514739470000</t>
  </si>
  <si>
    <t>2026-04-28 11:39:20</t>
  </si>
  <si>
    <t>2026-04-28 13:29:33</t>
  </si>
  <si>
    <t>492</t>
  </si>
  <si>
    <t>16875530053024969000</t>
  </si>
  <si>
    <t>2026-04-28 13:29:47</t>
  </si>
  <si>
    <t>493</t>
  </si>
  <si>
    <t>74475457227125030000</t>
  </si>
  <si>
    <t>2026-04-28 11:41:59</t>
  </si>
  <si>
    <t>2026-04-28 13:30:00</t>
  </si>
  <si>
    <t>494</t>
  </si>
  <si>
    <t>68292763370148320000</t>
  </si>
  <si>
    <t>863</t>
  </si>
  <si>
    <t>طقم ولادي 3قطع</t>
  </si>
  <si>
    <t>16.50000</t>
  </si>
  <si>
    <t>14.50</t>
  </si>
  <si>
    <t>2026-04-28 11:46:32</t>
  </si>
  <si>
    <t>66.00000</t>
  </si>
  <si>
    <t>13.79310</t>
  </si>
  <si>
    <t>495</t>
  </si>
  <si>
    <t>40646385406710710000</t>
  </si>
  <si>
    <t>496</t>
  </si>
  <si>
    <t>76851858411357010000</t>
  </si>
  <si>
    <t>2026-04-28 11:46:33</t>
  </si>
  <si>
    <t>497</t>
  </si>
  <si>
    <t>88000072644290000000</t>
  </si>
  <si>
    <t>8226</t>
  </si>
  <si>
    <t>بيجاما وسط</t>
  </si>
  <si>
    <t>2026-04-28 11:48:49</t>
  </si>
  <si>
    <t>44.00000</t>
  </si>
  <si>
    <t>498</t>
  </si>
  <si>
    <t>11182300291874736000</t>
  </si>
  <si>
    <t>2026-04-28 11:48:50</t>
  </si>
  <si>
    <t>499</t>
  </si>
  <si>
    <t>32892427447275553000</t>
  </si>
  <si>
    <t>500</t>
  </si>
  <si>
    <t>93334134704747220000</t>
  </si>
  <si>
    <t>2026-04-28 11:48:51</t>
  </si>
  <si>
    <t>501</t>
  </si>
  <si>
    <t>10890121292108681000</t>
  </si>
  <si>
    <t>8128</t>
  </si>
  <si>
    <t>بيجاما ب ب</t>
  </si>
  <si>
    <t>8.00000</t>
  </si>
  <si>
    <t>2026-04-28 11:51:44</t>
  </si>
  <si>
    <t>32.00000</t>
  </si>
  <si>
    <t>23.07692</t>
  </si>
  <si>
    <t>502</t>
  </si>
  <si>
    <t>50072799576566560000</t>
  </si>
  <si>
    <t>2026-04-28 11:51:45</t>
  </si>
  <si>
    <t>503</t>
  </si>
  <si>
    <t>17452307120002540000</t>
  </si>
  <si>
    <t>504</t>
  </si>
  <si>
    <t>47562822867931280000</t>
  </si>
  <si>
    <t>505</t>
  </si>
  <si>
    <t>43422513275954230000</t>
  </si>
  <si>
    <t>7122</t>
  </si>
  <si>
    <t>بيجاما  بناتي ب ب</t>
  </si>
  <si>
    <t>8.25000</t>
  </si>
  <si>
    <t>6.75</t>
  </si>
  <si>
    <t>2026-04-28 11:54:13</t>
  </si>
  <si>
    <t>506</t>
  </si>
  <si>
    <t>21929487452567265000</t>
  </si>
  <si>
    <t>2026-04-28 11:54:14</t>
  </si>
  <si>
    <t>507</t>
  </si>
  <si>
    <t>10158092009834367000</t>
  </si>
  <si>
    <t>508</t>
  </si>
  <si>
    <t>11314903128123850000</t>
  </si>
  <si>
    <t>509</t>
  </si>
  <si>
    <t>33828817329766980000</t>
  </si>
  <si>
    <t>2060</t>
  </si>
  <si>
    <t>نص كم</t>
  </si>
  <si>
    <t>2026-04-28 12:07:49</t>
  </si>
  <si>
    <t>2026-04-29 09:57:31</t>
  </si>
  <si>
    <t>510</t>
  </si>
  <si>
    <t>17702614695745532000</t>
  </si>
  <si>
    <t>نص كم محير</t>
  </si>
  <si>
    <t>2026-04-28 12:09:14</t>
  </si>
  <si>
    <t>2026-05-03 12:38:43</t>
  </si>
  <si>
    <t>102.00000</t>
  </si>
  <si>
    <t>511</t>
  </si>
  <si>
    <t>53427732627880510000</t>
  </si>
  <si>
    <t>1510</t>
  </si>
  <si>
    <t>2026-04-28 12:09:52</t>
  </si>
  <si>
    <t>2026-04-28 15:06:55</t>
  </si>
  <si>
    <t>512</t>
  </si>
  <si>
    <t>50480055774199060000</t>
  </si>
  <si>
    <t>662</t>
  </si>
  <si>
    <t>روسيل</t>
  </si>
  <si>
    <t>2026-04-28 12:10:45</t>
  </si>
  <si>
    <t>2026-07-12 09:10:14</t>
  </si>
  <si>
    <t>513</t>
  </si>
  <si>
    <t>46277106960608444000</t>
  </si>
  <si>
    <t>2026-04-28 12:10:46</t>
  </si>
  <si>
    <t>2026-07-12 09:10:25</t>
  </si>
  <si>
    <t>42.00000</t>
  </si>
  <si>
    <t>514</t>
  </si>
  <si>
    <t>29133369510372246000</t>
  </si>
  <si>
    <t>2026-04-28 12:39:18</t>
  </si>
  <si>
    <t>2026-04-28 14:28:29</t>
  </si>
  <si>
    <t>515</t>
  </si>
  <si>
    <t>68669136246443660000</t>
  </si>
  <si>
    <t>2026-04-28 12:39:19</t>
  </si>
  <si>
    <t>2026-04-28 14:28:43</t>
  </si>
  <si>
    <t>516</t>
  </si>
  <si>
    <t>53048264039342040000</t>
  </si>
  <si>
    <t>2026-04-28 12:39:20</t>
  </si>
  <si>
    <t>2026-04-28 14:28:55</t>
  </si>
  <si>
    <t>517</t>
  </si>
  <si>
    <t>50985807450571645000</t>
  </si>
  <si>
    <t>2026-04-28 14:29:06</t>
  </si>
  <si>
    <t>518</t>
  </si>
  <si>
    <t>31856256578703380000</t>
  </si>
  <si>
    <t>576</t>
  </si>
  <si>
    <t>2026-04-28 12:41:11</t>
  </si>
  <si>
    <t>519</t>
  </si>
  <si>
    <t>72033605919117210000</t>
  </si>
  <si>
    <t>2026-04-28 12:41:12</t>
  </si>
  <si>
    <t>520</t>
  </si>
  <si>
    <t>71973085786452770000</t>
  </si>
  <si>
    <t>2026-04-28 12:41:13</t>
  </si>
  <si>
    <t>521</t>
  </si>
  <si>
    <t>66531163941817510000</t>
  </si>
  <si>
    <t>522</t>
  </si>
  <si>
    <t>41743552998239490000</t>
  </si>
  <si>
    <t>تونز  ب ب</t>
  </si>
  <si>
    <t>2026-04-28 12:44:07</t>
  </si>
  <si>
    <t>523</t>
  </si>
  <si>
    <t>89989677861946650000</t>
  </si>
  <si>
    <t>524</t>
  </si>
  <si>
    <t>86411444315851490000</t>
  </si>
  <si>
    <t>2026-04-28 12:44:08</t>
  </si>
  <si>
    <t>525</t>
  </si>
  <si>
    <t>98344552853228110000</t>
  </si>
  <si>
    <t>526</t>
  </si>
  <si>
    <t>22601876118560180000</t>
  </si>
  <si>
    <t>575</t>
  </si>
  <si>
    <t>2026-04-28 12:46:40</t>
  </si>
  <si>
    <t>527</t>
  </si>
  <si>
    <t>89040969062891520000</t>
  </si>
  <si>
    <t>2026-04-28 12:46:41</t>
  </si>
  <si>
    <t>529</t>
  </si>
  <si>
    <t>79616888521194820000</t>
  </si>
  <si>
    <t>530</t>
  </si>
  <si>
    <t>94588534643829300000</t>
  </si>
  <si>
    <t>675</t>
  </si>
  <si>
    <t>تونز  محير</t>
  </si>
  <si>
    <t>2026-04-28 12:47:41</t>
  </si>
  <si>
    <t>2026-04-28 14:37:11</t>
  </si>
  <si>
    <t>531</t>
  </si>
  <si>
    <t>32181761788309783000</t>
  </si>
  <si>
    <t>2026-04-28 14:37:35</t>
  </si>
  <si>
    <t>532</t>
  </si>
  <si>
    <t>72636263397331970000</t>
  </si>
  <si>
    <t>2026-04-28 12:47:42</t>
  </si>
  <si>
    <t>2026-04-28 14:37:52</t>
  </si>
  <si>
    <t>533</t>
  </si>
  <si>
    <t>60070308630610630000</t>
  </si>
  <si>
    <t>2026-04-28 12:47:43</t>
  </si>
  <si>
    <t>2026-04-28 14:38:10</t>
  </si>
  <si>
    <t>534</t>
  </si>
  <si>
    <t>15792851798119094000</t>
  </si>
  <si>
    <t>2026-04-28 12:51:21</t>
  </si>
  <si>
    <t>535</t>
  </si>
  <si>
    <t>39478918181484100000</t>
  </si>
  <si>
    <t>2026-04-28 12:51:22</t>
  </si>
  <si>
    <t>536</t>
  </si>
  <si>
    <t>11112459617238378000</t>
  </si>
  <si>
    <t>2026-04-28 12:51:23</t>
  </si>
  <si>
    <t>537</t>
  </si>
  <si>
    <t>10673123605837238000</t>
  </si>
  <si>
    <t>591</t>
  </si>
  <si>
    <t>2026-04-28 12:52:39</t>
  </si>
  <si>
    <t>538</t>
  </si>
  <si>
    <t>10502699663015815000</t>
  </si>
  <si>
    <t>539</t>
  </si>
  <si>
    <t>72633596533988630000</t>
  </si>
  <si>
    <t>2026-04-28 12:52:40</t>
  </si>
  <si>
    <t>540</t>
  </si>
  <si>
    <t>15256027523386720000</t>
  </si>
  <si>
    <t>691</t>
  </si>
  <si>
    <t>2026-04-28 12:54:06</t>
  </si>
  <si>
    <t>541</t>
  </si>
  <si>
    <t>52782498236019820000</t>
  </si>
  <si>
    <t>2026-04-28 12:54:07</t>
  </si>
  <si>
    <t>542</t>
  </si>
  <si>
    <t>87057777566453450000</t>
  </si>
  <si>
    <t>544</t>
  </si>
  <si>
    <t>43265393438147674000</t>
  </si>
  <si>
    <t>2026-04-28 12:58:33</t>
  </si>
  <si>
    <t>545</t>
  </si>
  <si>
    <t>52069579936071620000</t>
  </si>
  <si>
    <t>550</t>
  </si>
  <si>
    <t>37127104498136940000</t>
  </si>
  <si>
    <t>2026-04-28 12:59:10</t>
  </si>
  <si>
    <t>2026-04-29 08:07:23</t>
  </si>
  <si>
    <t>19.70000</t>
  </si>
  <si>
    <t>555</t>
  </si>
  <si>
    <t>38674848481118810000</t>
  </si>
  <si>
    <t>زارة</t>
  </si>
  <si>
    <t>طقم مع طاقية</t>
  </si>
  <si>
    <t>2026-04-28 13:04:26</t>
  </si>
  <si>
    <t>556</t>
  </si>
  <si>
    <t>69831817562769930000</t>
  </si>
  <si>
    <t>557</t>
  </si>
  <si>
    <t>89089338637797230000</t>
  </si>
  <si>
    <t>862</t>
  </si>
  <si>
    <t>طقم مع حذاء</t>
  </si>
  <si>
    <t>17.45000</t>
  </si>
  <si>
    <t>15.50</t>
  </si>
  <si>
    <t>2026-04-28 13:20:03</t>
  </si>
  <si>
    <t>2026-04-28 13:23:17</t>
  </si>
  <si>
    <t>69.80000</t>
  </si>
  <si>
    <t>12.58065</t>
  </si>
  <si>
    <t>558</t>
  </si>
  <si>
    <t>66483656193737190000</t>
  </si>
  <si>
    <t>2026-04-28 13:20:04</t>
  </si>
  <si>
    <t>2026-04-28 13:21:37</t>
  </si>
  <si>
    <t>559</t>
  </si>
  <si>
    <t>83849387675119500000</t>
  </si>
  <si>
    <t>2026-04-28 13:23:37</t>
  </si>
  <si>
    <t>560</t>
  </si>
  <si>
    <t>48777106465044210000</t>
  </si>
  <si>
    <t>676</t>
  </si>
  <si>
    <t>13.01000</t>
  </si>
  <si>
    <t>2026-04-28 13:38:17</t>
  </si>
  <si>
    <t>39.03000</t>
  </si>
  <si>
    <t>18.27273</t>
  </si>
  <si>
    <t>561</t>
  </si>
  <si>
    <t>16634272834361799000</t>
  </si>
  <si>
    <t>2026-04-28 13:38:18</t>
  </si>
  <si>
    <t>562</t>
  </si>
  <si>
    <t>11473826286716006000</t>
  </si>
  <si>
    <t>563</t>
  </si>
  <si>
    <t>77170921324177400000</t>
  </si>
  <si>
    <t>564</t>
  </si>
  <si>
    <t>14039548237119994000</t>
  </si>
  <si>
    <t>1511</t>
  </si>
  <si>
    <t>كنزة نص كم</t>
  </si>
  <si>
    <t>2026-04-28 13:42:31</t>
  </si>
  <si>
    <t>565</t>
  </si>
  <si>
    <t>70089149197352110000</t>
  </si>
  <si>
    <t>2026-04-28 14:24:06</t>
  </si>
  <si>
    <t>2026-07-12 09:11:05</t>
  </si>
  <si>
    <t>566</t>
  </si>
  <si>
    <t>76508417586170460000</t>
  </si>
  <si>
    <t>2026-04-28 14:24:07</t>
  </si>
  <si>
    <t>2026-07-12 09:11:16</t>
  </si>
  <si>
    <t>567</t>
  </si>
  <si>
    <t>60563293039724044000</t>
  </si>
  <si>
    <t>2026-04-28 14:48:30</t>
  </si>
  <si>
    <t>568</t>
  </si>
  <si>
    <t>91464606083757690000</t>
  </si>
  <si>
    <t>1062</t>
  </si>
  <si>
    <t>2026-04-29 07:40:23</t>
  </si>
  <si>
    <t>569</t>
  </si>
  <si>
    <t>94992313785932430000</t>
  </si>
  <si>
    <t>2026-04-29 07:40:24</t>
  </si>
  <si>
    <t>570</t>
  </si>
  <si>
    <t>12434244349040940000</t>
  </si>
  <si>
    <t>571</t>
  </si>
  <si>
    <t>83498795084766050000</t>
  </si>
  <si>
    <t>2026-04-29 07:41:51</t>
  </si>
  <si>
    <t>572</t>
  </si>
  <si>
    <t>11147162381727734000</t>
  </si>
  <si>
    <t>2026-04-29 07:41:52</t>
  </si>
  <si>
    <t>573</t>
  </si>
  <si>
    <t>96842860141027670000</t>
  </si>
  <si>
    <t>574</t>
  </si>
  <si>
    <t>70759696292250390000</t>
  </si>
  <si>
    <t>5.39000</t>
  </si>
  <si>
    <t>2026-04-29 07:42:28</t>
  </si>
  <si>
    <t>21.56000</t>
  </si>
  <si>
    <t>19884824104801985000</t>
  </si>
  <si>
    <t>2026-04-29 07:42:29</t>
  </si>
  <si>
    <t>45272442757145020000</t>
  </si>
  <si>
    <t>577</t>
  </si>
  <si>
    <t>88199515883407880000</t>
  </si>
  <si>
    <t>2026-04-29 07:43:03</t>
  </si>
  <si>
    <t>578</t>
  </si>
  <si>
    <t>62738866493405300000</t>
  </si>
  <si>
    <t>2026-04-29 07:43:04</t>
  </si>
  <si>
    <t>579</t>
  </si>
  <si>
    <t>98796709864277410000</t>
  </si>
  <si>
    <t>580</t>
  </si>
  <si>
    <t>77599342861540380000</t>
  </si>
  <si>
    <t>طقم بنطلون كتان طويل</t>
  </si>
  <si>
    <t>2026-04-29 12:57:25</t>
  </si>
  <si>
    <t>77587295025168380000</t>
  </si>
  <si>
    <t>582</t>
  </si>
  <si>
    <t>66773909159375540000</t>
  </si>
  <si>
    <t>583</t>
  </si>
  <si>
    <t>40973129518178830000</t>
  </si>
  <si>
    <t>طقم شورت كتان  ب ب</t>
  </si>
  <si>
    <t>2026-04-29 12:59:34</t>
  </si>
  <si>
    <t>2026-05-17 12:00:37</t>
  </si>
  <si>
    <t>584</t>
  </si>
  <si>
    <t>21106179859708293000</t>
  </si>
  <si>
    <t>2026-05-17 12:00:49</t>
  </si>
  <si>
    <t>585</t>
  </si>
  <si>
    <t>56537176342250775000</t>
  </si>
  <si>
    <t>طقم شورت كتان ب ب</t>
  </si>
  <si>
    <t>2026-04-29 13:06:54</t>
  </si>
  <si>
    <t>2026-05-17 12:00:56</t>
  </si>
  <si>
    <t>586</t>
  </si>
  <si>
    <t>83767919110012720000</t>
  </si>
  <si>
    <t>2026-05-17 12:01:05</t>
  </si>
  <si>
    <t>587</t>
  </si>
  <si>
    <t>41288128564656780000</t>
  </si>
  <si>
    <t>بلوزة فل ليكرا ب ب اكسسوار</t>
  </si>
  <si>
    <t>2026-04-29 13:10:20</t>
  </si>
  <si>
    <t>2026-05-03 12:47:08</t>
  </si>
  <si>
    <t>29.41176</t>
  </si>
  <si>
    <t>588</t>
  </si>
  <si>
    <t>32440763564919108000</t>
  </si>
  <si>
    <t>2026-05-03 12:47:22</t>
  </si>
  <si>
    <t>589</t>
  </si>
  <si>
    <t>80584498874193440000</t>
  </si>
  <si>
    <t>2026-05-03 12:47:35</t>
  </si>
  <si>
    <t>590</t>
  </si>
  <si>
    <t>58410404401616340000</t>
  </si>
  <si>
    <t>2026-04-29 13:12:04</t>
  </si>
  <si>
    <t>2026-05-03 12:47:47</t>
  </si>
  <si>
    <t>43661479603449050000</t>
  </si>
  <si>
    <t>2026-04-29 13:14:50</t>
  </si>
  <si>
    <t>2026-05-03 10:45:00</t>
  </si>
  <si>
    <t>16.47000</t>
  </si>
  <si>
    <t>29.17647</t>
  </si>
  <si>
    <t>592</t>
  </si>
  <si>
    <t>20210515581398897000</t>
  </si>
  <si>
    <t>2026-04-29 13:14:51</t>
  </si>
  <si>
    <t>2026-05-03 10:45:12</t>
  </si>
  <si>
    <t>593</t>
  </si>
  <si>
    <t>81186322822972380000</t>
  </si>
  <si>
    <t>2026-05-03 10:48:13</t>
  </si>
  <si>
    <t>594</t>
  </si>
  <si>
    <t>90575106117085150000</t>
  </si>
  <si>
    <t>2026-05-03 10:45:42</t>
  </si>
  <si>
    <t>595</t>
  </si>
  <si>
    <t>16848108465622473000</t>
  </si>
  <si>
    <t>608</t>
  </si>
  <si>
    <t>بلوزة فل ليكرا  وسط اكسسوار</t>
  </si>
  <si>
    <t>2026-04-29 13:15:58</t>
  </si>
  <si>
    <t>596</t>
  </si>
  <si>
    <t>66577664828218400000</t>
  </si>
  <si>
    <t>597</t>
  </si>
  <si>
    <t>46009319914069820000</t>
  </si>
  <si>
    <t>598</t>
  </si>
  <si>
    <t>86581258149642340000</t>
  </si>
  <si>
    <t>599</t>
  </si>
  <si>
    <t>63952555896064475000</t>
  </si>
  <si>
    <t>تونز صبياني محير</t>
  </si>
  <si>
    <t>2026-04-30 06:28:37</t>
  </si>
  <si>
    <t>600</t>
  </si>
  <si>
    <t>84176568176672010000</t>
  </si>
  <si>
    <t>2026-04-30 06:28:38</t>
  </si>
  <si>
    <t>601</t>
  </si>
  <si>
    <t>58554509630847360000</t>
  </si>
  <si>
    <t>602</t>
  </si>
  <si>
    <t>48183589347500790000</t>
  </si>
  <si>
    <t>603</t>
  </si>
  <si>
    <t>89971982198421180000</t>
  </si>
  <si>
    <t>تونز صبياني  وسط</t>
  </si>
  <si>
    <t>2026-04-30 06:29:27</t>
  </si>
  <si>
    <t>604</t>
  </si>
  <si>
    <t>16312360105176592000</t>
  </si>
  <si>
    <t>605</t>
  </si>
  <si>
    <t>40200827458525180000</t>
  </si>
  <si>
    <t>2026-04-30 06:29:28</t>
  </si>
  <si>
    <t>606</t>
  </si>
  <si>
    <t>40434908727544010000</t>
  </si>
  <si>
    <t>607</t>
  </si>
  <si>
    <t>24830052261084070000</t>
  </si>
  <si>
    <t>5054</t>
  </si>
  <si>
    <t>بناتي اسبنيول مطاط</t>
  </si>
  <si>
    <t>5.75000</t>
  </si>
  <si>
    <t>2026-05-02 13:48:45</t>
  </si>
  <si>
    <t>2026-06-07 08:13:04</t>
  </si>
  <si>
    <t>57867531304023950000</t>
  </si>
  <si>
    <t>2026-05-02 13:48:46</t>
  </si>
  <si>
    <t>2026-06-07 08:13:19</t>
  </si>
  <si>
    <t>609</t>
  </si>
  <si>
    <t>58760877630829200000</t>
  </si>
  <si>
    <t>2026-05-02 13:49:49</t>
  </si>
  <si>
    <t>2026-06-07 08:13:36</t>
  </si>
  <si>
    <t>610</t>
  </si>
  <si>
    <t>92263822199957620000</t>
  </si>
  <si>
    <t>2026-06-07 08:13:49</t>
  </si>
  <si>
    <t>611</t>
  </si>
  <si>
    <t>47557522115459130000</t>
  </si>
  <si>
    <t>6.20</t>
  </si>
  <si>
    <t>2026-05-02 13:50:21</t>
  </si>
  <si>
    <t>2026-06-07 08:14:01</t>
  </si>
  <si>
    <t>11.29032</t>
  </si>
  <si>
    <t>612</t>
  </si>
  <si>
    <t>51583830150996800000</t>
  </si>
  <si>
    <t>2026-06-07 08:14:17</t>
  </si>
  <si>
    <t>613</t>
  </si>
  <si>
    <t>48813154746124910000</t>
  </si>
  <si>
    <t>3451</t>
  </si>
  <si>
    <t>فستان بناتي ب ب</t>
  </si>
  <si>
    <t>17.50000</t>
  </si>
  <si>
    <t>2026-05-04 09:45:05</t>
  </si>
  <si>
    <t>70.00000</t>
  </si>
  <si>
    <t>9.37500</t>
  </si>
  <si>
    <t>614</t>
  </si>
  <si>
    <t>50698234079987290000</t>
  </si>
  <si>
    <t>615</t>
  </si>
  <si>
    <t>98823561968695640000</t>
  </si>
  <si>
    <t>616</t>
  </si>
  <si>
    <t>48847561181480780000</t>
  </si>
  <si>
    <t>3452</t>
  </si>
  <si>
    <t>فستان بناتي وسط</t>
  </si>
  <si>
    <t>17.00</t>
  </si>
  <si>
    <t>2026-05-04 09:46:36</t>
  </si>
  <si>
    <t>55.50000</t>
  </si>
  <si>
    <t>617</t>
  </si>
  <si>
    <t>17428084236810498000</t>
  </si>
  <si>
    <t>618</t>
  </si>
  <si>
    <t>13647071503450681000</t>
  </si>
  <si>
    <t>619</t>
  </si>
  <si>
    <t>90407982577612930000</t>
  </si>
  <si>
    <t>3426</t>
  </si>
  <si>
    <t>فستان بناتي جنز ب ب</t>
  </si>
  <si>
    <t>15.49000</t>
  </si>
  <si>
    <t>2026-05-04 09:47:51</t>
  </si>
  <si>
    <t>61.96000</t>
  </si>
  <si>
    <t>10.64286</t>
  </si>
  <si>
    <t>620</t>
  </si>
  <si>
    <t>14771254765254863000</t>
  </si>
  <si>
    <t>19058</t>
  </si>
  <si>
    <t>سلوبيت ب ب</t>
  </si>
  <si>
    <t>2026-05-04 09:50:31</t>
  </si>
  <si>
    <t>2026-05-05 11:16:32</t>
  </si>
  <si>
    <t>16.66667</t>
  </si>
  <si>
    <t>621</t>
  </si>
  <si>
    <t>44406398445870690000</t>
  </si>
  <si>
    <t>2026-05-05 11:16:36</t>
  </si>
  <si>
    <t>622</t>
  </si>
  <si>
    <t>40421496388724605000</t>
  </si>
  <si>
    <t>2026-05-04 09:50:32</t>
  </si>
  <si>
    <t>2026-05-05 11:16:38</t>
  </si>
  <si>
    <t>623</t>
  </si>
  <si>
    <t>89821298547393120000</t>
  </si>
  <si>
    <t>بنطال بناتي اسبنيولي  خصر مطاط</t>
  </si>
  <si>
    <t>5.78000</t>
  </si>
  <si>
    <t>2026-05-06 07:20:49</t>
  </si>
  <si>
    <t>23.12000</t>
  </si>
  <si>
    <t>10.09524</t>
  </si>
  <si>
    <t>624</t>
  </si>
  <si>
    <t>34522429462386390000</t>
  </si>
  <si>
    <t>625</t>
  </si>
  <si>
    <t>58970389780595660000</t>
  </si>
  <si>
    <t>2026-05-06 07:39:30</t>
  </si>
  <si>
    <t>626</t>
  </si>
  <si>
    <t>37671532122968300000</t>
  </si>
  <si>
    <t>5.90</t>
  </si>
  <si>
    <t>2026-05-06 07:39:50</t>
  </si>
  <si>
    <t>10.16949</t>
  </si>
  <si>
    <t>627</t>
  </si>
  <si>
    <t>46244425481962420000</t>
  </si>
  <si>
    <t>2026-05-06 07:42:10</t>
  </si>
  <si>
    <t>2026-07-04 10:47:13</t>
  </si>
  <si>
    <t>628</t>
  </si>
  <si>
    <t>41638374906245730000</t>
  </si>
  <si>
    <t>2026-05-06 07:42:31</t>
  </si>
  <si>
    <t>2026-07-04 10:47:27</t>
  </si>
  <si>
    <t>629</t>
  </si>
  <si>
    <t>88610424880296500000</t>
  </si>
  <si>
    <t>3436</t>
  </si>
  <si>
    <t>2026-05-07 06:55:15</t>
  </si>
  <si>
    <t>58.00000</t>
  </si>
  <si>
    <t>630</t>
  </si>
  <si>
    <t>54895808595158550000</t>
  </si>
  <si>
    <t>631</t>
  </si>
  <si>
    <t>96896036711978420000</t>
  </si>
  <si>
    <t>3437</t>
  </si>
  <si>
    <t>2026-05-07 06:56:28</t>
  </si>
  <si>
    <t>2026-05-07 07:15:02</t>
  </si>
  <si>
    <t>46.47000</t>
  </si>
  <si>
    <t>632</t>
  </si>
  <si>
    <t>80570997255323780000</t>
  </si>
  <si>
    <t>2026-05-07 07:15:17</t>
  </si>
  <si>
    <t>633</t>
  </si>
  <si>
    <t>68120492719849275000</t>
  </si>
  <si>
    <t>3438</t>
  </si>
  <si>
    <t>2026-05-07 06:59:29</t>
  </si>
  <si>
    <t>634</t>
  </si>
  <si>
    <t>29247343056140067000</t>
  </si>
  <si>
    <t>635</t>
  </si>
  <si>
    <t>77763038105894880000</t>
  </si>
  <si>
    <t>636</t>
  </si>
  <si>
    <t>22612995613094396000</t>
  </si>
  <si>
    <t>3439</t>
  </si>
  <si>
    <t>15.50000</t>
  </si>
  <si>
    <t>2026-05-07 07:01:16</t>
  </si>
  <si>
    <t>46.50000</t>
  </si>
  <si>
    <t>637</t>
  </si>
  <si>
    <t>51336099030271990000</t>
  </si>
  <si>
    <t>638</t>
  </si>
  <si>
    <t>17347356434990604000</t>
  </si>
  <si>
    <t>639</t>
  </si>
  <si>
    <t>23728055702683943000</t>
  </si>
  <si>
    <t>3433</t>
  </si>
  <si>
    <t>2026-05-07 07:02:27</t>
  </si>
  <si>
    <t>640</t>
  </si>
  <si>
    <t>61476306289375500000</t>
  </si>
  <si>
    <t>641</t>
  </si>
  <si>
    <t>91257613103119300000</t>
  </si>
  <si>
    <t>3434</t>
  </si>
  <si>
    <t>2026-05-07 07:03:23</t>
  </si>
  <si>
    <t>642</t>
  </si>
  <si>
    <t>84866531462162140000</t>
  </si>
  <si>
    <t>643</t>
  </si>
  <si>
    <t>87250889827987210000</t>
  </si>
  <si>
    <t>3432</t>
  </si>
  <si>
    <t>2026-05-07 07:04:00</t>
  </si>
  <si>
    <t>644</t>
  </si>
  <si>
    <t>37008752535975000000</t>
  </si>
  <si>
    <t>645</t>
  </si>
  <si>
    <t>34804324675243266000</t>
  </si>
  <si>
    <t>3455</t>
  </si>
  <si>
    <t>2026-05-07 07:04:51</t>
  </si>
  <si>
    <t>646</t>
  </si>
  <si>
    <t>73505801564249194000</t>
  </si>
  <si>
    <t>647</t>
  </si>
  <si>
    <t>83555206499540470000</t>
  </si>
  <si>
    <t>1151</t>
  </si>
  <si>
    <t>برتقالي</t>
  </si>
  <si>
    <t>2026-05-07 08:38:39</t>
  </si>
  <si>
    <t>2026-05-07 13:46:08</t>
  </si>
  <si>
    <t>44.97000</t>
  </si>
  <si>
    <t>648</t>
  </si>
  <si>
    <t>97671403852224610000</t>
  </si>
  <si>
    <t>2026-05-07 13:31:00</t>
  </si>
  <si>
    <t>649</t>
  </si>
  <si>
    <t>81447574600155050000</t>
  </si>
  <si>
    <t>2026-05-07 13:30:56</t>
  </si>
  <si>
    <t>650</t>
  </si>
  <si>
    <t>33233686750265000000</t>
  </si>
  <si>
    <t>2026-05-07 13:30:53</t>
  </si>
  <si>
    <t>651</t>
  </si>
  <si>
    <t>68371930962219246000</t>
  </si>
  <si>
    <t>2026-05-07 08:39:38</t>
  </si>
  <si>
    <t>2026-05-07 13:30:47</t>
  </si>
  <si>
    <t>652</t>
  </si>
  <si>
    <t>99978087191437950000</t>
  </si>
  <si>
    <t>2026-05-07 13:30:44</t>
  </si>
  <si>
    <t>40759787665599510000</t>
  </si>
  <si>
    <t>2026-05-07 08:39:39</t>
  </si>
  <si>
    <t>2026-05-07 13:30:36</t>
  </si>
  <si>
    <t>654</t>
  </si>
  <si>
    <t>83895400433017180000</t>
  </si>
  <si>
    <t>2026-05-07 13:30:30</t>
  </si>
  <si>
    <t>655</t>
  </si>
  <si>
    <t>64878158821662120000</t>
  </si>
  <si>
    <t>2026-05-07 09:24:19</t>
  </si>
  <si>
    <t>656</t>
  </si>
  <si>
    <t>53566501690645780000</t>
  </si>
  <si>
    <t>657</t>
  </si>
  <si>
    <t>60997508152438235000</t>
  </si>
  <si>
    <t>2026-05-07 09:24:20</t>
  </si>
  <si>
    <t>658</t>
  </si>
  <si>
    <t>10716535244722778000</t>
  </si>
  <si>
    <t>659</t>
  </si>
  <si>
    <t>65044194687834270000</t>
  </si>
  <si>
    <t>660</t>
  </si>
  <si>
    <t>35005485397521170000</t>
  </si>
  <si>
    <t>9040</t>
  </si>
  <si>
    <t>طقم صبياني مقلم تلت قطع</t>
  </si>
  <si>
    <t>17.05000</t>
  </si>
  <si>
    <t>2026-05-07 10:49:42</t>
  </si>
  <si>
    <t>2026-05-09 15:36:51</t>
  </si>
  <si>
    <t>51.15000</t>
  </si>
  <si>
    <t>661</t>
  </si>
  <si>
    <t>47656522212273750000</t>
  </si>
  <si>
    <t>2026-05-07 10:49:43</t>
  </si>
  <si>
    <t>2026-05-09 15:36:32</t>
  </si>
  <si>
    <t>27107471908172150000</t>
  </si>
  <si>
    <t>2026-05-09 15:36:47</t>
  </si>
  <si>
    <t>663</t>
  </si>
  <si>
    <t>14780980907975197000</t>
  </si>
  <si>
    <t>2026-05-07 10:49:48</t>
  </si>
  <si>
    <t>2026-05-09 15:36:41</t>
  </si>
  <si>
    <t>664</t>
  </si>
  <si>
    <t>37233119241254445000</t>
  </si>
  <si>
    <t>2026-05-07 11:00:34</t>
  </si>
  <si>
    <t>2026-05-09 15:36:35</t>
  </si>
  <si>
    <t>665</t>
  </si>
  <si>
    <t>27666101859140740000</t>
  </si>
  <si>
    <t>2026-05-07 11:00:36</t>
  </si>
  <si>
    <t>2026-05-09 15:36:49</t>
  </si>
  <si>
    <t>666</t>
  </si>
  <si>
    <t>32268441938842767000</t>
  </si>
  <si>
    <t>2026-05-09 15:36:27</t>
  </si>
  <si>
    <t>667</t>
  </si>
  <si>
    <t>10923656425623380000</t>
  </si>
  <si>
    <t>2026-05-09 15:36:44</t>
  </si>
  <si>
    <t>668</t>
  </si>
  <si>
    <t>89352873344302760000</t>
  </si>
  <si>
    <t>9044</t>
  </si>
  <si>
    <t>طقم صبياني سادة تلت قطع</t>
  </si>
  <si>
    <t>2026-05-07 11:02:05</t>
  </si>
  <si>
    <t>2026-05-09 15:36:22</t>
  </si>
  <si>
    <t>669</t>
  </si>
  <si>
    <t>54941545307146800000</t>
  </si>
  <si>
    <t>2026-05-09 15:36:15</t>
  </si>
  <si>
    <t>670</t>
  </si>
  <si>
    <t>41382685134988610000</t>
  </si>
  <si>
    <t>2026-05-09 15:33:24</t>
  </si>
  <si>
    <t>671</t>
  </si>
  <si>
    <t>97097325397973220000</t>
  </si>
  <si>
    <t>2026-05-09 15:33:28</t>
  </si>
  <si>
    <t>672</t>
  </si>
  <si>
    <t>84477806782218600000</t>
  </si>
  <si>
    <t>18.10000</t>
  </si>
  <si>
    <t>2026-05-07 11:02:51</t>
  </si>
  <si>
    <t>2026-05-09 15:33:26</t>
  </si>
  <si>
    <t>54.30000</t>
  </si>
  <si>
    <t>9.69697</t>
  </si>
  <si>
    <t>673</t>
  </si>
  <si>
    <t>61983594846577160000</t>
  </si>
  <si>
    <t>2026-05-09 15:33:11</t>
  </si>
  <si>
    <t>674</t>
  </si>
  <si>
    <t>39141745846141460000</t>
  </si>
  <si>
    <t>2026-05-09 15:36:13</t>
  </si>
  <si>
    <t>65104974257249000000</t>
  </si>
  <si>
    <t>2026-05-09 15:36:17</t>
  </si>
  <si>
    <t>36794262863241175000</t>
  </si>
  <si>
    <t>1102</t>
  </si>
  <si>
    <t>2026-05-07 11:47:33</t>
  </si>
  <si>
    <t>677</t>
  </si>
  <si>
    <t>29605101331437190000</t>
  </si>
  <si>
    <t>678</t>
  </si>
  <si>
    <t>19879285871353360000</t>
  </si>
  <si>
    <t>679</t>
  </si>
  <si>
    <t>14153273570510764000</t>
  </si>
  <si>
    <t>680</t>
  </si>
  <si>
    <t>70637475499540890000</t>
  </si>
  <si>
    <t>1103</t>
  </si>
  <si>
    <t>2026-05-07 11:48:43</t>
  </si>
  <si>
    <t>34120066481668313000</t>
  </si>
  <si>
    <t>682</t>
  </si>
  <si>
    <t>94616990581610760000</t>
  </si>
  <si>
    <t>683</t>
  </si>
  <si>
    <t>78211729948555330000</t>
  </si>
  <si>
    <t>684</t>
  </si>
  <si>
    <t>21383565169218340000</t>
  </si>
  <si>
    <t>7128</t>
  </si>
  <si>
    <t>بيجاما  ب ب</t>
  </si>
  <si>
    <t>2026-05-07 11:54:43</t>
  </si>
  <si>
    <t>24.75000</t>
  </si>
  <si>
    <t>685</t>
  </si>
  <si>
    <t>34746165970662170000</t>
  </si>
  <si>
    <t>686</t>
  </si>
  <si>
    <t>64957309970058380000</t>
  </si>
  <si>
    <t>687</t>
  </si>
  <si>
    <t>74168990130162760000</t>
  </si>
  <si>
    <t>688</t>
  </si>
  <si>
    <t>85719325632550160000</t>
  </si>
  <si>
    <t>8124</t>
  </si>
  <si>
    <t>2026-05-07 11:56:56</t>
  </si>
  <si>
    <t>2026-06-09 07:10:40</t>
  </si>
  <si>
    <t>689</t>
  </si>
  <si>
    <t>85929235113493230000</t>
  </si>
  <si>
    <t>2026-06-09 07:10:53</t>
  </si>
  <si>
    <t>690</t>
  </si>
  <si>
    <t>12857003569592762000</t>
  </si>
  <si>
    <t>2026-06-09 07:11:06</t>
  </si>
  <si>
    <t>71130283902685600000</t>
  </si>
  <si>
    <t>2026-06-09 07:11:19</t>
  </si>
  <si>
    <t>692</t>
  </si>
  <si>
    <t>43299182481890130000</t>
  </si>
  <si>
    <t>8222</t>
  </si>
  <si>
    <t>بيجاما  وسط</t>
  </si>
  <si>
    <t>2026-05-07 11:58:53</t>
  </si>
  <si>
    <t>2026-05-17 07:36:21</t>
  </si>
  <si>
    <t>693</t>
  </si>
  <si>
    <t>77739212149630570000</t>
  </si>
  <si>
    <t>2026-05-17 07:36:33</t>
  </si>
  <si>
    <t>694</t>
  </si>
  <si>
    <t>28420640994915754000</t>
  </si>
  <si>
    <t>2026-05-17 07:39:09</t>
  </si>
  <si>
    <t>695</t>
  </si>
  <si>
    <t>22172475425884246000</t>
  </si>
  <si>
    <t>2026-05-07 11:58:54</t>
  </si>
  <si>
    <t>2026-05-17 07:39:49</t>
  </si>
  <si>
    <t>696</t>
  </si>
  <si>
    <t>57345008719585960000</t>
  </si>
  <si>
    <t>4450</t>
  </si>
  <si>
    <t>2026-05-07 12:01:44</t>
  </si>
  <si>
    <t>697</t>
  </si>
  <si>
    <t>97851876209502290000</t>
  </si>
  <si>
    <t>698</t>
  </si>
  <si>
    <t>28825322916247814000</t>
  </si>
  <si>
    <t>54008798183539940000</t>
  </si>
  <si>
    <t>1200</t>
  </si>
  <si>
    <t>2026-05-07 12:03:04</t>
  </si>
  <si>
    <t>8.33333</t>
  </si>
  <si>
    <t>700</t>
  </si>
  <si>
    <t>11699579266442942000</t>
  </si>
  <si>
    <t>2026-05-07 12:03:05</t>
  </si>
  <si>
    <t>701</t>
  </si>
  <si>
    <t>22392281561491800000</t>
  </si>
  <si>
    <t>94829292849504300000</t>
  </si>
  <si>
    <t>703</t>
  </si>
  <si>
    <t>12091920966177090000</t>
  </si>
  <si>
    <t>1201</t>
  </si>
  <si>
    <t>2026-05-07 12:03:53</t>
  </si>
  <si>
    <t>704</t>
  </si>
  <si>
    <t>32222753741329727000</t>
  </si>
  <si>
    <t>39228191588166470000</t>
  </si>
  <si>
    <t>706</t>
  </si>
  <si>
    <t>56401029752179974000</t>
  </si>
  <si>
    <t>2026-05-07 12:03:54</t>
  </si>
  <si>
    <t>707</t>
  </si>
  <si>
    <t>88143662953906440000</t>
  </si>
  <si>
    <t>كنزة محيرة</t>
  </si>
  <si>
    <t>2026-05-07 12:06:02</t>
  </si>
  <si>
    <t>708</t>
  </si>
  <si>
    <t>19602627493978055000</t>
  </si>
  <si>
    <t>2026-05-07 12:06:03</t>
  </si>
  <si>
    <t>710</t>
  </si>
  <si>
    <t>32645559826426343000</t>
  </si>
  <si>
    <t>قميص وسط</t>
  </si>
  <si>
    <t>2026-05-07 12:07:40</t>
  </si>
  <si>
    <t>2026-05-07 12:08:53</t>
  </si>
  <si>
    <t>711</t>
  </si>
  <si>
    <t>63530011307883420000</t>
  </si>
  <si>
    <t>712</t>
  </si>
  <si>
    <t>31418167410361938000</t>
  </si>
  <si>
    <t>714</t>
  </si>
  <si>
    <t>23100334384506716000</t>
  </si>
  <si>
    <t>قميص محير</t>
  </si>
  <si>
    <t>2026-05-07 12:09:48</t>
  </si>
  <si>
    <t>13.04348</t>
  </si>
  <si>
    <t>715</t>
  </si>
  <si>
    <t>95259736954619890000</t>
  </si>
  <si>
    <t>716</t>
  </si>
  <si>
    <t>36083602790662476000</t>
  </si>
  <si>
    <t>2026-05-07 12:11:57</t>
  </si>
  <si>
    <t>717</t>
  </si>
  <si>
    <t>97363321721597260000</t>
  </si>
  <si>
    <t>808</t>
  </si>
  <si>
    <t>تونز وسط مقلم</t>
  </si>
  <si>
    <t>2026-05-07 12:16:31</t>
  </si>
  <si>
    <t>718</t>
  </si>
  <si>
    <t>37178197694001610000</t>
  </si>
  <si>
    <t>719</t>
  </si>
  <si>
    <t>18100504651172438000</t>
  </si>
  <si>
    <t>720</t>
  </si>
  <si>
    <t>81826822008764470000</t>
  </si>
  <si>
    <t>807</t>
  </si>
  <si>
    <t>2026-05-07 12:18:37</t>
  </si>
  <si>
    <t>2026-05-07 13:08:31</t>
  </si>
  <si>
    <t>721</t>
  </si>
  <si>
    <t>34455679743362367000</t>
  </si>
  <si>
    <t>2026-05-07 13:08:41</t>
  </si>
  <si>
    <t>722</t>
  </si>
  <si>
    <t>35821064941796225000</t>
  </si>
  <si>
    <t>2026-05-07 13:08:56</t>
  </si>
  <si>
    <t>723</t>
  </si>
  <si>
    <t>42976098458103185000</t>
  </si>
  <si>
    <t>817</t>
  </si>
  <si>
    <t>2026-05-07 12:19:19</t>
  </si>
  <si>
    <t>724</t>
  </si>
  <si>
    <t>45629983809631810000</t>
  </si>
  <si>
    <t>725</t>
  </si>
  <si>
    <t>17197397302242232000</t>
  </si>
  <si>
    <t>726</t>
  </si>
  <si>
    <t>12466407661561696000</t>
  </si>
  <si>
    <t>917</t>
  </si>
  <si>
    <t>2026-05-07 12:22:08</t>
  </si>
  <si>
    <t>727</t>
  </si>
  <si>
    <t>65249854356375770000</t>
  </si>
  <si>
    <t>728</t>
  </si>
  <si>
    <t>34209428936825487000</t>
  </si>
  <si>
    <t>2026-05-07 12:22:09</t>
  </si>
  <si>
    <t>729</t>
  </si>
  <si>
    <t>74443933394394450000</t>
  </si>
  <si>
    <t>طقم ب ب رسمي</t>
  </si>
  <si>
    <t>2026-05-07 12:24:04</t>
  </si>
  <si>
    <t>75.00000</t>
  </si>
  <si>
    <t>10.29412</t>
  </si>
  <si>
    <t>730</t>
  </si>
  <si>
    <t>38706101889232100000</t>
  </si>
  <si>
    <t>731</t>
  </si>
  <si>
    <t>98771348531572560000</t>
  </si>
  <si>
    <t>732</t>
  </si>
  <si>
    <t>15011810624622051000</t>
  </si>
  <si>
    <t>733</t>
  </si>
  <si>
    <t>29656590502008156000</t>
  </si>
  <si>
    <t>2026-05-07 12:33:19</t>
  </si>
  <si>
    <t>734</t>
  </si>
  <si>
    <t>53953129527752745000</t>
  </si>
  <si>
    <t>735</t>
  </si>
  <si>
    <t>33217382198773390000</t>
  </si>
  <si>
    <t>2026-05-07 12:33:20</t>
  </si>
  <si>
    <t>736</t>
  </si>
  <si>
    <t>42245938945371620000</t>
  </si>
  <si>
    <t>737</t>
  </si>
  <si>
    <t>35064785377603730000</t>
  </si>
  <si>
    <t>كنزة محير</t>
  </si>
  <si>
    <t>2026-05-07 12:56:00</t>
  </si>
  <si>
    <t>738</t>
  </si>
  <si>
    <t>53474547939132850000</t>
  </si>
  <si>
    <t>2026-05-07 12:57:44</t>
  </si>
  <si>
    <t>739</t>
  </si>
  <si>
    <t>29087918910068520000</t>
  </si>
  <si>
    <t>2026-05-07 13:01:01</t>
  </si>
  <si>
    <t>740</t>
  </si>
  <si>
    <t>38290767469964170000</t>
  </si>
  <si>
    <t>741</t>
  </si>
  <si>
    <t>50049656592695830000</t>
  </si>
  <si>
    <t>907</t>
  </si>
  <si>
    <t>2026-05-07 13:20:07</t>
  </si>
  <si>
    <t>742</t>
  </si>
  <si>
    <t>41492236163623990000</t>
  </si>
  <si>
    <t>743</t>
  </si>
  <si>
    <t>21370700430041985000</t>
  </si>
  <si>
    <t>744</t>
  </si>
  <si>
    <t>59783443200368810000</t>
  </si>
  <si>
    <t>745</t>
  </si>
  <si>
    <t>26030032954618323000</t>
  </si>
  <si>
    <t>بلوزة فليكرا وسط</t>
  </si>
  <si>
    <t>3.50</t>
  </si>
  <si>
    <t>2026-05-07 14:04:19</t>
  </si>
  <si>
    <t>2026-05-07 14:05:07</t>
  </si>
  <si>
    <t>746</t>
  </si>
  <si>
    <t>77376738140685550000</t>
  </si>
  <si>
    <t>2026-05-07 14:04:20</t>
  </si>
  <si>
    <t>2026-05-07 14:05:04</t>
  </si>
  <si>
    <t>747</t>
  </si>
  <si>
    <t>67270096994145935000</t>
  </si>
  <si>
    <t>2026-05-07 14:04:21</t>
  </si>
  <si>
    <t>2026-05-07 14:05:00</t>
  </si>
  <si>
    <t>748</t>
  </si>
  <si>
    <t>41975831708119970000</t>
  </si>
  <si>
    <t>2026-05-07 14:04:22</t>
  </si>
  <si>
    <t>2026-05-07 14:04:56</t>
  </si>
  <si>
    <t>749</t>
  </si>
  <si>
    <t>61433437840434405000</t>
  </si>
  <si>
    <t>بلوزة فليكرا محير</t>
  </si>
  <si>
    <t>2026-05-07 14:05:48</t>
  </si>
  <si>
    <t>750</t>
  </si>
  <si>
    <t>89665669831029800000</t>
  </si>
  <si>
    <t>751</t>
  </si>
  <si>
    <t>30957149000144340000</t>
  </si>
  <si>
    <t>2026-05-07 14:05:49</t>
  </si>
  <si>
    <t>752</t>
  </si>
  <si>
    <t>22949364982006415000</t>
  </si>
  <si>
    <t>753</t>
  </si>
  <si>
    <t>10435992852186937000</t>
  </si>
  <si>
    <t>طقم توينز شورت ب ب أشكال 3 قطع مع طاقية</t>
  </si>
  <si>
    <t>2026-05-09 14:40:01</t>
  </si>
  <si>
    <t>2026-05-09 15:10:24</t>
  </si>
  <si>
    <t>754</t>
  </si>
  <si>
    <t>16324336090149765000</t>
  </si>
  <si>
    <t>2026-05-09 15:10:22</t>
  </si>
  <si>
    <t>755</t>
  </si>
  <si>
    <t>31385753206197375000</t>
  </si>
  <si>
    <t>2026-05-09 15:10:15</t>
  </si>
  <si>
    <t>756</t>
  </si>
  <si>
    <t>54460995540180960000</t>
  </si>
  <si>
    <t>طقم توينز بنتكور وسط أشكال 3 قطع مع طاقية</t>
  </si>
  <si>
    <t>2026-05-09 14:43:49</t>
  </si>
  <si>
    <t>2026-05-09 15:10:11</t>
  </si>
  <si>
    <t>62.00000</t>
  </si>
  <si>
    <t>757</t>
  </si>
  <si>
    <t>22408532675514327000</t>
  </si>
  <si>
    <t>طقم توينز بنتكوروسط أشكال 3 قطع مع طاقية</t>
  </si>
  <si>
    <t>2026-05-09 14:43:50</t>
  </si>
  <si>
    <t>2026-05-09 15:10:09</t>
  </si>
  <si>
    <t>758</t>
  </si>
  <si>
    <t>43908327942983290000</t>
  </si>
  <si>
    <t>طقم توينز شورت وسط أشكال 3 قطع مع طاقية</t>
  </si>
  <si>
    <t>2026-05-09 15:10:04</t>
  </si>
  <si>
    <t>759</t>
  </si>
  <si>
    <t>18606145058197300000</t>
  </si>
  <si>
    <t>طقم توينز شورت ب ب مقلم 3 قطع مع طاقية</t>
  </si>
  <si>
    <t>2026-05-09 14:55:08</t>
  </si>
  <si>
    <t>2026-05-09 15:09:59</t>
  </si>
  <si>
    <t>760</t>
  </si>
  <si>
    <t>93598983550452420000</t>
  </si>
  <si>
    <t>2026-05-09 15:09:56</t>
  </si>
  <si>
    <t>761</t>
  </si>
  <si>
    <t>48004740290121030000</t>
  </si>
  <si>
    <t>2026-05-09 14:55:09</t>
  </si>
  <si>
    <t>2026-05-09 15:09:51</t>
  </si>
  <si>
    <t>762</t>
  </si>
  <si>
    <t>60518356327710740000</t>
  </si>
  <si>
    <t>طقم توينز بنتكور وسط مقلم 3 قطع مع طاقية</t>
  </si>
  <si>
    <t>2026-05-09 14:56:28</t>
  </si>
  <si>
    <t>2026-05-09 15:09:48</t>
  </si>
  <si>
    <t>763</t>
  </si>
  <si>
    <t>43540724845686260000</t>
  </si>
  <si>
    <t>2026-05-09 14:56:29</t>
  </si>
  <si>
    <t>2026-05-09 15:09:45</t>
  </si>
  <si>
    <t>764</t>
  </si>
  <si>
    <t>81119469597025100000</t>
  </si>
  <si>
    <t>2026-05-09 15:09:43</t>
  </si>
  <si>
    <t>765</t>
  </si>
  <si>
    <t>12647732951904805000</t>
  </si>
  <si>
    <t>4001</t>
  </si>
  <si>
    <t>طقم صبياني وسط</t>
  </si>
  <si>
    <t>سكري</t>
  </si>
  <si>
    <t>2026-05-10 07:52:54</t>
  </si>
  <si>
    <t>2026-05-10 08:02:51</t>
  </si>
  <si>
    <t>766</t>
  </si>
  <si>
    <t>63404397359013330000</t>
  </si>
  <si>
    <t>4002</t>
  </si>
  <si>
    <t>767</t>
  </si>
  <si>
    <t>66286218547837895000</t>
  </si>
  <si>
    <t>768</t>
  </si>
  <si>
    <t>41272182719411536000</t>
  </si>
  <si>
    <t>769</t>
  </si>
  <si>
    <t>53874564377563730000</t>
  </si>
  <si>
    <t>2026-05-10 07:52:55</t>
  </si>
  <si>
    <t>2026-05-10 08:02:17</t>
  </si>
  <si>
    <t>770</t>
  </si>
  <si>
    <t>36090499898545385000</t>
  </si>
  <si>
    <t>2026-05-10 08:02:35</t>
  </si>
  <si>
    <t>771</t>
  </si>
  <si>
    <t>64343576791332274000</t>
  </si>
  <si>
    <t>طقم تونز بنتكور وسط</t>
  </si>
  <si>
    <t>2026-05-10 11:56:56</t>
  </si>
  <si>
    <t>772</t>
  </si>
  <si>
    <t>85350494444039570000</t>
  </si>
  <si>
    <t>773</t>
  </si>
  <si>
    <t>53638899598158970000</t>
  </si>
  <si>
    <t>774</t>
  </si>
  <si>
    <t>35227746132938363000</t>
  </si>
  <si>
    <t>طقم تونز بنتكور محير</t>
  </si>
  <si>
    <t>2026-05-10 11:57:50</t>
  </si>
  <si>
    <t>2026-05-11 07:44:45</t>
  </si>
  <si>
    <t>775</t>
  </si>
  <si>
    <t>62443288541194200000</t>
  </si>
  <si>
    <t>2026-05-11 07:45:00</t>
  </si>
  <si>
    <t>776</t>
  </si>
  <si>
    <t>12084229660499223000</t>
  </si>
  <si>
    <t>2026-05-11 07:45:15</t>
  </si>
  <si>
    <t>777</t>
  </si>
  <si>
    <t>66133448472253430000</t>
  </si>
  <si>
    <t>1061</t>
  </si>
  <si>
    <t>بنطال ولادي كلاسيك خصر مطاط</t>
  </si>
  <si>
    <t>2026-05-10 13:58:21</t>
  </si>
  <si>
    <t>778</t>
  </si>
  <si>
    <t>29836785980719180000</t>
  </si>
  <si>
    <t>779</t>
  </si>
  <si>
    <t>97994814132991360000</t>
  </si>
  <si>
    <t>780</t>
  </si>
  <si>
    <t>83256931889218760000</t>
  </si>
  <si>
    <t>2026-05-10 13:58:50</t>
  </si>
  <si>
    <t>781</t>
  </si>
  <si>
    <t>39912708443318575000</t>
  </si>
  <si>
    <t>782</t>
  </si>
  <si>
    <t>66918490859068400000</t>
  </si>
  <si>
    <t>2026-05-10 13:58:51</t>
  </si>
  <si>
    <t>783</t>
  </si>
  <si>
    <t>92853480809141340000</t>
  </si>
  <si>
    <t>2026-05-10 13:59:27</t>
  </si>
  <si>
    <t>784</t>
  </si>
  <si>
    <t>19263849064224130000</t>
  </si>
  <si>
    <t>2026-05-10 13:59:28</t>
  </si>
  <si>
    <t>785</t>
  </si>
  <si>
    <t>10152778027324623000</t>
  </si>
  <si>
    <t>786</t>
  </si>
  <si>
    <t>80505727527840800000</t>
  </si>
  <si>
    <t>2026-05-10 14:00:17</t>
  </si>
  <si>
    <t>787</t>
  </si>
  <si>
    <t>13768280771730590000</t>
  </si>
  <si>
    <t>788</t>
  </si>
  <si>
    <t>45410779683801650000</t>
  </si>
  <si>
    <t>789</t>
  </si>
  <si>
    <t>63090646650669834000</t>
  </si>
  <si>
    <t>طقم ب ب بناتي</t>
  </si>
  <si>
    <t>2026-05-11 07:24:05</t>
  </si>
  <si>
    <t>2026-05-11 07:28:16</t>
  </si>
  <si>
    <t>56.00000</t>
  </si>
  <si>
    <t>790</t>
  </si>
  <si>
    <t>11614510455103040000</t>
  </si>
  <si>
    <t>2026-05-11 07:28:46</t>
  </si>
  <si>
    <t>791</t>
  </si>
  <si>
    <t>48377411343703750000</t>
  </si>
  <si>
    <t>2026-05-11 07:29:16</t>
  </si>
  <si>
    <t>792</t>
  </si>
  <si>
    <t>59706269685574590000</t>
  </si>
  <si>
    <t>793</t>
  </si>
  <si>
    <t>89838207102532600000</t>
  </si>
  <si>
    <t>2026-05-11 07:29:50</t>
  </si>
  <si>
    <t>2026-05-11 07:35:28</t>
  </si>
  <si>
    <t>794</t>
  </si>
  <si>
    <t>69645869228512750000</t>
  </si>
  <si>
    <t>2026-05-11 07:35:42</t>
  </si>
  <si>
    <t>795</t>
  </si>
  <si>
    <t>41479248093569470000</t>
  </si>
  <si>
    <t>2026-05-11 07:29:51</t>
  </si>
  <si>
    <t>2026-05-11 07:36:06</t>
  </si>
  <si>
    <t>796</t>
  </si>
  <si>
    <t>14477984036510510000</t>
  </si>
  <si>
    <t>2026-05-11 07:36:27</t>
  </si>
  <si>
    <t>797</t>
  </si>
  <si>
    <t>46946358731959600000</t>
  </si>
  <si>
    <t>2026-05-11 07:30:24</t>
  </si>
  <si>
    <t>798</t>
  </si>
  <si>
    <t>83927650752033370000</t>
  </si>
  <si>
    <t>799</t>
  </si>
  <si>
    <t>27469990716195373000</t>
  </si>
  <si>
    <t>800</t>
  </si>
  <si>
    <t>51870187598681330000</t>
  </si>
  <si>
    <t>801</t>
  </si>
  <si>
    <t>66314701808401130000</t>
  </si>
  <si>
    <t>2026-05-11 07:31:11</t>
  </si>
  <si>
    <t>802</t>
  </si>
  <si>
    <t>33302057228841734000</t>
  </si>
  <si>
    <t>2026-05-11 07:31:12</t>
  </si>
  <si>
    <t>81013010183272400000</t>
  </si>
  <si>
    <t>هاردل (أصفر)</t>
  </si>
  <si>
    <t>804</t>
  </si>
  <si>
    <t>25445259499983626000</t>
  </si>
  <si>
    <t>2026-05-11 07:31:49</t>
  </si>
  <si>
    <t>805</t>
  </si>
  <si>
    <t>98115248372273790000</t>
  </si>
  <si>
    <t>806</t>
  </si>
  <si>
    <t>28042293434249118000</t>
  </si>
  <si>
    <t>2026-05-11 07:39:47</t>
  </si>
  <si>
    <t>49351231214255440000</t>
  </si>
  <si>
    <t>1152</t>
  </si>
  <si>
    <t>طقم أشكال تلت قطع مع شورت جنز ب ب</t>
  </si>
  <si>
    <t>2026-05-12 14:15:33</t>
  </si>
  <si>
    <t>2026-05-12 14:28:34</t>
  </si>
  <si>
    <t>23692573907040910000</t>
  </si>
  <si>
    <t>2026-05-12 14:28:32</t>
  </si>
  <si>
    <t>809</t>
  </si>
  <si>
    <t>16644650647475638000</t>
  </si>
  <si>
    <t>2026-05-12 14:28:29</t>
  </si>
  <si>
    <t>810</t>
  </si>
  <si>
    <t>87753365088295630000</t>
  </si>
  <si>
    <t>2026-05-12 14:28:27</t>
  </si>
  <si>
    <t>811</t>
  </si>
  <si>
    <t>42301633382149630000</t>
  </si>
  <si>
    <t>2152</t>
  </si>
  <si>
    <t>طقم أشكال تلت قطع مع شورت جنز وسط</t>
  </si>
  <si>
    <t>2026-05-12 14:20:18</t>
  </si>
  <si>
    <t>2026-05-12 14:29:47</t>
  </si>
  <si>
    <t>14688291584999762000</t>
  </si>
  <si>
    <t>2026-05-12 14:20:19</t>
  </si>
  <si>
    <t>2026-05-12 14:28:22</t>
  </si>
  <si>
    <t>813</t>
  </si>
  <si>
    <t>48169746481947970000</t>
  </si>
  <si>
    <t>2026-05-12 14:28:18</t>
  </si>
  <si>
    <t>14125072948441494000</t>
  </si>
  <si>
    <t>2026-05-12 14:28:16</t>
  </si>
  <si>
    <t>815</t>
  </si>
  <si>
    <t>67092706468689190000</t>
  </si>
  <si>
    <t>2026-05-13 07:08:26</t>
  </si>
  <si>
    <t>816</t>
  </si>
  <si>
    <t>51097406125821125000</t>
  </si>
  <si>
    <t>1024</t>
  </si>
  <si>
    <t>بنطلون رابيد بوي فريند</t>
  </si>
  <si>
    <t>5.35000</t>
  </si>
  <si>
    <t>2026-05-13 13:02:49</t>
  </si>
  <si>
    <t>2026-05-13 13:06:42</t>
  </si>
  <si>
    <t>21.40000</t>
  </si>
  <si>
    <t>15.05376</t>
  </si>
  <si>
    <t>41735047755647345000</t>
  </si>
  <si>
    <t>2026-05-13 13:06:40</t>
  </si>
  <si>
    <t>818</t>
  </si>
  <si>
    <t>85586123687555170000</t>
  </si>
  <si>
    <t>2026-05-13 13:02:50</t>
  </si>
  <si>
    <t>2026-05-13 13:06:38</t>
  </si>
  <si>
    <t>819</t>
  </si>
  <si>
    <t>43443185949930406000</t>
  </si>
  <si>
    <t>6.04000</t>
  </si>
  <si>
    <t>2026-05-13 13:03:31</t>
  </si>
  <si>
    <t>2026-05-13 13:06:33</t>
  </si>
  <si>
    <t>30.20000</t>
  </si>
  <si>
    <t>15.04762</t>
  </si>
  <si>
    <t>820</t>
  </si>
  <si>
    <t>55903293043263726000</t>
  </si>
  <si>
    <t>2026-05-13 13:06:23</t>
  </si>
  <si>
    <t>821</t>
  </si>
  <si>
    <t>61929600321775790000</t>
  </si>
  <si>
    <t>2026-05-13 13:06:21</t>
  </si>
  <si>
    <t>822</t>
  </si>
  <si>
    <t>82038187182057390000</t>
  </si>
  <si>
    <t>6.90000</t>
  </si>
  <si>
    <t>2026-05-13 13:05:50</t>
  </si>
  <si>
    <t>34.50000</t>
  </si>
  <si>
    <t>823</t>
  </si>
  <si>
    <t>52174980746351346000</t>
  </si>
  <si>
    <t>2026-05-13 13:05:51</t>
  </si>
  <si>
    <t>824</t>
  </si>
  <si>
    <t>37531370012224225000</t>
  </si>
  <si>
    <t>825</t>
  </si>
  <si>
    <t>47945589335738010000</t>
  </si>
  <si>
    <t>867</t>
  </si>
  <si>
    <t>طقم ولادي وسط 3قطع</t>
  </si>
  <si>
    <t>2026-05-14 07:43:58</t>
  </si>
  <si>
    <t>6.45161</t>
  </si>
  <si>
    <t>826</t>
  </si>
  <si>
    <t>85781821916510850000</t>
  </si>
  <si>
    <t>2026-05-14 07:43:59</t>
  </si>
  <si>
    <t>827</t>
  </si>
  <si>
    <t>13496336011286256000</t>
  </si>
  <si>
    <t>828</t>
  </si>
  <si>
    <t>16625323294288337000</t>
  </si>
  <si>
    <t>طقم ولادي محير</t>
  </si>
  <si>
    <t>2026-05-14 07:45:16</t>
  </si>
  <si>
    <t>6.89655</t>
  </si>
  <si>
    <t>829</t>
  </si>
  <si>
    <t>23141752518677850000</t>
  </si>
  <si>
    <t>830</t>
  </si>
  <si>
    <t>14934416904572893000</t>
  </si>
  <si>
    <t>2026-05-14 07:45:17</t>
  </si>
  <si>
    <t>831</t>
  </si>
  <si>
    <t>14994068936571075000</t>
  </si>
  <si>
    <t>832</t>
  </si>
  <si>
    <t>11586870765743538000</t>
  </si>
  <si>
    <t>870</t>
  </si>
  <si>
    <t>طقم ولادي ب ب مع حذاء</t>
  </si>
  <si>
    <t>2026-05-14 07:47:12</t>
  </si>
  <si>
    <t>833</t>
  </si>
  <si>
    <t>95129011711317690000</t>
  </si>
  <si>
    <t>2026-05-14 07:47:13</t>
  </si>
  <si>
    <t>834</t>
  </si>
  <si>
    <t>16944408375311415000</t>
  </si>
  <si>
    <t>835</t>
  </si>
  <si>
    <t>98438266285008450000</t>
  </si>
  <si>
    <t>طقم ولادي  وسط</t>
  </si>
  <si>
    <t>13.50</t>
  </si>
  <si>
    <t>2026-05-14 07:48:20</t>
  </si>
  <si>
    <t>7.40741</t>
  </si>
  <si>
    <t>836</t>
  </si>
  <si>
    <t>64605004040699920000</t>
  </si>
  <si>
    <t>837</t>
  </si>
  <si>
    <t>21669577797406900000</t>
  </si>
  <si>
    <t>2026-05-14 07:48:21</t>
  </si>
  <si>
    <t>838</t>
  </si>
  <si>
    <t>21578877845548593000</t>
  </si>
  <si>
    <t>839</t>
  </si>
  <si>
    <t>23292022073624404000</t>
  </si>
  <si>
    <t>2026-05-16 10:03:38</t>
  </si>
  <si>
    <t>840</t>
  </si>
  <si>
    <t>47778351438658890000</t>
  </si>
  <si>
    <t>841</t>
  </si>
  <si>
    <t>80884867477261320000</t>
  </si>
  <si>
    <t>842</t>
  </si>
  <si>
    <t>91175151500317000000</t>
  </si>
  <si>
    <t>طقم  شورت ب ب أشكال 3 قطع مع شنتاية</t>
  </si>
  <si>
    <t>11.55000</t>
  </si>
  <si>
    <t>2026-05-16 10:07:08</t>
  </si>
  <si>
    <t>46.20000</t>
  </si>
  <si>
    <t>843</t>
  </si>
  <si>
    <t>27959673604557120000</t>
  </si>
  <si>
    <t>844</t>
  </si>
  <si>
    <t>52823759211008310000</t>
  </si>
  <si>
    <t>845</t>
  </si>
  <si>
    <t>48961627665677630000</t>
  </si>
  <si>
    <t>846</t>
  </si>
  <si>
    <t>57417127120008200000</t>
  </si>
  <si>
    <t>طقم  شورت وسط  أشكال 3 قطع مع شنتاية</t>
  </si>
  <si>
    <t>2026-05-16 10:09:19</t>
  </si>
  <si>
    <t>2026-07-12 09:03:55</t>
  </si>
  <si>
    <t>10.43478</t>
  </si>
  <si>
    <t>847</t>
  </si>
  <si>
    <t>65625907884324970000</t>
  </si>
  <si>
    <t>2026-07-12 09:04:09</t>
  </si>
  <si>
    <t>848</t>
  </si>
  <si>
    <t>48603171815878255000</t>
  </si>
  <si>
    <t>2026-07-12 09:04:24</t>
  </si>
  <si>
    <t>849</t>
  </si>
  <si>
    <t>18074604879487754000</t>
  </si>
  <si>
    <t>2026-05-16 10:09:20</t>
  </si>
  <si>
    <t>2026-07-12 09:04:38</t>
  </si>
  <si>
    <t>850</t>
  </si>
  <si>
    <t>11605799787984853000</t>
  </si>
  <si>
    <t>طقم  شورت محير  أشكال 3 قطع مع شنتاية</t>
  </si>
  <si>
    <t>2026-05-16 10:11:08</t>
  </si>
  <si>
    <t>851</t>
  </si>
  <si>
    <t>35674014949074830000</t>
  </si>
  <si>
    <t>852</t>
  </si>
  <si>
    <t>65487008456811000000</t>
  </si>
  <si>
    <t>853</t>
  </si>
  <si>
    <t>37182343026322240000</t>
  </si>
  <si>
    <t>2026-05-16 10:11:09</t>
  </si>
  <si>
    <t>854</t>
  </si>
  <si>
    <t>73876538237878730000</t>
  </si>
  <si>
    <t>طقم ب ب بناتي تلت قطع مع طاقية</t>
  </si>
  <si>
    <t>13.20000</t>
  </si>
  <si>
    <t>2026-05-16 10:46:31</t>
  </si>
  <si>
    <t>2026-05-16 11:06:17</t>
  </si>
  <si>
    <t>52.80000</t>
  </si>
  <si>
    <t>855</t>
  </si>
  <si>
    <t>32047113176827490000</t>
  </si>
  <si>
    <t>2026-05-16 11:06:11</t>
  </si>
  <si>
    <t>856</t>
  </si>
  <si>
    <t>36921243177912530000</t>
  </si>
  <si>
    <t>2026-05-16 11:06:09</t>
  </si>
  <si>
    <t>857</t>
  </si>
  <si>
    <t>35281791134242500000</t>
  </si>
  <si>
    <t>2026-05-16 11:06:07</t>
  </si>
  <si>
    <t>858</t>
  </si>
  <si>
    <t>90724662617175970000</t>
  </si>
  <si>
    <t>2026-05-16 10:48:47</t>
  </si>
  <si>
    <t>2026-05-16 11:06:04</t>
  </si>
  <si>
    <t>859</t>
  </si>
  <si>
    <t>96313116988502970000</t>
  </si>
  <si>
    <t>2026-05-16 11:06:00</t>
  </si>
  <si>
    <t>860</t>
  </si>
  <si>
    <t>19542558787886223000</t>
  </si>
  <si>
    <t>أخضر مائي (سماوي)</t>
  </si>
  <si>
    <t>2026-05-16 10:48:48</t>
  </si>
  <si>
    <t>2026-05-16 11:05:56</t>
  </si>
  <si>
    <t>54618916205066640000</t>
  </si>
  <si>
    <t>2026-05-16 11:05:47</t>
  </si>
  <si>
    <t>91787581027970600000</t>
  </si>
  <si>
    <t>26007</t>
  </si>
  <si>
    <t>2026-05-16 10:52:00</t>
  </si>
  <si>
    <t>44366255709208764000</t>
  </si>
  <si>
    <t>26008</t>
  </si>
  <si>
    <t>2026-05-16 10:52:51</t>
  </si>
  <si>
    <t>864</t>
  </si>
  <si>
    <t>22653252071009124000</t>
  </si>
  <si>
    <t>26009</t>
  </si>
  <si>
    <t>2026-05-16 10:53:16</t>
  </si>
  <si>
    <t>865</t>
  </si>
  <si>
    <t>35184659994328506000</t>
  </si>
  <si>
    <t>26114</t>
  </si>
  <si>
    <t>فستان بناتي ب ب جنز</t>
  </si>
  <si>
    <t>2026-05-16 10:54:08</t>
  </si>
  <si>
    <t>866</t>
  </si>
  <si>
    <t>43108031647982810000</t>
  </si>
  <si>
    <t>26164</t>
  </si>
  <si>
    <t>2026-05-16 10:54:36</t>
  </si>
  <si>
    <t>87221036217825380000</t>
  </si>
  <si>
    <t>26312</t>
  </si>
  <si>
    <t>2026-05-16 10:55:21</t>
  </si>
  <si>
    <t>868</t>
  </si>
  <si>
    <t>27220170271965917000</t>
  </si>
  <si>
    <t>26314</t>
  </si>
  <si>
    <t>2026-05-16 10:55:55</t>
  </si>
  <si>
    <t>869</t>
  </si>
  <si>
    <t>89857406913004290000</t>
  </si>
  <si>
    <t>26512</t>
  </si>
  <si>
    <t>2026-05-16 10:56:28</t>
  </si>
  <si>
    <t>61728662567045870000</t>
  </si>
  <si>
    <t>14.30000</t>
  </si>
  <si>
    <t>2026-05-16 11:02:43</t>
  </si>
  <si>
    <t>2026-05-16 11:14:28</t>
  </si>
  <si>
    <t>57.20000</t>
  </si>
  <si>
    <t>871</t>
  </si>
  <si>
    <t>29193364893376434000</t>
  </si>
  <si>
    <t>طقم وسط بناتي تلت قطع مع طاقية</t>
  </si>
  <si>
    <t>2026-05-16 11:14:30</t>
  </si>
  <si>
    <t>872</t>
  </si>
  <si>
    <t>30372771892197986000</t>
  </si>
  <si>
    <t>2026-05-16 11:14:33</t>
  </si>
  <si>
    <t>873</t>
  </si>
  <si>
    <t>29679862876159490000</t>
  </si>
  <si>
    <t>2026-05-16 11:14:19</t>
  </si>
  <si>
    <t>874</t>
  </si>
  <si>
    <t>38545898133934980000</t>
  </si>
  <si>
    <t>2026-05-16 11:05:02</t>
  </si>
  <si>
    <t>875</t>
  </si>
  <si>
    <t>70953978210330690000</t>
  </si>
  <si>
    <t>876</t>
  </si>
  <si>
    <t>61753578794575160000</t>
  </si>
  <si>
    <t>2026-05-16 11:05:03</t>
  </si>
  <si>
    <t>877</t>
  </si>
  <si>
    <t>14865244515621997000</t>
  </si>
  <si>
    <t>2026-05-16 11:16:07</t>
  </si>
  <si>
    <t>878</t>
  </si>
  <si>
    <t>97826051034407710000</t>
  </si>
  <si>
    <t>2026-05-16 11:11:14</t>
  </si>
  <si>
    <t>2026-05-16 11:16:12</t>
  </si>
  <si>
    <t>879</t>
  </si>
  <si>
    <t>32736547314468925000</t>
  </si>
  <si>
    <t>2026-05-16 11:16:14</t>
  </si>
  <si>
    <t>880</t>
  </si>
  <si>
    <t>63494794044887610000</t>
  </si>
  <si>
    <t>2026-05-16 11:16:16</t>
  </si>
  <si>
    <t>881</t>
  </si>
  <si>
    <t>89259322230739780000</t>
  </si>
  <si>
    <t>2026-05-16 11:15:53</t>
  </si>
  <si>
    <t>882</t>
  </si>
  <si>
    <t>34580161588171440000</t>
  </si>
  <si>
    <t>4005</t>
  </si>
  <si>
    <t>طقم صبياني وسط alo</t>
  </si>
  <si>
    <t>2026-05-17 07:11:23</t>
  </si>
  <si>
    <t>883</t>
  </si>
  <si>
    <t>95752207936630960000</t>
  </si>
  <si>
    <t>884</t>
  </si>
  <si>
    <t>79556707478434790000</t>
  </si>
  <si>
    <t>2026-05-17 07:11:24</t>
  </si>
  <si>
    <t>885</t>
  </si>
  <si>
    <t>19110671765302673000</t>
  </si>
  <si>
    <t>2026-05-17 07:11:25</t>
  </si>
  <si>
    <t>886</t>
  </si>
  <si>
    <t>20824208449486995000</t>
  </si>
  <si>
    <t>4007</t>
  </si>
  <si>
    <t>طقم صبياني مطبع</t>
  </si>
  <si>
    <t>2026-05-17 08:34:02</t>
  </si>
  <si>
    <t>887</t>
  </si>
  <si>
    <t>41922457335335420000</t>
  </si>
  <si>
    <t>2026-05-17 08:34:03</t>
  </si>
  <si>
    <t>888</t>
  </si>
  <si>
    <t>15581802525956260000</t>
  </si>
  <si>
    <t>2026-05-17 08:34:04</t>
  </si>
  <si>
    <t>889</t>
  </si>
  <si>
    <t>52581197155666100000</t>
  </si>
  <si>
    <t>رمادي</t>
  </si>
  <si>
    <t>890</t>
  </si>
  <si>
    <t>94981367181149730000</t>
  </si>
  <si>
    <t>2026-05-17 08:35:19</t>
  </si>
  <si>
    <t>891</t>
  </si>
  <si>
    <t>18857664150501454000</t>
  </si>
  <si>
    <t>1013</t>
  </si>
  <si>
    <t>بنطال ولادي بوي فرند</t>
  </si>
  <si>
    <t>2026-05-18 07:37:01</t>
  </si>
  <si>
    <t>14.89362</t>
  </si>
  <si>
    <t>892</t>
  </si>
  <si>
    <t>23440025713729753000</t>
  </si>
  <si>
    <t>2026-05-18 07:37:02</t>
  </si>
  <si>
    <t>893</t>
  </si>
  <si>
    <t>88835184814016020000</t>
  </si>
  <si>
    <t>6.20000</t>
  </si>
  <si>
    <t>2026-05-18 07:39:56</t>
  </si>
  <si>
    <t>14.81481</t>
  </si>
  <si>
    <t>894</t>
  </si>
  <si>
    <t>27789842796938910000</t>
  </si>
  <si>
    <t>2026-05-18 07:39:57</t>
  </si>
  <si>
    <t>895</t>
  </si>
  <si>
    <t>52380383772682070000</t>
  </si>
  <si>
    <t>طقم بناتي محير بنطلون</t>
  </si>
  <si>
    <t>2026-05-18 08:03:19</t>
  </si>
  <si>
    <t>896</t>
  </si>
  <si>
    <t>25896010143826510000</t>
  </si>
  <si>
    <t>897</t>
  </si>
  <si>
    <t>37908607874833300000</t>
  </si>
  <si>
    <t>2026-05-18 08:03:20</t>
  </si>
  <si>
    <t>898</t>
  </si>
  <si>
    <t>77030937009922180000</t>
  </si>
  <si>
    <t>899</t>
  </si>
  <si>
    <t>71411348097324070000</t>
  </si>
  <si>
    <t>2026-05-18 08:08:57</t>
  </si>
  <si>
    <t>900</t>
  </si>
  <si>
    <t>11984206018734510000</t>
  </si>
  <si>
    <t>13.90</t>
  </si>
  <si>
    <t>2026-05-18 11:41:49</t>
  </si>
  <si>
    <t>2026-05-18 11:47:43</t>
  </si>
  <si>
    <t>7.91367</t>
  </si>
  <si>
    <t>901</t>
  </si>
  <si>
    <t>80514075140505010000</t>
  </si>
  <si>
    <t>052</t>
  </si>
  <si>
    <t>طقم صبياني 3قطع</t>
  </si>
  <si>
    <t>2026-05-18 11:43:04</t>
  </si>
  <si>
    <t>2026-05-18 11:52:09</t>
  </si>
  <si>
    <t>902</t>
  </si>
  <si>
    <t>95075832338046200000</t>
  </si>
  <si>
    <t>طقم ب ب3 قطع مع حذاء</t>
  </si>
  <si>
    <t>12.80</t>
  </si>
  <si>
    <t>2026-05-18 11:43:54</t>
  </si>
  <si>
    <t>2026-05-18 11:50:40</t>
  </si>
  <si>
    <t>903</t>
  </si>
  <si>
    <t>21888946762316055000</t>
  </si>
  <si>
    <t>2026-05-18 11:43:55</t>
  </si>
  <si>
    <t>2026-05-18 11:50:56</t>
  </si>
  <si>
    <t>904</t>
  </si>
  <si>
    <t>76952241574494010000</t>
  </si>
  <si>
    <t>2026-05-18 11:45:22</t>
  </si>
  <si>
    <t>905</t>
  </si>
  <si>
    <t>35241291256380326000</t>
  </si>
  <si>
    <t>906</t>
  </si>
  <si>
    <t>74166906845873860000</t>
  </si>
  <si>
    <t>057</t>
  </si>
  <si>
    <t>طقم صبياني 3 قطع</t>
  </si>
  <si>
    <t>2026-05-18 11:46:30</t>
  </si>
  <si>
    <t>63347863636369000000</t>
  </si>
  <si>
    <t>2026-05-18 11:46:31</t>
  </si>
  <si>
    <t>908</t>
  </si>
  <si>
    <t>69412835718311820000</t>
  </si>
  <si>
    <t>طقم توينز شورت ب ب مع شنتاية (تلت قطع)</t>
  </si>
  <si>
    <t>2026-05-19 07:15:49</t>
  </si>
  <si>
    <t>909</t>
  </si>
  <si>
    <t>95196204405191720000</t>
  </si>
  <si>
    <t>910</t>
  </si>
  <si>
    <t>36245608269366360000</t>
  </si>
  <si>
    <t>911</t>
  </si>
  <si>
    <t>37061536088109250000</t>
  </si>
  <si>
    <t>طقم توينز بنتكور وسط مع شنتاية (تلت قطع)</t>
  </si>
  <si>
    <t>2026-05-19 07:16:51</t>
  </si>
  <si>
    <t>912</t>
  </si>
  <si>
    <t>85525269430455170000</t>
  </si>
  <si>
    <t>913</t>
  </si>
  <si>
    <t>68804145785984000000</t>
  </si>
  <si>
    <t>914</t>
  </si>
  <si>
    <t>90795882633077100000</t>
  </si>
  <si>
    <t>طقم توينز بنتكور محير مع شنتاية (تلت قطع)</t>
  </si>
  <si>
    <t>2026-05-19 07:18:01</t>
  </si>
  <si>
    <t>2026-07-12 09:05:07</t>
  </si>
  <si>
    <t>915</t>
  </si>
  <si>
    <t>90249238405043180000</t>
  </si>
  <si>
    <t>2026-07-12 09:05:48</t>
  </si>
  <si>
    <t>916</t>
  </si>
  <si>
    <t>76655214105039370000</t>
  </si>
  <si>
    <t>2026-07-12 09:06:02</t>
  </si>
  <si>
    <t>78750742220474120000</t>
  </si>
  <si>
    <t>2605</t>
  </si>
  <si>
    <t>بيجاما ب ب بناتي</t>
  </si>
  <si>
    <t>11.22770</t>
  </si>
  <si>
    <t>2026-05-20 06:31:54</t>
  </si>
  <si>
    <t>2026-05-20 06:37:57</t>
  </si>
  <si>
    <t>44.91080</t>
  </si>
  <si>
    <t>8.16667</t>
  </si>
  <si>
    <t>918</t>
  </si>
  <si>
    <t>72561796213029670000</t>
  </si>
  <si>
    <t>2026-05-20 06:33:43</t>
  </si>
  <si>
    <t>919</t>
  </si>
  <si>
    <t>31917963997308117000</t>
  </si>
  <si>
    <t>2026-05-20 06:33:59</t>
  </si>
  <si>
    <t>920</t>
  </si>
  <si>
    <t>57135821856001740000</t>
  </si>
  <si>
    <t>2026-05-20 06:31:55</t>
  </si>
  <si>
    <t>2026-05-20 06:34:38</t>
  </si>
  <si>
    <t>921</t>
  </si>
  <si>
    <t>98078735408201960000</t>
  </si>
  <si>
    <t>2539</t>
  </si>
  <si>
    <t>2026-05-20 06:32:35</t>
  </si>
  <si>
    <t>2026-05-20 06:38:27</t>
  </si>
  <si>
    <t>922</t>
  </si>
  <si>
    <t>43295333794257040000</t>
  </si>
  <si>
    <t>2026-05-20 06:38:40</t>
  </si>
  <si>
    <t>923</t>
  </si>
  <si>
    <t>41355090903549200000</t>
  </si>
  <si>
    <t>2026-05-20 06:38:56</t>
  </si>
  <si>
    <t>924</t>
  </si>
  <si>
    <t>22187021044325550000</t>
  </si>
  <si>
    <t>5041</t>
  </si>
  <si>
    <t>بنطال بناتي تطريز وستراس</t>
  </si>
  <si>
    <t>6.80000</t>
  </si>
  <si>
    <t>2026-05-20 06:59:38</t>
  </si>
  <si>
    <t>27.20000</t>
  </si>
  <si>
    <t>15.25424</t>
  </si>
  <si>
    <t>925</t>
  </si>
  <si>
    <t>26042050147396604000</t>
  </si>
  <si>
    <t>7.50000</t>
  </si>
  <si>
    <t>2026-05-20 07:00:11</t>
  </si>
  <si>
    <t>926</t>
  </si>
  <si>
    <t>98088708132540870000</t>
  </si>
  <si>
    <t>927</t>
  </si>
  <si>
    <t>42655513208778180000</t>
  </si>
  <si>
    <t>8.20000</t>
  </si>
  <si>
    <t>7.15</t>
  </si>
  <si>
    <t>2026-05-20 07:00:41</t>
  </si>
  <si>
    <t>32.80000</t>
  </si>
  <si>
    <t>14.68531</t>
  </si>
  <si>
    <t>928</t>
  </si>
  <si>
    <t>65323996954348660000</t>
  </si>
  <si>
    <t>2026-05-20 07:00:42</t>
  </si>
  <si>
    <t>929</t>
  </si>
  <si>
    <t>52482304291419430000</t>
  </si>
  <si>
    <t>2026-05-20 07:01:20</t>
  </si>
  <si>
    <t>930</t>
  </si>
  <si>
    <t>25604502519527997000</t>
  </si>
  <si>
    <t>4008</t>
  </si>
  <si>
    <t>2026-05-23 07:58:18</t>
  </si>
  <si>
    <t>931</t>
  </si>
  <si>
    <t>98069752703141300000</t>
  </si>
  <si>
    <t>932</t>
  </si>
  <si>
    <t>66716981214424050000</t>
  </si>
  <si>
    <t>2026-05-23 07:58:19</t>
  </si>
  <si>
    <t>933</t>
  </si>
  <si>
    <t>88094597525190360000</t>
  </si>
  <si>
    <t>934</t>
  </si>
  <si>
    <t>10022700044730698000</t>
  </si>
  <si>
    <t>بيجاما بندكور محير</t>
  </si>
  <si>
    <t>2026-06-06 08:32:53</t>
  </si>
  <si>
    <t>935</t>
  </si>
  <si>
    <t>53262637064553700000</t>
  </si>
  <si>
    <t>بلوزة محير</t>
  </si>
  <si>
    <t>2026-06-06 08:33:28</t>
  </si>
  <si>
    <t>12.75000</t>
  </si>
  <si>
    <t>21.42857</t>
  </si>
  <si>
    <t>936</t>
  </si>
  <si>
    <t>58799364987676690000</t>
  </si>
  <si>
    <t>4006</t>
  </si>
  <si>
    <t>9.75000</t>
  </si>
  <si>
    <t>2026-06-07 08:06:24</t>
  </si>
  <si>
    <t>14.70588</t>
  </si>
  <si>
    <t>937</t>
  </si>
  <si>
    <t>14356612701294490000</t>
  </si>
  <si>
    <t>2026-06-07 08:06:25</t>
  </si>
  <si>
    <t>938</t>
  </si>
  <si>
    <t>29879290745690620000</t>
  </si>
  <si>
    <t>939</t>
  </si>
  <si>
    <t>65484004626619410000</t>
  </si>
  <si>
    <t>2026-06-07 08:06:27</t>
  </si>
  <si>
    <t>940</t>
  </si>
  <si>
    <t>61750308530157625000</t>
  </si>
  <si>
    <t>4015</t>
  </si>
  <si>
    <t>2026-06-09 07:31:35</t>
  </si>
  <si>
    <t>941</t>
  </si>
  <si>
    <t>89590417492001750000</t>
  </si>
  <si>
    <t>942</t>
  </si>
  <si>
    <t>44719993537380390000</t>
  </si>
  <si>
    <t>2026-06-09 07:31:36</t>
  </si>
  <si>
    <t>943</t>
  </si>
  <si>
    <t>33652639212972410000</t>
  </si>
  <si>
    <t>944</t>
  </si>
  <si>
    <t>55131842117362800000</t>
  </si>
  <si>
    <t>4012</t>
  </si>
  <si>
    <t>طقم  شورت ب ب</t>
  </si>
  <si>
    <t>2026-06-10 07:27:35</t>
  </si>
  <si>
    <t>40.00000</t>
  </si>
  <si>
    <t>945</t>
  </si>
  <si>
    <t>48315015171685720000</t>
  </si>
  <si>
    <t>2026-06-10 07:27:36</t>
  </si>
  <si>
    <t>946</t>
  </si>
  <si>
    <t>80990244793427890000</t>
  </si>
  <si>
    <t>2026-06-10 07:27:37</t>
  </si>
  <si>
    <t>947</t>
  </si>
  <si>
    <t>47255594165536020000</t>
  </si>
  <si>
    <t>1001</t>
  </si>
  <si>
    <t>بنطال بوي فريند مطاطا ميكي ماوس</t>
  </si>
  <si>
    <t>4.60000</t>
  </si>
  <si>
    <t>4.04</t>
  </si>
  <si>
    <t>2026-06-10 07:29:01</t>
  </si>
  <si>
    <t>18.40000</t>
  </si>
  <si>
    <t>13.86139</t>
  </si>
  <si>
    <t>948</t>
  </si>
  <si>
    <t>43258477206630450000</t>
  </si>
  <si>
    <t>2026-06-10 07:29:02</t>
  </si>
  <si>
    <t>949</t>
  </si>
  <si>
    <t>81975200345220960000</t>
  </si>
  <si>
    <t>2026-06-10 07:29:40</t>
  </si>
  <si>
    <t>950</t>
  </si>
  <si>
    <t>31695324525785450000</t>
  </si>
  <si>
    <t>2026-06-10 07:29:42</t>
  </si>
  <si>
    <t>951</t>
  </si>
  <si>
    <t>67550411463657900000</t>
  </si>
  <si>
    <t>2613</t>
  </si>
  <si>
    <t>بيجاما بناتي وردات</t>
  </si>
  <si>
    <t>10.75</t>
  </si>
  <si>
    <t>2026-06-10 12:45:53</t>
  </si>
  <si>
    <t>11.62791</t>
  </si>
  <si>
    <t>952</t>
  </si>
  <si>
    <t>98165302217857680000</t>
  </si>
  <si>
    <t>1065</t>
  </si>
  <si>
    <t>بنطال ولادي كلاسيكي</t>
  </si>
  <si>
    <t>2026-06-14 08:02:44</t>
  </si>
  <si>
    <t>2026-06-14 08:03:08</t>
  </si>
  <si>
    <t>953</t>
  </si>
  <si>
    <t>14611366929631281000</t>
  </si>
  <si>
    <t>954</t>
  </si>
  <si>
    <t>56999851747997295000</t>
  </si>
  <si>
    <t>2026-06-14 08:02:45</t>
  </si>
  <si>
    <t>955</t>
  </si>
  <si>
    <t>38389469473583590000</t>
  </si>
  <si>
    <t>2026-06-14 08:04:24</t>
  </si>
  <si>
    <t>956</t>
  </si>
  <si>
    <t>46442024596730990000</t>
  </si>
  <si>
    <t>2026-06-14 08:04:25</t>
  </si>
  <si>
    <t>957</t>
  </si>
  <si>
    <t>84652156037925200000</t>
  </si>
  <si>
    <t>958</t>
  </si>
  <si>
    <t>62421271619082860000</t>
  </si>
  <si>
    <t>6.21000</t>
  </si>
  <si>
    <t>2026-06-14 08:05:22</t>
  </si>
  <si>
    <t>24.84000</t>
  </si>
  <si>
    <t>959</t>
  </si>
  <si>
    <t>60987182005227725000</t>
  </si>
  <si>
    <t>960</t>
  </si>
  <si>
    <t>64176079856134660000</t>
  </si>
  <si>
    <t>961</t>
  </si>
  <si>
    <t>34580849492726313000</t>
  </si>
  <si>
    <t>5075</t>
  </si>
  <si>
    <t>بنطال بناتي اسبنيولي</t>
  </si>
  <si>
    <t>5.99250</t>
  </si>
  <si>
    <t>2026-06-14 08:06:58</t>
  </si>
  <si>
    <t>2026-06-14 08:08:13</t>
  </si>
  <si>
    <t>23.97000</t>
  </si>
  <si>
    <t>15.90909</t>
  </si>
  <si>
    <t>962</t>
  </si>
  <si>
    <t>99940997269901120000</t>
  </si>
  <si>
    <t>2026-06-14 08:08:32</t>
  </si>
  <si>
    <t>963</t>
  </si>
  <si>
    <t>27311604995771650000</t>
  </si>
  <si>
    <t>2026-06-14 08:09:18</t>
  </si>
  <si>
    <t>964</t>
  </si>
  <si>
    <t>74824556480943820000</t>
  </si>
  <si>
    <t>965</t>
  </si>
  <si>
    <t>93614557935231830000</t>
  </si>
  <si>
    <t>2026-06-14 08:09:57</t>
  </si>
  <si>
    <t>966</t>
  </si>
  <si>
    <t>29939317737517285000</t>
  </si>
  <si>
    <t>967</t>
  </si>
  <si>
    <t>39633798218020680000</t>
  </si>
  <si>
    <t>5044</t>
  </si>
  <si>
    <t>5.41000</t>
  </si>
  <si>
    <t>2026-06-16 07:44:32</t>
  </si>
  <si>
    <t>21.64000</t>
  </si>
  <si>
    <t>15.10638</t>
  </si>
  <si>
    <t>968</t>
  </si>
  <si>
    <t>85606379280755600000</t>
  </si>
  <si>
    <t>969</t>
  </si>
  <si>
    <t>61405994239122694000</t>
  </si>
  <si>
    <t>2026-06-16 07:46:12</t>
  </si>
  <si>
    <t>970</t>
  </si>
  <si>
    <t>88758193753374240000</t>
  </si>
  <si>
    <t>971</t>
  </si>
  <si>
    <t>12241074454176197000</t>
  </si>
  <si>
    <t>5.85</t>
  </si>
  <si>
    <t>2026-06-16 07:48:13</t>
  </si>
  <si>
    <t>972</t>
  </si>
  <si>
    <t>42572040780625400000</t>
  </si>
  <si>
    <t>2026-06-16 07:48:14</t>
  </si>
  <si>
    <t>973</t>
  </si>
  <si>
    <t>56892042702033540000</t>
  </si>
  <si>
    <t>5070</t>
  </si>
  <si>
    <t>بنطال بناتي بوي فريند</t>
  </si>
  <si>
    <t>5.25000</t>
  </si>
  <si>
    <t>2026-06-16 09:00:44</t>
  </si>
  <si>
    <t>974</t>
  </si>
  <si>
    <t>60041035436824760000</t>
  </si>
  <si>
    <t>2026-06-16 09:00:45</t>
  </si>
  <si>
    <t>975</t>
  </si>
  <si>
    <t>76894675321792200000</t>
  </si>
  <si>
    <t>5.85000</t>
  </si>
  <si>
    <t>2026-06-16 09:02:56</t>
  </si>
  <si>
    <t>29.25000</t>
  </si>
  <si>
    <t>15.84158</t>
  </si>
  <si>
    <t>976</t>
  </si>
  <si>
    <t>69411321573711590000</t>
  </si>
  <si>
    <t>977</t>
  </si>
  <si>
    <t>34433336486853255000</t>
  </si>
  <si>
    <t>4013</t>
  </si>
  <si>
    <t>طقم شورت ب ب</t>
  </si>
  <si>
    <t>2026-06-16 09:04:19</t>
  </si>
  <si>
    <t>978</t>
  </si>
  <si>
    <t>20543439845298274000</t>
  </si>
  <si>
    <t>979</t>
  </si>
  <si>
    <t>34420423224749363000</t>
  </si>
  <si>
    <t>2026-06-16 09:04:20</t>
  </si>
  <si>
    <t>980</t>
  </si>
  <si>
    <t>41505448968213050000</t>
  </si>
  <si>
    <t>بنطال خصر مطاطا</t>
  </si>
  <si>
    <t>6.85000</t>
  </si>
  <si>
    <t>2026-06-17 07:57:04</t>
  </si>
  <si>
    <t>2026-06-17 08:01:35</t>
  </si>
  <si>
    <t>34.25000</t>
  </si>
  <si>
    <t>15.12605</t>
  </si>
  <si>
    <t>981</t>
  </si>
  <si>
    <t>54970366008811050000</t>
  </si>
  <si>
    <t>2026-06-17 07:57:05</t>
  </si>
  <si>
    <t>2026-06-17 08:01:49</t>
  </si>
  <si>
    <t>982</t>
  </si>
  <si>
    <t>10577330959717075000</t>
  </si>
  <si>
    <t>983</t>
  </si>
  <si>
    <t>23655752102916305000</t>
  </si>
  <si>
    <t>2026-06-17 08:02:08</t>
  </si>
  <si>
    <t>984</t>
  </si>
  <si>
    <t>97151791195846100000</t>
  </si>
  <si>
    <t>5.89000</t>
  </si>
  <si>
    <t>2026-06-17 07:59:23</t>
  </si>
  <si>
    <t>2026-06-17 08:01:16</t>
  </si>
  <si>
    <t>29.45000</t>
  </si>
  <si>
    <t>15.49020</t>
  </si>
  <si>
    <t>985</t>
  </si>
  <si>
    <t>80784128580715680000</t>
  </si>
  <si>
    <t>5.15000</t>
  </si>
  <si>
    <t>4.45</t>
  </si>
  <si>
    <t>2026-06-17 08:00:40</t>
  </si>
  <si>
    <t>20.60000</t>
  </si>
  <si>
    <t>15.73034</t>
  </si>
  <si>
    <t>986</t>
  </si>
  <si>
    <t>29663155404655534000</t>
  </si>
  <si>
    <t>062</t>
  </si>
  <si>
    <t>بيجاما صبياني وسط</t>
  </si>
  <si>
    <t>2026-06-20 08:28:21</t>
  </si>
  <si>
    <t>987</t>
  </si>
  <si>
    <t>45959615949885374000</t>
  </si>
  <si>
    <t>988</t>
  </si>
  <si>
    <t>17978218994377450000</t>
  </si>
  <si>
    <t>بيجاما صبياني  ب ب</t>
  </si>
  <si>
    <t>2026-06-20 08:29:15</t>
  </si>
  <si>
    <t>2026-07-01 12:26:16</t>
  </si>
  <si>
    <t>989</t>
  </si>
  <si>
    <t>46210891594603710000</t>
  </si>
  <si>
    <t>2026-06-20 08:29:16</t>
  </si>
  <si>
    <t>2026-07-01 12:26:33</t>
  </si>
  <si>
    <t>990</t>
  </si>
  <si>
    <t>12777190477930926000</t>
  </si>
  <si>
    <t>1070</t>
  </si>
  <si>
    <t>بنطال ولادي  بوي فريند</t>
  </si>
  <si>
    <t>2026-06-20 09:10:05</t>
  </si>
  <si>
    <t>2026-06-20 09:11:43</t>
  </si>
  <si>
    <t>991</t>
  </si>
  <si>
    <t>87281932658440830000</t>
  </si>
  <si>
    <t>2026-06-20 09:10:07</t>
  </si>
  <si>
    <t>2026-06-20 09:11:59</t>
  </si>
  <si>
    <t>992</t>
  </si>
  <si>
    <t>77129668952257180000</t>
  </si>
  <si>
    <t>5.90000</t>
  </si>
  <si>
    <t>2026-06-20 09:13:25</t>
  </si>
  <si>
    <t>29.50000</t>
  </si>
  <si>
    <t>15.68627</t>
  </si>
  <si>
    <t>993</t>
  </si>
  <si>
    <t>53563737142774180000</t>
  </si>
  <si>
    <t>2026-06-20 09:13:26</t>
  </si>
  <si>
    <t>994</t>
  </si>
  <si>
    <t>55463375908864100000</t>
  </si>
  <si>
    <t>2026-06-20 09:14:11</t>
  </si>
  <si>
    <t>15.96639</t>
  </si>
  <si>
    <t>995</t>
  </si>
  <si>
    <t>80039292864378440000</t>
  </si>
  <si>
    <t>2026-06-20 09:14:12</t>
  </si>
  <si>
    <t>996</t>
  </si>
  <si>
    <t>44181739944964465000</t>
  </si>
  <si>
    <t>2026-06-20 09:17:41</t>
  </si>
  <si>
    <t>997</t>
  </si>
  <si>
    <t>46235044730996965000</t>
  </si>
  <si>
    <t>6.70000</t>
  </si>
  <si>
    <t>5.80</t>
  </si>
  <si>
    <t>2026-06-20 09:18:10</t>
  </si>
  <si>
    <t>26.80000</t>
  </si>
  <si>
    <t>15.51724</t>
  </si>
  <si>
    <t>998</t>
  </si>
  <si>
    <t>27209660892175356000</t>
  </si>
  <si>
    <t>1040</t>
  </si>
  <si>
    <t>2026-06-23 07:51:26</t>
  </si>
  <si>
    <t>2026-06-23 09:56:40</t>
  </si>
  <si>
    <t>999</t>
  </si>
  <si>
    <t>95124093969676350000</t>
  </si>
  <si>
    <t>1000</t>
  </si>
  <si>
    <t>41589002180522280000</t>
  </si>
  <si>
    <t>2026-06-23 07:51:27</t>
  </si>
  <si>
    <t>2026-06-23 09:56:55</t>
  </si>
  <si>
    <t>21283928283360596000</t>
  </si>
  <si>
    <t>2026-06-23 07:51:28</t>
  </si>
  <si>
    <t>2026-06-23 09:59:06</t>
  </si>
  <si>
    <t>1002</t>
  </si>
  <si>
    <t>33754281526575264000</t>
  </si>
  <si>
    <t>2026-06-23 07:53:53</t>
  </si>
  <si>
    <t>1003</t>
  </si>
  <si>
    <t>22439913810329750000</t>
  </si>
  <si>
    <t>1004</t>
  </si>
  <si>
    <t>63599401222578370000</t>
  </si>
  <si>
    <t>2026-06-23 07:53:54</t>
  </si>
  <si>
    <t>1005</t>
  </si>
  <si>
    <t>28588022326338257000</t>
  </si>
  <si>
    <t>2026-06-23 07:53:55</t>
  </si>
  <si>
    <t>1006</t>
  </si>
  <si>
    <t>75792912211588610000</t>
  </si>
  <si>
    <t>2026-06-23 07:55:10</t>
  </si>
  <si>
    <t>1007</t>
  </si>
  <si>
    <t>40415646071999450000</t>
  </si>
  <si>
    <t>2026-06-23 07:55:11</t>
  </si>
  <si>
    <t>1008</t>
  </si>
  <si>
    <t>84242519244311600000</t>
  </si>
  <si>
    <t>2026-06-23 07:55:12</t>
  </si>
  <si>
    <t>11162765508445810000</t>
  </si>
  <si>
    <t>1010</t>
  </si>
  <si>
    <t>25854044003549020000</t>
  </si>
  <si>
    <t>5069</t>
  </si>
  <si>
    <t>بناتي  بوي فريند</t>
  </si>
  <si>
    <t>2026-06-23 07:57:11</t>
  </si>
  <si>
    <t>1011</t>
  </si>
  <si>
    <t>40932662208557744000</t>
  </si>
  <si>
    <t>2026-06-23 07:57:12</t>
  </si>
  <si>
    <t>1012</t>
  </si>
  <si>
    <t>95255641989419200000</t>
  </si>
  <si>
    <t>4.95</t>
  </si>
  <si>
    <t>2026-06-23 07:59:24</t>
  </si>
  <si>
    <t>28.50000</t>
  </si>
  <si>
    <t>15.15152</t>
  </si>
  <si>
    <t>35771980559810253000</t>
  </si>
  <si>
    <t>1014</t>
  </si>
  <si>
    <t>70796326107133305000</t>
  </si>
  <si>
    <t>5.65</t>
  </si>
  <si>
    <t>2026-06-23 08:00:45</t>
  </si>
  <si>
    <t>32.50000</t>
  </si>
  <si>
    <t>15.04425</t>
  </si>
  <si>
    <t>1015</t>
  </si>
  <si>
    <t>67644504597095290000</t>
  </si>
  <si>
    <t>2026-06-23 08:00:46</t>
  </si>
  <si>
    <t>1016</t>
  </si>
  <si>
    <t>39983005423710960000</t>
  </si>
  <si>
    <t>شورت بناتي ب ب</t>
  </si>
  <si>
    <t>2026-06-24 14:32:53</t>
  </si>
  <si>
    <t>22.50000</t>
  </si>
  <si>
    <t>1017</t>
  </si>
  <si>
    <t>80225962307619640000</t>
  </si>
  <si>
    <t>2612</t>
  </si>
  <si>
    <t>بيجاما بناتي وسط</t>
  </si>
  <si>
    <t>2026-06-25 08:14:12</t>
  </si>
  <si>
    <t>1018</t>
  </si>
  <si>
    <t>97459989448153330000</t>
  </si>
  <si>
    <t>1063</t>
  </si>
  <si>
    <t>4.43000</t>
  </si>
  <si>
    <t>2026-06-29 07:38:34</t>
  </si>
  <si>
    <t>17.72000</t>
  </si>
  <si>
    <t>15.06494</t>
  </si>
  <si>
    <t>1019</t>
  </si>
  <si>
    <t>67291862421557764000</t>
  </si>
  <si>
    <t>2026-06-29 07:38:35</t>
  </si>
  <si>
    <t>1020</t>
  </si>
  <si>
    <t>32656905927348097000</t>
  </si>
  <si>
    <t>2026-06-29 07:38:36</t>
  </si>
  <si>
    <t>1021</t>
  </si>
  <si>
    <t>44150214909957820000</t>
  </si>
  <si>
    <t>2026-06-29 07:39:20</t>
  </si>
  <si>
    <t>56978916101774040000</t>
  </si>
  <si>
    <t>1023</t>
  </si>
  <si>
    <t>82783911967903840000</t>
  </si>
  <si>
    <t>2026-06-29 07:39:21</t>
  </si>
  <si>
    <t>44827799024756200000</t>
  </si>
  <si>
    <t>5.65000</t>
  </si>
  <si>
    <t>2026-06-29 07:40:01</t>
  </si>
  <si>
    <t>22.60000</t>
  </si>
  <si>
    <t>15.30612</t>
  </si>
  <si>
    <t>1025</t>
  </si>
  <si>
    <t>87925154275090990000</t>
  </si>
  <si>
    <t>41382852895527070000</t>
  </si>
  <si>
    <t>2026-06-29 07:40:02</t>
  </si>
  <si>
    <t>1027</t>
  </si>
  <si>
    <t>48996604521169790000</t>
  </si>
  <si>
    <t>2026-06-29 07:41:17</t>
  </si>
  <si>
    <t>1028</t>
  </si>
  <si>
    <t>15743354303406416000</t>
  </si>
  <si>
    <t>2026-06-29 07:41:18</t>
  </si>
  <si>
    <t>1029</t>
  </si>
  <si>
    <t>71002070567794290000</t>
  </si>
  <si>
    <t>2026-06-29 07:41:19</t>
  </si>
  <si>
    <t>1030</t>
  </si>
  <si>
    <t>99389158791839660000</t>
  </si>
  <si>
    <t>5050</t>
  </si>
  <si>
    <t>2026-07-02 07:17:49</t>
  </si>
  <si>
    <t>14.58333</t>
  </si>
  <si>
    <t>1031</t>
  </si>
  <si>
    <t>36853484691237487000</t>
  </si>
  <si>
    <t>2026-07-02 07:17:50</t>
  </si>
  <si>
    <t>1032</t>
  </si>
  <si>
    <t>83429607717709480000</t>
  </si>
  <si>
    <t>5.35</t>
  </si>
  <si>
    <t>2026-07-02 07:18:46</t>
  </si>
  <si>
    <t>12.14953</t>
  </si>
  <si>
    <t>1033</t>
  </si>
  <si>
    <t>42693436692496040000</t>
  </si>
  <si>
    <t>2026-07-02 07:18:47</t>
  </si>
  <si>
    <t>1034</t>
  </si>
  <si>
    <t>53909810639111590000</t>
  </si>
  <si>
    <t>3211</t>
  </si>
  <si>
    <t>بيجاما بناتي وردات قطن</t>
  </si>
  <si>
    <t>2026-07-06 10:23:02</t>
  </si>
  <si>
    <t>17.64706</t>
  </si>
  <si>
    <t>1035</t>
  </si>
  <si>
    <t>58397915797378500000</t>
  </si>
  <si>
    <t>2026-07-06 10:23:03</t>
  </si>
  <si>
    <t>1036</t>
  </si>
  <si>
    <t>31932623720201052000</t>
  </si>
  <si>
    <t>2026-07-06 10:23:04</t>
  </si>
  <si>
    <t>1037</t>
  </si>
  <si>
    <t>69948026357729034000</t>
  </si>
  <si>
    <t>1038</t>
  </si>
  <si>
    <t>27411746799162892000</t>
  </si>
  <si>
    <t>1076</t>
  </si>
  <si>
    <t>5.12000</t>
  </si>
  <si>
    <t>2026-07-07 07:19:46</t>
  </si>
  <si>
    <t>20.48000</t>
  </si>
  <si>
    <t>15.05618</t>
  </si>
  <si>
    <t>1039</t>
  </si>
  <si>
    <t>82710019323919960000</t>
  </si>
  <si>
    <t>34592883079786870000</t>
  </si>
  <si>
    <t>2026-07-07 07:19:47</t>
  </si>
  <si>
    <t>1041</t>
  </si>
  <si>
    <t>34193360932341903000</t>
  </si>
  <si>
    <t>2026-07-07 07:20:45</t>
  </si>
  <si>
    <t>1042</t>
  </si>
  <si>
    <t>15578532782532805000</t>
  </si>
  <si>
    <t>2026-07-07 07:20:46</t>
  </si>
  <si>
    <t>1043</t>
  </si>
  <si>
    <t>80516358717520250000</t>
  </si>
  <si>
    <t>2026-07-07 07:20:47</t>
  </si>
  <si>
    <t>1044</t>
  </si>
  <si>
    <t>94728861416907200000</t>
  </si>
  <si>
    <t>2026-07-07 07:21:32</t>
  </si>
  <si>
    <t>85578870442000370000</t>
  </si>
  <si>
    <t>2026-07-07 07:21:33</t>
  </si>
  <si>
    <t>1046</t>
  </si>
  <si>
    <t>97500525656225050000</t>
  </si>
  <si>
    <t>2026-07-07 07:21:34</t>
  </si>
  <si>
    <t>1047</t>
  </si>
  <si>
    <t>88571698796562630000</t>
  </si>
  <si>
    <t>2553</t>
  </si>
  <si>
    <t>بيجاما ب ب بنطلون</t>
  </si>
  <si>
    <t>2026-07-07 11:33:45</t>
  </si>
  <si>
    <t>1048</t>
  </si>
  <si>
    <t>55481445047045980000</t>
  </si>
  <si>
    <t>2026-07-07 11:33:46</t>
  </si>
  <si>
    <t>81976014534579780000</t>
  </si>
  <si>
    <t>2026-07-07 11:33:47</t>
  </si>
  <si>
    <t>87321855775652400000</t>
  </si>
  <si>
    <t>1051</t>
  </si>
  <si>
    <t>33173389223374553000</t>
  </si>
  <si>
    <t>2554</t>
  </si>
  <si>
    <t>بيجاما ب ب شورت</t>
  </si>
  <si>
    <t>6.25</t>
  </si>
  <si>
    <t>2026-07-07 11:34:54</t>
  </si>
  <si>
    <t>2026-07-07 11:38:05</t>
  </si>
  <si>
    <t>1052</t>
  </si>
  <si>
    <t>47448356046886460000</t>
  </si>
  <si>
    <t>2026-07-07 11:38:23</t>
  </si>
  <si>
    <t>1053</t>
  </si>
  <si>
    <t>23408512102793350000</t>
  </si>
  <si>
    <t>2026-07-07 11:35:08</t>
  </si>
  <si>
    <t>1054</t>
  </si>
  <si>
    <t>64438047892401940000</t>
  </si>
  <si>
    <t>1055</t>
  </si>
  <si>
    <t>82352464787022410000</t>
  </si>
  <si>
    <t>2026-07-07 12:20:34</t>
  </si>
  <si>
    <t>1056</t>
  </si>
  <si>
    <t>79311251271818700000</t>
  </si>
  <si>
    <t>4225</t>
  </si>
  <si>
    <t>بيجاما ولادي</t>
  </si>
  <si>
    <t>2026-07-07 12:21:44</t>
  </si>
  <si>
    <t>1057</t>
  </si>
  <si>
    <t>16917962379291079000</t>
  </si>
  <si>
    <t>2026-07-07 12:21:45</t>
  </si>
  <si>
    <t>19602322463237464000</t>
  </si>
  <si>
    <t>2026-07-07 12:21:46</t>
  </si>
  <si>
    <t>70592829721836830000</t>
  </si>
  <si>
    <t>5057</t>
  </si>
  <si>
    <t>بنطال بناتي اسبنيولي مارينز</t>
  </si>
  <si>
    <t>5.30000</t>
  </si>
  <si>
    <t>2026-07-20 07:38:51</t>
  </si>
  <si>
    <t>21.20000</t>
  </si>
  <si>
    <t>15.21739</t>
  </si>
  <si>
    <t>1060</t>
  </si>
  <si>
    <t>73206739314692090000</t>
  </si>
  <si>
    <t>2026-07-20 07:38:52</t>
  </si>
  <si>
    <t>17717084749101724000</t>
  </si>
  <si>
    <t>6.10000</t>
  </si>
  <si>
    <t>5.30</t>
  </si>
  <si>
    <t>2026-07-20 07:39:39</t>
  </si>
  <si>
    <t>24.40000</t>
  </si>
  <si>
    <t>15.09434</t>
  </si>
  <si>
    <t>31167392362887328000</t>
  </si>
  <si>
    <t>2026-07-20 07:39:41</t>
  </si>
  <si>
    <t>77355310198623520000</t>
  </si>
  <si>
    <t>6.30</t>
  </si>
  <si>
    <t>2026-07-20 07:40:17</t>
  </si>
  <si>
    <t>2026-07-20 07:43:24</t>
  </si>
  <si>
    <t>14.75410</t>
  </si>
  <si>
    <t>1064</t>
  </si>
  <si>
    <t>59443020986165850000</t>
  </si>
  <si>
    <t>2026-07-20 07:43:43</t>
  </si>
  <si>
    <t>25208145873729917000</t>
  </si>
  <si>
    <t>5058</t>
  </si>
  <si>
    <t>بنطال بناتب اسبنيولي</t>
  </si>
  <si>
    <t>2026-07-21 13:06:44</t>
  </si>
  <si>
    <t>24.80000</t>
  </si>
  <si>
    <t>15.88785</t>
  </si>
  <si>
    <t>1066</t>
  </si>
  <si>
    <t>89754894773218870000</t>
  </si>
  <si>
    <t>1067</t>
  </si>
  <si>
    <t>69055844298354020000</t>
  </si>
  <si>
    <t>6.05</t>
  </si>
  <si>
    <t>2026-07-21 13:07:25</t>
  </si>
  <si>
    <t>15.70248</t>
  </si>
  <si>
    <t>1068</t>
  </si>
  <si>
    <t>75329080745847390000</t>
  </si>
  <si>
    <t>1069</t>
  </si>
  <si>
    <t>92576367506434800000</t>
  </si>
  <si>
    <t>7.90000</t>
  </si>
  <si>
    <t>6.85</t>
  </si>
  <si>
    <t>2026-07-21 13:22:33</t>
  </si>
  <si>
    <t>31.60000</t>
  </si>
  <si>
    <t>15.32847</t>
  </si>
  <si>
    <t>59187830861336160000</t>
  </si>
  <si>
    <t>1071</t>
  </si>
  <si>
    <t>11515353889018524000</t>
  </si>
  <si>
    <t>5085</t>
  </si>
  <si>
    <t>بنطال بناتي مدرسي اسبنيولي</t>
  </si>
  <si>
    <t>4.75</t>
  </si>
  <si>
    <t>2026-07-28 07:35:18</t>
  </si>
  <si>
    <t>2026-07-28 08:59:34</t>
  </si>
  <si>
    <t>1072</t>
  </si>
  <si>
    <t>41686216853766970000</t>
  </si>
  <si>
    <t>1073</t>
  </si>
  <si>
    <t>59872236507412340000</t>
  </si>
  <si>
    <t>2026-07-28 07:35:55</t>
  </si>
  <si>
    <t>1074</t>
  </si>
  <si>
    <t>70381814145406984000</t>
  </si>
  <si>
    <t>2026-07-28 09:00:03</t>
  </si>
  <si>
    <t>1075</t>
  </si>
  <si>
    <t>75201575343066920000</t>
  </si>
  <si>
    <t>2026-07-28 07:36:33</t>
  </si>
  <si>
    <t>2026-07-28 08:57:35</t>
  </si>
  <si>
    <t>27.40000</t>
  </si>
  <si>
    <t>14167868450342690000</t>
  </si>
  <si>
    <t>2026-07-28 07:36:34</t>
  </si>
  <si>
    <t>1077</t>
  </si>
  <si>
    <t>49450348152057995000</t>
  </si>
  <si>
    <t>5091</t>
  </si>
  <si>
    <t>5.01529</t>
  </si>
  <si>
    <t>2026-07-29 13:00:21</t>
  </si>
  <si>
    <t>2026-07-30 11:24:44</t>
  </si>
  <si>
    <t>20.06116</t>
  </si>
  <si>
    <t>15.29412</t>
  </si>
  <si>
    <t>1078</t>
  </si>
  <si>
    <t>86887271280181460000</t>
  </si>
  <si>
    <t>5.47283</t>
  </si>
  <si>
    <t>2026-07-29 13:00:46</t>
  </si>
  <si>
    <t>2026-07-30 11:25:06</t>
  </si>
  <si>
    <t>21.89132</t>
  </si>
  <si>
    <t>1079</t>
  </si>
  <si>
    <t>25897628803252797000</t>
  </si>
  <si>
    <t>1123</t>
  </si>
  <si>
    <t>بنطال جنز كلاسيك اسود</t>
  </si>
  <si>
    <t>2026-08-05 06:51:41</t>
  </si>
  <si>
    <t>1080</t>
  </si>
  <si>
    <t>58438719485573850000</t>
  </si>
  <si>
    <t>2026-08-05 06:52:26</t>
  </si>
  <si>
    <t>1081</t>
  </si>
  <si>
    <t>90756259463167890000</t>
  </si>
  <si>
    <t>6.22000</t>
  </si>
  <si>
    <t>2026-08-05 06:53:02</t>
  </si>
  <si>
    <t>24.88000</t>
  </si>
  <si>
    <t>15.18519</t>
  </si>
  <si>
    <t>1082</t>
  </si>
  <si>
    <t>66226973896411570000</t>
  </si>
  <si>
    <t>1130</t>
  </si>
  <si>
    <t>بنطال جنز قطن ك</t>
  </si>
  <si>
    <t>4.85</t>
  </si>
  <si>
    <t>2026-08-09 07:06:01</t>
  </si>
  <si>
    <t>15.46392</t>
  </si>
  <si>
    <t>1083</t>
  </si>
  <si>
    <t>13866457228731003000</t>
  </si>
  <si>
    <t>2026-08-09 07:06:32</t>
  </si>
  <si>
    <t>25.00000</t>
  </si>
  <si>
    <t>15.74074</t>
  </si>
  <si>
    <t>1084</t>
  </si>
  <si>
    <t>64597944463116255000</t>
  </si>
  <si>
    <t>6.10</t>
  </si>
  <si>
    <t>2026-08-09 07:07:13</t>
  </si>
  <si>
    <t>1085</t>
  </si>
  <si>
    <t>83042566612570600000</t>
  </si>
  <si>
    <t>2026-08-10 11:52:30</t>
  </si>
  <si>
    <t>1086</t>
  </si>
  <si>
    <t>30586656251128720000</t>
  </si>
  <si>
    <t>2026-08-10 11:52:50</t>
  </si>
  <si>
    <t>1087</t>
  </si>
  <si>
    <t>83490948720248880000</t>
  </si>
  <si>
    <t>2026-08-10 11:53:19</t>
  </si>
  <si>
    <t>1088</t>
  </si>
  <si>
    <t>35630796652461610000</t>
  </si>
  <si>
    <t>5089</t>
  </si>
  <si>
    <t>2026-08-10 12:21:28</t>
  </si>
  <si>
    <t>1089</t>
  </si>
  <si>
    <t>75712451210013640000</t>
  </si>
  <si>
    <t>2026-08-10 12:21:29</t>
  </si>
  <si>
    <t>1090</t>
  </si>
  <si>
    <t>18383188909843750000</t>
  </si>
  <si>
    <t>6.35000</t>
  </si>
  <si>
    <t>2026-08-10 12:22:25</t>
  </si>
  <si>
    <t>25.40000</t>
  </si>
  <si>
    <t>15.45455</t>
  </si>
  <si>
    <t>1091</t>
  </si>
  <si>
    <t>76227505663245930000</t>
  </si>
  <si>
    <t>1092</t>
  </si>
  <si>
    <t>76604251393663600000</t>
  </si>
  <si>
    <t>7.20000</t>
  </si>
  <si>
    <t>2026-08-10 12:22:57</t>
  </si>
  <si>
    <t>28.80000</t>
  </si>
  <si>
    <t>15.20000</t>
  </si>
  <si>
    <t>1093</t>
  </si>
  <si>
    <t>16857591609589146000</t>
  </si>
  <si>
    <t>1094</t>
  </si>
  <si>
    <t>81857450082453060000</t>
  </si>
  <si>
    <t>1134</t>
  </si>
  <si>
    <t>بنطال ولادي باكي</t>
  </si>
  <si>
    <t>5.87000</t>
  </si>
  <si>
    <t>2026-08-15 13:05:21</t>
  </si>
  <si>
    <t>23.48000</t>
  </si>
  <si>
    <t>15.09804</t>
  </si>
  <si>
    <t>1095</t>
  </si>
  <si>
    <t>76652584697642750000</t>
  </si>
  <si>
    <t>2026-08-18 07:42:42</t>
  </si>
  <si>
    <t>1096</t>
  </si>
  <si>
    <t>65216048419969090000</t>
  </si>
  <si>
    <t>6.62000</t>
  </si>
  <si>
    <t>2026-08-15 13:05:57</t>
  </si>
  <si>
    <t>2026-08-18 07:42:16</t>
  </si>
  <si>
    <t>26.48000</t>
  </si>
  <si>
    <t>15.13043</t>
  </si>
  <si>
    <t>1097</t>
  </si>
  <si>
    <t>24829266652489466000</t>
  </si>
  <si>
    <t>2026-08-15 13:05:58</t>
  </si>
  <si>
    <t>1098</t>
  </si>
  <si>
    <t>40560978735997680000</t>
  </si>
  <si>
    <t>7.54000</t>
  </si>
  <si>
    <t>6.55</t>
  </si>
  <si>
    <t>2026-08-15 13:06:36</t>
  </si>
  <si>
    <t>30.16000</t>
  </si>
  <si>
    <t>15.11450</t>
  </si>
  <si>
    <t>1099</t>
  </si>
  <si>
    <t>97815277720267150000</t>
  </si>
  <si>
    <t>34487926657225404000</t>
  </si>
  <si>
    <t>زيادات</t>
  </si>
  <si>
    <t>بنطال ولادي زيادات</t>
  </si>
  <si>
    <t>2.60000</t>
  </si>
  <si>
    <t>2.50</t>
  </si>
  <si>
    <t>2026-08-15 13:07:38</t>
  </si>
  <si>
    <t>60191842092287550000</t>
  </si>
  <si>
    <t>بنطال ولادي بوي فريند</t>
  </si>
  <si>
    <t>2026-08-18 07:39:40</t>
  </si>
  <si>
    <t>27373033873031733000</t>
  </si>
  <si>
    <t>2026-08-18 07:40:06</t>
  </si>
  <si>
    <t>36490614315656204000</t>
  </si>
  <si>
    <t>5094</t>
  </si>
  <si>
    <t>2026-08-20 14:44:06</t>
  </si>
  <si>
    <t>1104</t>
  </si>
  <si>
    <t>41623284978400730000</t>
  </si>
  <si>
    <t>1105</t>
  </si>
  <si>
    <t>67638209227160320000</t>
  </si>
  <si>
    <t>2026-08-20 14:44:41</t>
  </si>
  <si>
    <t>2026-08-20 14:48:31</t>
  </si>
  <si>
    <t>15.04274</t>
  </si>
  <si>
    <t>1106</t>
  </si>
  <si>
    <t>99658198665913750000</t>
  </si>
  <si>
    <t>5.57957</t>
  </si>
  <si>
    <t>2026-08-20 14:48:46</t>
  </si>
  <si>
    <t>22.31828</t>
  </si>
  <si>
    <t>1107</t>
  </si>
  <si>
    <t>88970509398997070000</t>
  </si>
  <si>
    <t>2026-08-20 14:47:48</t>
  </si>
  <si>
    <t>1108</t>
  </si>
  <si>
    <t>71916247603106580000</t>
  </si>
  <si>
    <t>011</t>
  </si>
  <si>
    <t>012</t>
  </si>
  <si>
    <t>013</t>
  </si>
  <si>
    <t>014</t>
  </si>
  <si>
    <t>015</t>
  </si>
  <si>
    <t>016</t>
  </si>
  <si>
    <t>019</t>
  </si>
  <si>
    <t>020</t>
  </si>
  <si>
    <t>021</t>
  </si>
  <si>
    <t>022</t>
  </si>
  <si>
    <t>027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</si>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</sst>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[$€-2]\ * #,##0.00_);_([$€-2]\ * \(#,##0.00\);_([$€-2]\ 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0" fillId="33" borderId="10" xfId="0" applyFill="1" applyBorder="1"/>
    <xf numFmtId="0" fontId="0" fillId="33" borderId="10" xfId="0" applyFill="1" applyBorder="1" applyAlignment="1"/>
    <xf numFmtId="0" fontId="0" fillId="33" borderId="10" xfId="0" applyNumberFormat="1" applyFill="1" applyBorder="1" applyAlignment="1">
      <alignment horizontal="center" vertical="center"/>
    </xf>
    <xf numFmtId="0" fontId="0" fillId="0" borderId="0" xfId="0" applyNumberFormat="1"/>
    <xf numFmtId="49" fontId="0" fillId="34" borderId="10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08EA-DBB4-4844-9FF4-94ADFB205B13}">
  <dimension ref="A1:Z1079"/>
  <sheetViews>
    <sheetView workbookViewId="0">
      <pane ySplit="1" topLeftCell="A823" activePane="bottomLeft" state="frozen"/>
      <selection pane="bottomLeft" activeCell="C1" sqref="C1"/>
    </sheetView>
  </sheetViews>
  <sheetFormatPr defaultRowHeight="15" x14ac:dyDescent="0.25"/>
  <cols>
    <col min="1" max="1" width="5" bestFit="1" customWidth="1"/>
    <col min="2" max="2" width="21.42578125" bestFit="1" customWidth="1"/>
    <col min="3" max="3" width="14.85546875" style="4" bestFit="1" customWidth="1"/>
    <col min="4" max="4" width="34.28515625" bestFit="1" customWidth="1"/>
    <col min="5" max="5" width="9.28515625" bestFit="1" customWidth="1"/>
    <col min="6" max="6" width="9.5703125" bestFit="1" customWidth="1"/>
    <col min="7" max="7" width="7.140625" bestFit="1" customWidth="1"/>
    <col min="9" max="9" width="11.5703125" bestFit="1" customWidth="1"/>
    <col min="10" max="10" width="16" bestFit="1" customWidth="1"/>
    <col min="11" max="11" width="12.5703125" bestFit="1" customWidth="1"/>
    <col min="12" max="12" width="8.85546875" bestFit="1" customWidth="1"/>
    <col min="13" max="13" width="8.5703125" bestFit="1" customWidth="1"/>
    <col min="14" max="14" width="10.140625" bestFit="1" customWidth="1"/>
    <col min="15" max="16" width="18.28515625" bestFit="1" customWidth="1"/>
    <col min="17" max="17" width="7.5703125" bestFit="1" customWidth="1"/>
    <col min="18" max="18" width="11.5703125" bestFit="1" customWidth="1"/>
    <col min="19" max="19" width="16.5703125" bestFit="1" customWidth="1"/>
    <col min="20" max="20" width="21.42578125" bestFit="1" customWidth="1"/>
    <col min="21" max="21" width="14.7109375" bestFit="1" customWidth="1"/>
    <col min="22" max="22" width="11.7109375" bestFit="1" customWidth="1"/>
    <col min="23" max="23" width="11.85546875" bestFit="1" customWidth="1"/>
    <col min="24" max="24" width="13.28515625" bestFit="1" customWidth="1"/>
    <col min="25" max="25" width="5.85546875" bestFit="1" customWidth="1"/>
    <col min="26" max="26" width="11" bestFit="1" customWidth="1"/>
  </cols>
  <sheetData>
    <row r="1" spans="1:26" x14ac:dyDescent="0.25">
      <c r="A1" s="1" t="s">
        <v>59</v>
      </c>
      <c r="B1" s="1" t="s">
        <v>10</v>
      </c>
      <c r="C1" s="5" t="s">
        <v>0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9</v>
      </c>
      <c r="K1" s="1" t="s">
        <v>6</v>
      </c>
      <c r="L1" s="1" t="s">
        <v>65</v>
      </c>
      <c r="M1" s="1" t="s">
        <v>66</v>
      </c>
      <c r="N1" s="1" t="s">
        <v>7</v>
      </c>
      <c r="O1" s="1" t="s">
        <v>67</v>
      </c>
      <c r="P1" s="1" t="s">
        <v>68</v>
      </c>
      <c r="Q1" s="1" t="s">
        <v>69</v>
      </c>
      <c r="R1" s="1" t="s">
        <v>2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</row>
    <row r="2" spans="1:26" x14ac:dyDescent="0.25">
      <c r="A2" t="s">
        <v>78</v>
      </c>
      <c r="B2" t="s">
        <v>79</v>
      </c>
      <c r="C2" s="4" t="s">
        <v>80</v>
      </c>
      <c r="D2" t="s">
        <v>81</v>
      </c>
      <c r="E2" t="s">
        <v>14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78</v>
      </c>
      <c r="R2" t="s">
        <v>78</v>
      </c>
      <c r="S2" t="s">
        <v>94</v>
      </c>
      <c r="T2" t="s">
        <v>79</v>
      </c>
      <c r="U2" t="s">
        <v>95</v>
      </c>
      <c r="V2" t="s">
        <v>82</v>
      </c>
      <c r="W2" t="s">
        <v>96</v>
      </c>
      <c r="X2" t="s">
        <v>96</v>
      </c>
      <c r="Y2" t="s">
        <v>82</v>
      </c>
      <c r="Z2" t="s">
        <v>85</v>
      </c>
    </row>
    <row r="3" spans="1:26" x14ac:dyDescent="0.25">
      <c r="A3" t="s">
        <v>85</v>
      </c>
      <c r="B3" t="s">
        <v>97</v>
      </c>
      <c r="C3" s="4" t="s">
        <v>80</v>
      </c>
      <c r="D3" t="s">
        <v>81</v>
      </c>
      <c r="E3" t="s">
        <v>14</v>
      </c>
      <c r="F3" t="s">
        <v>83</v>
      </c>
      <c r="G3" t="s">
        <v>84</v>
      </c>
      <c r="H3" t="s">
        <v>85</v>
      </c>
      <c r="I3" t="s">
        <v>86</v>
      </c>
      <c r="J3" t="s">
        <v>98</v>
      </c>
      <c r="K3" t="s">
        <v>88</v>
      </c>
      <c r="L3" t="s">
        <v>89</v>
      </c>
      <c r="M3" t="s">
        <v>90</v>
      </c>
      <c r="N3" t="s">
        <v>91</v>
      </c>
      <c r="O3" t="s">
        <v>92</v>
      </c>
      <c r="P3" t="s">
        <v>99</v>
      </c>
      <c r="Q3" t="s">
        <v>78</v>
      </c>
      <c r="R3" t="s">
        <v>78</v>
      </c>
      <c r="S3" t="s">
        <v>94</v>
      </c>
      <c r="T3" t="s">
        <v>97</v>
      </c>
      <c r="U3" t="s">
        <v>95</v>
      </c>
      <c r="V3" t="s">
        <v>82</v>
      </c>
      <c r="W3" t="s">
        <v>96</v>
      </c>
      <c r="X3" t="s">
        <v>96</v>
      </c>
      <c r="Y3" t="s">
        <v>82</v>
      </c>
      <c r="Z3" t="s">
        <v>85</v>
      </c>
    </row>
    <row r="4" spans="1:26" x14ac:dyDescent="0.25">
      <c r="A4" t="s">
        <v>86</v>
      </c>
      <c r="B4" t="s">
        <v>100</v>
      </c>
      <c r="C4" s="4" t="s">
        <v>80</v>
      </c>
      <c r="D4" t="s">
        <v>81</v>
      </c>
      <c r="E4" t="s">
        <v>14</v>
      </c>
      <c r="F4" t="s">
        <v>83</v>
      </c>
      <c r="G4" t="s">
        <v>84</v>
      </c>
      <c r="H4" t="s">
        <v>85</v>
      </c>
      <c r="I4" t="s">
        <v>86</v>
      </c>
      <c r="J4" t="s">
        <v>15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s">
        <v>101</v>
      </c>
      <c r="Q4" t="s">
        <v>78</v>
      </c>
      <c r="R4" t="s">
        <v>78</v>
      </c>
      <c r="S4" t="s">
        <v>94</v>
      </c>
      <c r="T4" t="s">
        <v>100</v>
      </c>
      <c r="U4" t="s">
        <v>95</v>
      </c>
      <c r="V4" t="s">
        <v>82</v>
      </c>
      <c r="W4" t="s">
        <v>96</v>
      </c>
      <c r="X4" t="s">
        <v>96</v>
      </c>
      <c r="Y4" t="s">
        <v>82</v>
      </c>
      <c r="Z4" t="s">
        <v>85</v>
      </c>
    </row>
    <row r="5" spans="1:26" x14ac:dyDescent="0.25">
      <c r="A5" t="s">
        <v>102</v>
      </c>
      <c r="B5" t="s">
        <v>103</v>
      </c>
      <c r="C5" s="4" t="s">
        <v>104</v>
      </c>
      <c r="D5" t="s">
        <v>81</v>
      </c>
      <c r="E5" t="s">
        <v>14</v>
      </c>
      <c r="F5" t="s">
        <v>105</v>
      </c>
      <c r="G5" t="s">
        <v>106</v>
      </c>
      <c r="H5" t="s">
        <v>85</v>
      </c>
      <c r="I5" t="s">
        <v>86</v>
      </c>
      <c r="J5" t="s">
        <v>15</v>
      </c>
      <c r="K5" t="s">
        <v>107</v>
      </c>
      <c r="L5" t="s">
        <v>89</v>
      </c>
      <c r="M5" t="s">
        <v>90</v>
      </c>
      <c r="N5" t="s">
        <v>108</v>
      </c>
      <c r="O5" t="s">
        <v>92</v>
      </c>
      <c r="P5" t="s">
        <v>109</v>
      </c>
      <c r="Q5" t="s">
        <v>78</v>
      </c>
      <c r="R5" t="s">
        <v>78</v>
      </c>
      <c r="S5" t="s">
        <v>110</v>
      </c>
      <c r="T5" t="s">
        <v>103</v>
      </c>
      <c r="U5" t="s">
        <v>95</v>
      </c>
      <c r="V5" t="s">
        <v>82</v>
      </c>
      <c r="W5" t="s">
        <v>96</v>
      </c>
      <c r="X5" t="s">
        <v>96</v>
      </c>
      <c r="Y5" t="s">
        <v>82</v>
      </c>
      <c r="Z5" t="s">
        <v>85</v>
      </c>
    </row>
    <row r="6" spans="1:26" x14ac:dyDescent="0.25">
      <c r="A6" t="s">
        <v>111</v>
      </c>
      <c r="B6" t="s">
        <v>112</v>
      </c>
      <c r="C6" s="4" t="s">
        <v>104</v>
      </c>
      <c r="D6" t="s">
        <v>81</v>
      </c>
      <c r="E6" t="s">
        <v>14</v>
      </c>
      <c r="F6" t="s">
        <v>105</v>
      </c>
      <c r="G6" t="s">
        <v>106</v>
      </c>
      <c r="H6" t="s">
        <v>85</v>
      </c>
      <c r="I6" t="s">
        <v>86</v>
      </c>
      <c r="J6" t="s">
        <v>98</v>
      </c>
      <c r="K6" t="s">
        <v>107</v>
      </c>
      <c r="L6" t="s">
        <v>89</v>
      </c>
      <c r="M6" t="s">
        <v>90</v>
      </c>
      <c r="N6" t="s">
        <v>108</v>
      </c>
      <c r="O6" t="s">
        <v>92</v>
      </c>
      <c r="P6" t="s">
        <v>113</v>
      </c>
      <c r="Q6" t="s">
        <v>78</v>
      </c>
      <c r="R6" t="s">
        <v>78</v>
      </c>
      <c r="S6" t="s">
        <v>110</v>
      </c>
      <c r="T6" t="s">
        <v>112</v>
      </c>
      <c r="U6" t="s">
        <v>95</v>
      </c>
      <c r="V6" t="s">
        <v>82</v>
      </c>
      <c r="W6" t="s">
        <v>96</v>
      </c>
      <c r="X6" t="s">
        <v>96</v>
      </c>
      <c r="Y6" t="s">
        <v>82</v>
      </c>
      <c r="Z6" t="s">
        <v>85</v>
      </c>
    </row>
    <row r="7" spans="1:26" x14ac:dyDescent="0.25">
      <c r="A7" t="s">
        <v>83</v>
      </c>
      <c r="B7" t="s">
        <v>114</v>
      </c>
      <c r="C7" s="4" t="s">
        <v>104</v>
      </c>
      <c r="D7" t="s">
        <v>81</v>
      </c>
      <c r="E7" t="s">
        <v>14</v>
      </c>
      <c r="F7" t="s">
        <v>105</v>
      </c>
      <c r="G7" t="s">
        <v>106</v>
      </c>
      <c r="H7" t="s">
        <v>85</v>
      </c>
      <c r="I7" t="s">
        <v>86</v>
      </c>
      <c r="J7" t="s">
        <v>17</v>
      </c>
      <c r="K7" t="s">
        <v>107</v>
      </c>
      <c r="L7" t="s">
        <v>89</v>
      </c>
      <c r="M7" t="s">
        <v>90</v>
      </c>
      <c r="N7" t="s">
        <v>108</v>
      </c>
      <c r="O7" t="s">
        <v>92</v>
      </c>
      <c r="P7" t="s">
        <v>115</v>
      </c>
      <c r="Q7" t="s">
        <v>78</v>
      </c>
      <c r="R7" t="s">
        <v>78</v>
      </c>
      <c r="S7" t="s">
        <v>110</v>
      </c>
      <c r="T7" t="s">
        <v>114</v>
      </c>
      <c r="U7" t="s">
        <v>95</v>
      </c>
      <c r="V7" t="s">
        <v>82</v>
      </c>
      <c r="W7" t="s">
        <v>96</v>
      </c>
      <c r="X7" t="s">
        <v>96</v>
      </c>
      <c r="Y7" t="s">
        <v>82</v>
      </c>
      <c r="Z7" t="s">
        <v>85</v>
      </c>
    </row>
    <row r="8" spans="1:26" x14ac:dyDescent="0.25">
      <c r="A8" t="s">
        <v>116</v>
      </c>
      <c r="B8" t="s">
        <v>117</v>
      </c>
      <c r="C8" s="4" t="s">
        <v>118</v>
      </c>
      <c r="D8" t="s">
        <v>119</v>
      </c>
      <c r="E8" t="s">
        <v>14</v>
      </c>
      <c r="F8" t="s">
        <v>83</v>
      </c>
      <c r="G8" t="s">
        <v>84</v>
      </c>
      <c r="H8" t="s">
        <v>85</v>
      </c>
      <c r="I8" t="s">
        <v>86</v>
      </c>
      <c r="J8" t="s">
        <v>37</v>
      </c>
      <c r="K8" t="s">
        <v>120</v>
      </c>
      <c r="L8" t="s">
        <v>89</v>
      </c>
      <c r="M8" t="s">
        <v>90</v>
      </c>
      <c r="N8" t="s">
        <v>121</v>
      </c>
      <c r="O8" t="s">
        <v>92</v>
      </c>
      <c r="P8" t="s">
        <v>122</v>
      </c>
      <c r="Q8" t="s">
        <v>78</v>
      </c>
      <c r="R8" t="s">
        <v>85</v>
      </c>
      <c r="S8" t="s">
        <v>123</v>
      </c>
      <c r="T8" t="s">
        <v>117</v>
      </c>
      <c r="U8" t="s">
        <v>95</v>
      </c>
      <c r="V8" t="s">
        <v>82</v>
      </c>
      <c r="W8" t="s">
        <v>96</v>
      </c>
      <c r="X8" t="s">
        <v>96</v>
      </c>
      <c r="Y8" t="s">
        <v>82</v>
      </c>
      <c r="Z8" t="s">
        <v>85</v>
      </c>
    </row>
    <row r="9" spans="1:26" x14ac:dyDescent="0.25">
      <c r="A9" t="s">
        <v>124</v>
      </c>
      <c r="B9" t="s">
        <v>125</v>
      </c>
      <c r="C9" s="4" t="s">
        <v>118</v>
      </c>
      <c r="D9" t="s">
        <v>119</v>
      </c>
      <c r="E9" t="s">
        <v>14</v>
      </c>
      <c r="F9" t="s">
        <v>83</v>
      </c>
      <c r="G9" t="s">
        <v>84</v>
      </c>
      <c r="H9" t="s">
        <v>85</v>
      </c>
      <c r="I9" t="s">
        <v>86</v>
      </c>
      <c r="J9" t="s">
        <v>126</v>
      </c>
      <c r="K9" t="s">
        <v>120</v>
      </c>
      <c r="L9" t="s">
        <v>89</v>
      </c>
      <c r="M9" t="s">
        <v>90</v>
      </c>
      <c r="N9" t="s">
        <v>121</v>
      </c>
      <c r="O9" t="s">
        <v>92</v>
      </c>
      <c r="P9" t="s">
        <v>127</v>
      </c>
      <c r="Q9" t="s">
        <v>78</v>
      </c>
      <c r="R9" t="s">
        <v>85</v>
      </c>
      <c r="S9" t="s">
        <v>123</v>
      </c>
      <c r="T9" t="s">
        <v>125</v>
      </c>
      <c r="U9" t="s">
        <v>95</v>
      </c>
      <c r="V9" t="s">
        <v>82</v>
      </c>
      <c r="W9" t="s">
        <v>96</v>
      </c>
      <c r="X9" t="s">
        <v>96</v>
      </c>
      <c r="Y9" t="s">
        <v>82</v>
      </c>
      <c r="Z9" t="s">
        <v>85</v>
      </c>
    </row>
    <row r="10" spans="1:26" x14ac:dyDescent="0.25">
      <c r="A10" t="s">
        <v>128</v>
      </c>
      <c r="B10" t="s">
        <v>129</v>
      </c>
      <c r="C10" s="4" t="s">
        <v>118</v>
      </c>
      <c r="D10" t="s">
        <v>119</v>
      </c>
      <c r="E10" t="s">
        <v>14</v>
      </c>
      <c r="F10" t="s">
        <v>83</v>
      </c>
      <c r="G10" t="s">
        <v>84</v>
      </c>
      <c r="H10" t="s">
        <v>85</v>
      </c>
      <c r="I10" t="s">
        <v>86</v>
      </c>
      <c r="J10" t="s">
        <v>130</v>
      </c>
      <c r="K10" t="s">
        <v>120</v>
      </c>
      <c r="L10" t="s">
        <v>89</v>
      </c>
      <c r="M10" t="s">
        <v>90</v>
      </c>
      <c r="N10" t="s">
        <v>121</v>
      </c>
      <c r="O10" t="s">
        <v>92</v>
      </c>
      <c r="P10" t="s">
        <v>131</v>
      </c>
      <c r="Q10" t="s">
        <v>78</v>
      </c>
      <c r="R10" t="s">
        <v>85</v>
      </c>
      <c r="S10" t="s">
        <v>123</v>
      </c>
      <c r="T10" t="s">
        <v>129</v>
      </c>
      <c r="U10" t="s">
        <v>95</v>
      </c>
      <c r="V10" t="s">
        <v>82</v>
      </c>
      <c r="W10" t="s">
        <v>96</v>
      </c>
      <c r="X10" t="s">
        <v>96</v>
      </c>
      <c r="Y10" t="s">
        <v>82</v>
      </c>
      <c r="Z10" t="s">
        <v>85</v>
      </c>
    </row>
    <row r="11" spans="1:26" x14ac:dyDescent="0.25">
      <c r="A11" t="s">
        <v>84</v>
      </c>
      <c r="B11" t="s">
        <v>132</v>
      </c>
      <c r="C11" s="4" t="s">
        <v>118</v>
      </c>
      <c r="D11" t="s">
        <v>119</v>
      </c>
      <c r="E11" t="s">
        <v>14</v>
      </c>
      <c r="F11" t="s">
        <v>83</v>
      </c>
      <c r="G11" t="s">
        <v>84</v>
      </c>
      <c r="H11" t="s">
        <v>85</v>
      </c>
      <c r="I11" t="s">
        <v>86</v>
      </c>
      <c r="J11" t="s">
        <v>29</v>
      </c>
      <c r="K11" t="s">
        <v>120</v>
      </c>
      <c r="L11" t="s">
        <v>89</v>
      </c>
      <c r="M11" t="s">
        <v>90</v>
      </c>
      <c r="N11" t="s">
        <v>121</v>
      </c>
      <c r="O11" t="s">
        <v>92</v>
      </c>
      <c r="P11" t="s">
        <v>133</v>
      </c>
      <c r="Q11" t="s">
        <v>78</v>
      </c>
      <c r="R11" t="s">
        <v>85</v>
      </c>
      <c r="S11" t="s">
        <v>123</v>
      </c>
      <c r="T11" t="s">
        <v>132</v>
      </c>
      <c r="U11" t="s">
        <v>95</v>
      </c>
      <c r="V11" t="s">
        <v>82</v>
      </c>
      <c r="W11" t="s">
        <v>96</v>
      </c>
      <c r="X11" t="s">
        <v>96</v>
      </c>
      <c r="Y11" t="s">
        <v>82</v>
      </c>
      <c r="Z11" t="s">
        <v>85</v>
      </c>
    </row>
    <row r="12" spans="1:26" x14ac:dyDescent="0.25">
      <c r="A12" t="s">
        <v>134</v>
      </c>
      <c r="B12" t="s">
        <v>135</v>
      </c>
      <c r="C12" s="4" t="s">
        <v>118</v>
      </c>
      <c r="D12" t="s">
        <v>119</v>
      </c>
      <c r="E12" t="s">
        <v>14</v>
      </c>
      <c r="F12" t="s">
        <v>83</v>
      </c>
      <c r="G12" t="s">
        <v>84</v>
      </c>
      <c r="H12" t="s">
        <v>85</v>
      </c>
      <c r="I12" t="s">
        <v>86</v>
      </c>
      <c r="J12" t="s">
        <v>17</v>
      </c>
      <c r="K12" t="s">
        <v>120</v>
      </c>
      <c r="L12" t="s">
        <v>89</v>
      </c>
      <c r="M12" t="s">
        <v>90</v>
      </c>
      <c r="N12" t="s">
        <v>121</v>
      </c>
      <c r="O12" t="s">
        <v>92</v>
      </c>
      <c r="P12" t="s">
        <v>136</v>
      </c>
      <c r="Q12" t="s">
        <v>78</v>
      </c>
      <c r="R12" t="s">
        <v>85</v>
      </c>
      <c r="S12" t="s">
        <v>123</v>
      </c>
      <c r="T12" t="s">
        <v>135</v>
      </c>
      <c r="U12" t="s">
        <v>95</v>
      </c>
      <c r="V12" t="s">
        <v>82</v>
      </c>
      <c r="W12" t="s">
        <v>96</v>
      </c>
      <c r="X12" t="s">
        <v>96</v>
      </c>
      <c r="Y12" t="s">
        <v>82</v>
      </c>
      <c r="Z12" t="s">
        <v>85</v>
      </c>
    </row>
    <row r="13" spans="1:26" x14ac:dyDescent="0.25">
      <c r="A13" t="s">
        <v>105</v>
      </c>
      <c r="B13" t="s">
        <v>137</v>
      </c>
      <c r="C13" s="4" t="s">
        <v>138</v>
      </c>
      <c r="D13" t="s">
        <v>119</v>
      </c>
      <c r="E13" t="s">
        <v>14</v>
      </c>
      <c r="F13" t="s">
        <v>105</v>
      </c>
      <c r="G13" t="s">
        <v>106</v>
      </c>
      <c r="H13" t="s">
        <v>85</v>
      </c>
      <c r="I13" t="s">
        <v>86</v>
      </c>
      <c r="J13" t="s">
        <v>37</v>
      </c>
      <c r="K13" t="s">
        <v>139</v>
      </c>
      <c r="L13" t="s">
        <v>89</v>
      </c>
      <c r="M13" t="s">
        <v>90</v>
      </c>
      <c r="N13" t="s">
        <v>140</v>
      </c>
      <c r="O13" t="s">
        <v>92</v>
      </c>
      <c r="P13" t="s">
        <v>141</v>
      </c>
      <c r="Q13" t="s">
        <v>78</v>
      </c>
      <c r="R13" t="s">
        <v>78</v>
      </c>
      <c r="S13" t="s">
        <v>142</v>
      </c>
      <c r="T13" t="s">
        <v>137</v>
      </c>
      <c r="U13" t="s">
        <v>95</v>
      </c>
      <c r="V13" t="s">
        <v>82</v>
      </c>
      <c r="W13" t="s">
        <v>96</v>
      </c>
      <c r="X13" t="s">
        <v>96</v>
      </c>
      <c r="Y13" t="s">
        <v>82</v>
      </c>
      <c r="Z13" t="s">
        <v>85</v>
      </c>
    </row>
    <row r="14" spans="1:26" x14ac:dyDescent="0.25">
      <c r="A14" t="s">
        <v>143</v>
      </c>
      <c r="B14" t="s">
        <v>144</v>
      </c>
      <c r="C14" s="4" t="s">
        <v>138</v>
      </c>
      <c r="D14" t="s">
        <v>119</v>
      </c>
      <c r="E14" t="s">
        <v>14</v>
      </c>
      <c r="F14" t="s">
        <v>105</v>
      </c>
      <c r="G14" t="s">
        <v>106</v>
      </c>
      <c r="H14" t="s">
        <v>85</v>
      </c>
      <c r="I14" t="s">
        <v>86</v>
      </c>
      <c r="J14" t="s">
        <v>126</v>
      </c>
      <c r="K14" t="s">
        <v>139</v>
      </c>
      <c r="L14" t="s">
        <v>89</v>
      </c>
      <c r="M14" t="s">
        <v>90</v>
      </c>
      <c r="N14" t="s">
        <v>140</v>
      </c>
      <c r="O14" t="s">
        <v>92</v>
      </c>
      <c r="P14" t="s">
        <v>145</v>
      </c>
      <c r="Q14" t="s">
        <v>78</v>
      </c>
      <c r="R14" t="s">
        <v>78</v>
      </c>
      <c r="S14" t="s">
        <v>142</v>
      </c>
      <c r="T14" t="s">
        <v>144</v>
      </c>
      <c r="U14" t="s">
        <v>95</v>
      </c>
      <c r="V14" t="s">
        <v>82</v>
      </c>
      <c r="W14" t="s">
        <v>96</v>
      </c>
      <c r="X14" t="s">
        <v>96</v>
      </c>
      <c r="Y14" t="s">
        <v>82</v>
      </c>
      <c r="Z14" t="s">
        <v>85</v>
      </c>
    </row>
    <row r="15" spans="1:26" x14ac:dyDescent="0.25">
      <c r="A15" t="s">
        <v>146</v>
      </c>
      <c r="B15" t="s">
        <v>147</v>
      </c>
      <c r="C15" s="4" t="s">
        <v>138</v>
      </c>
      <c r="D15" t="s">
        <v>119</v>
      </c>
      <c r="E15" t="s">
        <v>14</v>
      </c>
      <c r="F15" t="s">
        <v>105</v>
      </c>
      <c r="G15" t="s">
        <v>106</v>
      </c>
      <c r="H15" t="s">
        <v>85</v>
      </c>
      <c r="I15" t="s">
        <v>86</v>
      </c>
      <c r="J15" t="s">
        <v>130</v>
      </c>
      <c r="K15" t="s">
        <v>139</v>
      </c>
      <c r="L15" t="s">
        <v>89</v>
      </c>
      <c r="M15" t="s">
        <v>90</v>
      </c>
      <c r="N15" t="s">
        <v>140</v>
      </c>
      <c r="O15" t="s">
        <v>92</v>
      </c>
      <c r="P15" t="s">
        <v>148</v>
      </c>
      <c r="Q15" t="s">
        <v>78</v>
      </c>
      <c r="R15" t="s">
        <v>78</v>
      </c>
      <c r="S15" t="s">
        <v>142</v>
      </c>
      <c r="T15" t="s">
        <v>147</v>
      </c>
      <c r="U15" t="s">
        <v>95</v>
      </c>
      <c r="V15" t="s">
        <v>82</v>
      </c>
      <c r="W15" t="s">
        <v>96</v>
      </c>
      <c r="X15" t="s">
        <v>96</v>
      </c>
      <c r="Y15" t="s">
        <v>82</v>
      </c>
      <c r="Z15" t="s">
        <v>85</v>
      </c>
    </row>
    <row r="16" spans="1:26" x14ac:dyDescent="0.25">
      <c r="A16" t="s">
        <v>149</v>
      </c>
      <c r="B16" t="s">
        <v>150</v>
      </c>
      <c r="C16" s="4" t="s">
        <v>138</v>
      </c>
      <c r="D16" t="s">
        <v>119</v>
      </c>
      <c r="E16" t="s">
        <v>14</v>
      </c>
      <c r="F16" t="s">
        <v>105</v>
      </c>
      <c r="G16" t="s">
        <v>106</v>
      </c>
      <c r="H16" t="s">
        <v>85</v>
      </c>
      <c r="I16" t="s">
        <v>86</v>
      </c>
      <c r="J16" t="s">
        <v>29</v>
      </c>
      <c r="K16" t="s">
        <v>139</v>
      </c>
      <c r="L16" t="s">
        <v>89</v>
      </c>
      <c r="M16" t="s">
        <v>90</v>
      </c>
      <c r="N16" t="s">
        <v>140</v>
      </c>
      <c r="O16" t="s">
        <v>92</v>
      </c>
      <c r="P16" t="s">
        <v>151</v>
      </c>
      <c r="Q16" t="s">
        <v>78</v>
      </c>
      <c r="R16" t="s">
        <v>78</v>
      </c>
      <c r="S16" t="s">
        <v>142</v>
      </c>
      <c r="T16" t="s">
        <v>150</v>
      </c>
      <c r="U16" t="s">
        <v>95</v>
      </c>
      <c r="V16" t="s">
        <v>82</v>
      </c>
      <c r="W16" t="s">
        <v>96</v>
      </c>
      <c r="X16" t="s">
        <v>96</v>
      </c>
      <c r="Y16" t="s">
        <v>82</v>
      </c>
      <c r="Z16" t="s">
        <v>85</v>
      </c>
    </row>
    <row r="17" spans="1:26" x14ac:dyDescent="0.25">
      <c r="A17" t="s">
        <v>106</v>
      </c>
      <c r="B17" t="s">
        <v>152</v>
      </c>
      <c r="C17" s="4" t="s">
        <v>138</v>
      </c>
      <c r="D17" t="s">
        <v>119</v>
      </c>
      <c r="E17" t="s">
        <v>14</v>
      </c>
      <c r="F17" t="s">
        <v>105</v>
      </c>
      <c r="G17" t="s">
        <v>106</v>
      </c>
      <c r="H17" t="s">
        <v>85</v>
      </c>
      <c r="I17" t="s">
        <v>86</v>
      </c>
      <c r="J17" t="s">
        <v>17</v>
      </c>
      <c r="K17" t="s">
        <v>139</v>
      </c>
      <c r="L17" t="s">
        <v>89</v>
      </c>
      <c r="M17" t="s">
        <v>90</v>
      </c>
      <c r="N17" t="s">
        <v>140</v>
      </c>
      <c r="O17" t="s">
        <v>92</v>
      </c>
      <c r="P17" t="s">
        <v>153</v>
      </c>
      <c r="Q17" t="s">
        <v>78</v>
      </c>
      <c r="R17" t="s">
        <v>78</v>
      </c>
      <c r="S17" t="s">
        <v>142</v>
      </c>
      <c r="T17" t="s">
        <v>152</v>
      </c>
      <c r="U17" t="s">
        <v>95</v>
      </c>
      <c r="V17" t="s">
        <v>82</v>
      </c>
      <c r="W17" t="s">
        <v>96</v>
      </c>
      <c r="X17" t="s">
        <v>96</v>
      </c>
      <c r="Y17" t="s">
        <v>82</v>
      </c>
      <c r="Z17" t="s">
        <v>85</v>
      </c>
    </row>
    <row r="18" spans="1:26" x14ac:dyDescent="0.25">
      <c r="A18" t="s">
        <v>154</v>
      </c>
      <c r="B18" t="s">
        <v>155</v>
      </c>
      <c r="C18" s="4" t="s">
        <v>156</v>
      </c>
      <c r="D18" t="s">
        <v>157</v>
      </c>
      <c r="E18" t="s">
        <v>14</v>
      </c>
      <c r="F18" t="s">
        <v>83</v>
      </c>
      <c r="G18" t="s">
        <v>84</v>
      </c>
      <c r="H18" t="s">
        <v>85</v>
      </c>
      <c r="I18" t="s">
        <v>86</v>
      </c>
      <c r="J18" t="s">
        <v>130</v>
      </c>
      <c r="K18" t="s">
        <v>120</v>
      </c>
      <c r="L18" t="s">
        <v>89</v>
      </c>
      <c r="M18" t="s">
        <v>90</v>
      </c>
      <c r="N18" t="s">
        <v>121</v>
      </c>
      <c r="O18" t="s">
        <v>92</v>
      </c>
      <c r="P18" t="s">
        <v>158</v>
      </c>
      <c r="Q18" t="s">
        <v>78</v>
      </c>
      <c r="R18" t="s">
        <v>85</v>
      </c>
      <c r="S18" t="s">
        <v>159</v>
      </c>
      <c r="T18" t="s">
        <v>155</v>
      </c>
      <c r="U18" t="s">
        <v>95</v>
      </c>
      <c r="V18" t="s">
        <v>82</v>
      </c>
      <c r="W18" t="s">
        <v>96</v>
      </c>
      <c r="X18" t="s">
        <v>96</v>
      </c>
      <c r="Y18" t="s">
        <v>82</v>
      </c>
      <c r="Z18" t="s">
        <v>85</v>
      </c>
    </row>
    <row r="19" spans="1:26" x14ac:dyDescent="0.25">
      <c r="A19" t="s">
        <v>160</v>
      </c>
      <c r="B19" t="s">
        <v>161</v>
      </c>
      <c r="C19" s="4" t="s">
        <v>156</v>
      </c>
      <c r="D19" t="s">
        <v>157</v>
      </c>
      <c r="E19" t="s">
        <v>14</v>
      </c>
      <c r="F19" t="s">
        <v>83</v>
      </c>
      <c r="G19" t="s">
        <v>84</v>
      </c>
      <c r="H19" t="s">
        <v>85</v>
      </c>
      <c r="I19" t="s">
        <v>86</v>
      </c>
      <c r="J19" t="s">
        <v>17</v>
      </c>
      <c r="K19" t="s">
        <v>120</v>
      </c>
      <c r="L19" t="s">
        <v>89</v>
      </c>
      <c r="M19" t="s">
        <v>90</v>
      </c>
      <c r="N19" t="s">
        <v>121</v>
      </c>
      <c r="O19" t="s">
        <v>92</v>
      </c>
      <c r="P19" t="s">
        <v>162</v>
      </c>
      <c r="Q19" t="s">
        <v>78</v>
      </c>
      <c r="R19" t="s">
        <v>85</v>
      </c>
      <c r="S19" t="s">
        <v>159</v>
      </c>
      <c r="T19" t="s">
        <v>161</v>
      </c>
      <c r="U19" t="s">
        <v>95</v>
      </c>
      <c r="V19" t="s">
        <v>82</v>
      </c>
      <c r="W19" t="s">
        <v>96</v>
      </c>
      <c r="X19" t="s">
        <v>96</v>
      </c>
      <c r="Y19" t="s">
        <v>82</v>
      </c>
      <c r="Z19" t="s">
        <v>85</v>
      </c>
    </row>
    <row r="20" spans="1:26" x14ac:dyDescent="0.25">
      <c r="A20" t="s">
        <v>163</v>
      </c>
      <c r="B20" t="s">
        <v>164</v>
      </c>
      <c r="C20" s="4" t="s">
        <v>156</v>
      </c>
      <c r="D20" t="s">
        <v>157</v>
      </c>
      <c r="E20" t="s">
        <v>14</v>
      </c>
      <c r="F20" t="s">
        <v>83</v>
      </c>
      <c r="G20" t="s">
        <v>84</v>
      </c>
      <c r="H20" t="s">
        <v>85</v>
      </c>
      <c r="I20" t="s">
        <v>86</v>
      </c>
      <c r="J20" t="s">
        <v>37</v>
      </c>
      <c r="K20" t="s">
        <v>120</v>
      </c>
      <c r="L20" t="s">
        <v>89</v>
      </c>
      <c r="M20" t="s">
        <v>90</v>
      </c>
      <c r="N20" t="s">
        <v>121</v>
      </c>
      <c r="O20" t="s">
        <v>92</v>
      </c>
      <c r="P20" t="s">
        <v>165</v>
      </c>
      <c r="Q20" t="s">
        <v>78</v>
      </c>
      <c r="R20" t="s">
        <v>85</v>
      </c>
      <c r="S20" t="s">
        <v>159</v>
      </c>
      <c r="T20" t="s">
        <v>164</v>
      </c>
      <c r="U20" t="s">
        <v>95</v>
      </c>
      <c r="V20" t="s">
        <v>82</v>
      </c>
      <c r="W20" t="s">
        <v>96</v>
      </c>
      <c r="X20" t="s">
        <v>96</v>
      </c>
      <c r="Y20" t="s">
        <v>82</v>
      </c>
      <c r="Z20" t="s">
        <v>85</v>
      </c>
    </row>
    <row r="21" spans="1:26" x14ac:dyDescent="0.25">
      <c r="A21" t="s">
        <v>166</v>
      </c>
      <c r="B21" t="s">
        <v>167</v>
      </c>
      <c r="C21" s="4" t="s">
        <v>156</v>
      </c>
      <c r="D21" t="s">
        <v>157</v>
      </c>
      <c r="E21" t="s">
        <v>14</v>
      </c>
      <c r="F21" t="s">
        <v>83</v>
      </c>
      <c r="G21" t="s">
        <v>84</v>
      </c>
      <c r="H21" t="s">
        <v>85</v>
      </c>
      <c r="I21" t="s">
        <v>86</v>
      </c>
      <c r="J21" t="s">
        <v>29</v>
      </c>
      <c r="K21" t="s">
        <v>120</v>
      </c>
      <c r="L21" t="s">
        <v>89</v>
      </c>
      <c r="M21" t="s">
        <v>90</v>
      </c>
      <c r="N21" t="s">
        <v>121</v>
      </c>
      <c r="O21" t="s">
        <v>92</v>
      </c>
      <c r="P21" t="s">
        <v>168</v>
      </c>
      <c r="Q21" t="s">
        <v>78</v>
      </c>
      <c r="R21" t="s">
        <v>85</v>
      </c>
      <c r="S21" t="s">
        <v>159</v>
      </c>
      <c r="T21" t="s">
        <v>167</v>
      </c>
      <c r="U21" t="s">
        <v>95</v>
      </c>
      <c r="V21" t="s">
        <v>82</v>
      </c>
      <c r="W21" t="s">
        <v>96</v>
      </c>
      <c r="X21" t="s">
        <v>96</v>
      </c>
      <c r="Y21" t="s">
        <v>82</v>
      </c>
      <c r="Z21" t="s">
        <v>85</v>
      </c>
    </row>
    <row r="22" spans="1:26" x14ac:dyDescent="0.25">
      <c r="A22" t="s">
        <v>169</v>
      </c>
      <c r="B22" t="s">
        <v>170</v>
      </c>
      <c r="C22" s="4" t="s">
        <v>171</v>
      </c>
      <c r="D22" t="s">
        <v>157</v>
      </c>
      <c r="E22" t="s">
        <v>14</v>
      </c>
      <c r="F22" t="s">
        <v>105</v>
      </c>
      <c r="G22" t="s">
        <v>106</v>
      </c>
      <c r="H22" t="s">
        <v>85</v>
      </c>
      <c r="I22" t="s">
        <v>86</v>
      </c>
      <c r="J22" t="s">
        <v>130</v>
      </c>
      <c r="K22" t="s">
        <v>139</v>
      </c>
      <c r="L22" t="s">
        <v>89</v>
      </c>
      <c r="M22" t="s">
        <v>90</v>
      </c>
      <c r="N22" t="s">
        <v>140</v>
      </c>
      <c r="O22" t="s">
        <v>92</v>
      </c>
      <c r="P22" t="s">
        <v>172</v>
      </c>
      <c r="Q22" t="s">
        <v>78</v>
      </c>
      <c r="R22" t="s">
        <v>85</v>
      </c>
      <c r="S22" t="s">
        <v>173</v>
      </c>
      <c r="T22" t="s">
        <v>170</v>
      </c>
      <c r="U22" t="s">
        <v>95</v>
      </c>
      <c r="V22" t="s">
        <v>82</v>
      </c>
      <c r="W22" t="s">
        <v>96</v>
      </c>
      <c r="X22" t="s">
        <v>96</v>
      </c>
      <c r="Y22" t="s">
        <v>82</v>
      </c>
      <c r="Z22" t="s">
        <v>85</v>
      </c>
    </row>
    <row r="23" spans="1:26" x14ac:dyDescent="0.25">
      <c r="A23" t="s">
        <v>174</v>
      </c>
      <c r="B23" t="s">
        <v>175</v>
      </c>
      <c r="C23" s="4" t="s">
        <v>171</v>
      </c>
      <c r="D23" t="s">
        <v>157</v>
      </c>
      <c r="E23" t="s">
        <v>14</v>
      </c>
      <c r="F23" t="s">
        <v>105</v>
      </c>
      <c r="G23" t="s">
        <v>106</v>
      </c>
      <c r="H23" t="s">
        <v>85</v>
      </c>
      <c r="I23" t="s">
        <v>86</v>
      </c>
      <c r="J23" t="s">
        <v>17</v>
      </c>
      <c r="K23" t="s">
        <v>139</v>
      </c>
      <c r="L23" t="s">
        <v>89</v>
      </c>
      <c r="M23" t="s">
        <v>90</v>
      </c>
      <c r="N23" t="s">
        <v>140</v>
      </c>
      <c r="O23" t="s">
        <v>92</v>
      </c>
      <c r="P23" t="s">
        <v>176</v>
      </c>
      <c r="Q23" t="s">
        <v>78</v>
      </c>
      <c r="R23" t="s">
        <v>85</v>
      </c>
      <c r="S23" t="s">
        <v>173</v>
      </c>
      <c r="T23" t="s">
        <v>175</v>
      </c>
      <c r="U23" t="s">
        <v>95</v>
      </c>
      <c r="V23" t="s">
        <v>82</v>
      </c>
      <c r="W23" t="s">
        <v>96</v>
      </c>
      <c r="X23" t="s">
        <v>96</v>
      </c>
      <c r="Y23" t="s">
        <v>82</v>
      </c>
      <c r="Z23" t="s">
        <v>85</v>
      </c>
    </row>
    <row r="24" spans="1:26" x14ac:dyDescent="0.25">
      <c r="A24" t="s">
        <v>177</v>
      </c>
      <c r="B24" t="s">
        <v>178</v>
      </c>
      <c r="C24" s="4" t="s">
        <v>171</v>
      </c>
      <c r="D24" t="s">
        <v>157</v>
      </c>
      <c r="E24" t="s">
        <v>14</v>
      </c>
      <c r="F24" t="s">
        <v>105</v>
      </c>
      <c r="G24" t="s">
        <v>106</v>
      </c>
      <c r="H24" t="s">
        <v>85</v>
      </c>
      <c r="I24" t="s">
        <v>86</v>
      </c>
      <c r="J24" t="s">
        <v>37</v>
      </c>
      <c r="K24" t="s">
        <v>139</v>
      </c>
      <c r="L24" t="s">
        <v>89</v>
      </c>
      <c r="M24" t="s">
        <v>90</v>
      </c>
      <c r="N24" t="s">
        <v>140</v>
      </c>
      <c r="O24" t="s">
        <v>92</v>
      </c>
      <c r="P24" t="s">
        <v>179</v>
      </c>
      <c r="Q24" t="s">
        <v>78</v>
      </c>
      <c r="R24" t="s">
        <v>85</v>
      </c>
      <c r="S24" t="s">
        <v>173</v>
      </c>
      <c r="T24" t="s">
        <v>178</v>
      </c>
      <c r="U24" t="s">
        <v>95</v>
      </c>
      <c r="V24" t="s">
        <v>82</v>
      </c>
      <c r="W24" t="s">
        <v>96</v>
      </c>
      <c r="X24" t="s">
        <v>96</v>
      </c>
      <c r="Y24" t="s">
        <v>82</v>
      </c>
      <c r="Z24" t="s">
        <v>85</v>
      </c>
    </row>
    <row r="25" spans="1:26" x14ac:dyDescent="0.25">
      <c r="A25" t="s">
        <v>180</v>
      </c>
      <c r="B25" t="s">
        <v>181</v>
      </c>
      <c r="C25" s="4" t="s">
        <v>171</v>
      </c>
      <c r="D25" t="s">
        <v>157</v>
      </c>
      <c r="E25" t="s">
        <v>14</v>
      </c>
      <c r="F25" t="s">
        <v>105</v>
      </c>
      <c r="G25" t="s">
        <v>106</v>
      </c>
      <c r="H25" t="s">
        <v>85</v>
      </c>
      <c r="I25" t="s">
        <v>86</v>
      </c>
      <c r="J25" t="s">
        <v>29</v>
      </c>
      <c r="K25" t="s">
        <v>139</v>
      </c>
      <c r="L25" t="s">
        <v>89</v>
      </c>
      <c r="M25" t="s">
        <v>90</v>
      </c>
      <c r="N25" t="s">
        <v>140</v>
      </c>
      <c r="O25" t="s">
        <v>92</v>
      </c>
      <c r="P25" t="s">
        <v>182</v>
      </c>
      <c r="Q25" t="s">
        <v>78</v>
      </c>
      <c r="R25" t="s">
        <v>85</v>
      </c>
      <c r="S25" t="s">
        <v>173</v>
      </c>
      <c r="T25" t="s">
        <v>181</v>
      </c>
      <c r="U25" t="s">
        <v>95</v>
      </c>
      <c r="V25" t="s">
        <v>82</v>
      </c>
      <c r="W25" t="s">
        <v>96</v>
      </c>
      <c r="X25" t="s">
        <v>96</v>
      </c>
      <c r="Y25" t="s">
        <v>82</v>
      </c>
      <c r="Z25" t="s">
        <v>85</v>
      </c>
    </row>
    <row r="26" spans="1:26" x14ac:dyDescent="0.25">
      <c r="A26" t="s">
        <v>183</v>
      </c>
      <c r="B26" t="s">
        <v>184</v>
      </c>
      <c r="C26" s="4" t="s">
        <v>4105</v>
      </c>
      <c r="D26" t="s">
        <v>185</v>
      </c>
      <c r="E26" t="s">
        <v>14</v>
      </c>
      <c r="F26" t="s">
        <v>83</v>
      </c>
      <c r="G26" t="s">
        <v>84</v>
      </c>
      <c r="H26" t="s">
        <v>85</v>
      </c>
      <c r="I26" t="s">
        <v>86</v>
      </c>
      <c r="J26" t="s">
        <v>15</v>
      </c>
      <c r="K26" t="s">
        <v>186</v>
      </c>
      <c r="L26" t="s">
        <v>89</v>
      </c>
      <c r="M26" t="s">
        <v>90</v>
      </c>
      <c r="N26" t="s">
        <v>187</v>
      </c>
      <c r="O26" t="s">
        <v>92</v>
      </c>
      <c r="P26" t="s">
        <v>188</v>
      </c>
      <c r="Q26" t="s">
        <v>78</v>
      </c>
      <c r="R26" t="s">
        <v>78</v>
      </c>
      <c r="S26" t="s">
        <v>189</v>
      </c>
      <c r="T26" t="s">
        <v>184</v>
      </c>
      <c r="U26" t="s">
        <v>95</v>
      </c>
      <c r="V26" t="s">
        <v>82</v>
      </c>
      <c r="W26" t="s">
        <v>96</v>
      </c>
      <c r="X26" t="s">
        <v>96</v>
      </c>
      <c r="Y26" t="s">
        <v>82</v>
      </c>
      <c r="Z26" t="s">
        <v>85</v>
      </c>
    </row>
    <row r="27" spans="1:26" x14ac:dyDescent="0.25">
      <c r="A27" t="s">
        <v>190</v>
      </c>
      <c r="B27" t="s">
        <v>191</v>
      </c>
      <c r="C27" s="4" t="s">
        <v>4105</v>
      </c>
      <c r="D27" t="s">
        <v>185</v>
      </c>
      <c r="E27" t="s">
        <v>14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186</v>
      </c>
      <c r="L27" t="s">
        <v>89</v>
      </c>
      <c r="M27" t="s">
        <v>90</v>
      </c>
      <c r="N27" t="s">
        <v>187</v>
      </c>
      <c r="O27" t="s">
        <v>92</v>
      </c>
      <c r="P27" t="s">
        <v>192</v>
      </c>
      <c r="Q27" t="s">
        <v>78</v>
      </c>
      <c r="R27" t="s">
        <v>78</v>
      </c>
      <c r="S27" t="s">
        <v>189</v>
      </c>
      <c r="T27" t="s">
        <v>191</v>
      </c>
      <c r="U27" t="s">
        <v>95</v>
      </c>
      <c r="V27" t="s">
        <v>82</v>
      </c>
      <c r="W27" t="s">
        <v>96</v>
      </c>
      <c r="X27" t="s">
        <v>96</v>
      </c>
      <c r="Y27" t="s">
        <v>82</v>
      </c>
      <c r="Z27" t="s">
        <v>85</v>
      </c>
    </row>
    <row r="28" spans="1:26" x14ac:dyDescent="0.25">
      <c r="A28" t="s">
        <v>193</v>
      </c>
      <c r="B28" t="s">
        <v>194</v>
      </c>
      <c r="C28" s="4" t="s">
        <v>4105</v>
      </c>
      <c r="D28" t="s">
        <v>185</v>
      </c>
      <c r="E28" t="s">
        <v>14</v>
      </c>
      <c r="F28" t="s">
        <v>83</v>
      </c>
      <c r="G28" t="s">
        <v>84</v>
      </c>
      <c r="H28" t="s">
        <v>85</v>
      </c>
      <c r="I28" t="s">
        <v>86</v>
      </c>
      <c r="J28" t="s">
        <v>37</v>
      </c>
      <c r="K28" t="s">
        <v>186</v>
      </c>
      <c r="L28" t="s">
        <v>89</v>
      </c>
      <c r="M28" t="s">
        <v>90</v>
      </c>
      <c r="N28" t="s">
        <v>187</v>
      </c>
      <c r="O28" t="s">
        <v>92</v>
      </c>
      <c r="P28" t="s">
        <v>195</v>
      </c>
      <c r="Q28" t="s">
        <v>78</v>
      </c>
      <c r="R28" t="s">
        <v>78</v>
      </c>
      <c r="S28" t="s">
        <v>189</v>
      </c>
      <c r="T28" t="s">
        <v>194</v>
      </c>
      <c r="U28" t="s">
        <v>95</v>
      </c>
      <c r="V28" t="s">
        <v>82</v>
      </c>
      <c r="W28" t="s">
        <v>96</v>
      </c>
      <c r="X28" t="s">
        <v>96</v>
      </c>
      <c r="Y28" t="s">
        <v>82</v>
      </c>
      <c r="Z28" t="s">
        <v>85</v>
      </c>
    </row>
    <row r="29" spans="1:26" x14ac:dyDescent="0.25">
      <c r="A29" t="s">
        <v>196</v>
      </c>
      <c r="B29" t="s">
        <v>197</v>
      </c>
      <c r="C29" s="4" t="s">
        <v>4106</v>
      </c>
      <c r="D29" t="s">
        <v>185</v>
      </c>
      <c r="E29" t="s">
        <v>14</v>
      </c>
      <c r="F29" t="s">
        <v>105</v>
      </c>
      <c r="G29" t="s">
        <v>106</v>
      </c>
      <c r="H29" t="s">
        <v>85</v>
      </c>
      <c r="I29" t="s">
        <v>86</v>
      </c>
      <c r="J29" t="s">
        <v>30</v>
      </c>
      <c r="K29" t="s">
        <v>198</v>
      </c>
      <c r="L29" t="s">
        <v>89</v>
      </c>
      <c r="M29" t="s">
        <v>90</v>
      </c>
      <c r="N29" t="s">
        <v>199</v>
      </c>
      <c r="O29" t="s">
        <v>92</v>
      </c>
      <c r="P29" t="s">
        <v>200</v>
      </c>
      <c r="Q29" t="s">
        <v>78</v>
      </c>
      <c r="R29" t="s">
        <v>78</v>
      </c>
      <c r="S29" t="s">
        <v>201</v>
      </c>
      <c r="T29" t="s">
        <v>197</v>
      </c>
      <c r="U29" t="s">
        <v>95</v>
      </c>
      <c r="V29" t="s">
        <v>82</v>
      </c>
      <c r="W29" t="s">
        <v>96</v>
      </c>
      <c r="X29" t="s">
        <v>96</v>
      </c>
      <c r="Y29" t="s">
        <v>82</v>
      </c>
      <c r="Z29" t="s">
        <v>85</v>
      </c>
    </row>
    <row r="30" spans="1:26" x14ac:dyDescent="0.25">
      <c r="A30" t="s">
        <v>202</v>
      </c>
      <c r="B30" t="s">
        <v>203</v>
      </c>
      <c r="C30" s="4" t="s">
        <v>4106</v>
      </c>
      <c r="D30" t="s">
        <v>185</v>
      </c>
      <c r="E30" t="s">
        <v>14</v>
      </c>
      <c r="F30" t="s">
        <v>105</v>
      </c>
      <c r="G30" t="s">
        <v>106</v>
      </c>
      <c r="H30" t="s">
        <v>85</v>
      </c>
      <c r="I30" t="s">
        <v>86</v>
      </c>
      <c r="J30" t="s">
        <v>17</v>
      </c>
      <c r="K30" t="s">
        <v>198</v>
      </c>
      <c r="L30" t="s">
        <v>89</v>
      </c>
      <c r="M30" t="s">
        <v>90</v>
      </c>
      <c r="N30" t="s">
        <v>199</v>
      </c>
      <c r="O30" t="s">
        <v>92</v>
      </c>
      <c r="P30" t="s">
        <v>204</v>
      </c>
      <c r="Q30" t="s">
        <v>78</v>
      </c>
      <c r="R30" t="s">
        <v>78</v>
      </c>
      <c r="S30" t="s">
        <v>201</v>
      </c>
      <c r="T30" t="s">
        <v>203</v>
      </c>
      <c r="U30" t="s">
        <v>95</v>
      </c>
      <c r="V30" t="s">
        <v>82</v>
      </c>
      <c r="W30" t="s">
        <v>96</v>
      </c>
      <c r="X30" t="s">
        <v>96</v>
      </c>
      <c r="Y30" t="s">
        <v>82</v>
      </c>
      <c r="Z30" t="s">
        <v>85</v>
      </c>
    </row>
    <row r="31" spans="1:26" x14ac:dyDescent="0.25">
      <c r="A31" t="s">
        <v>205</v>
      </c>
      <c r="B31" t="s">
        <v>206</v>
      </c>
      <c r="C31" s="4" t="s">
        <v>4106</v>
      </c>
      <c r="D31" t="s">
        <v>185</v>
      </c>
      <c r="E31" t="s">
        <v>14</v>
      </c>
      <c r="F31" t="s">
        <v>105</v>
      </c>
      <c r="G31" t="s">
        <v>106</v>
      </c>
      <c r="H31" t="s">
        <v>85</v>
      </c>
      <c r="I31" t="s">
        <v>86</v>
      </c>
      <c r="J31" t="s">
        <v>207</v>
      </c>
      <c r="K31" t="s">
        <v>198</v>
      </c>
      <c r="L31" t="s">
        <v>89</v>
      </c>
      <c r="M31" t="s">
        <v>90</v>
      </c>
      <c r="N31" t="s">
        <v>199</v>
      </c>
      <c r="O31" t="s">
        <v>92</v>
      </c>
      <c r="P31" t="s">
        <v>208</v>
      </c>
      <c r="Q31" t="s">
        <v>78</v>
      </c>
      <c r="R31" t="s">
        <v>78</v>
      </c>
      <c r="S31" t="s">
        <v>201</v>
      </c>
      <c r="T31" t="s">
        <v>206</v>
      </c>
      <c r="U31" t="s">
        <v>95</v>
      </c>
      <c r="V31" t="s">
        <v>82</v>
      </c>
      <c r="W31" t="s">
        <v>96</v>
      </c>
      <c r="X31" t="s">
        <v>96</v>
      </c>
      <c r="Y31" t="s">
        <v>82</v>
      </c>
      <c r="Z31" t="s">
        <v>85</v>
      </c>
    </row>
    <row r="32" spans="1:26" x14ac:dyDescent="0.25">
      <c r="A32" t="s">
        <v>209</v>
      </c>
      <c r="B32" t="s">
        <v>210</v>
      </c>
      <c r="C32" s="4" t="s">
        <v>4107</v>
      </c>
      <c r="D32" t="s">
        <v>211</v>
      </c>
      <c r="E32" t="s">
        <v>14</v>
      </c>
      <c r="F32" t="s">
        <v>83</v>
      </c>
      <c r="G32" t="s">
        <v>84</v>
      </c>
      <c r="H32" t="s">
        <v>85</v>
      </c>
      <c r="I32" t="s">
        <v>86</v>
      </c>
      <c r="J32" t="s">
        <v>17</v>
      </c>
      <c r="K32" t="s">
        <v>88</v>
      </c>
      <c r="L32" t="s">
        <v>89</v>
      </c>
      <c r="M32" t="s">
        <v>90</v>
      </c>
      <c r="N32" t="s">
        <v>91</v>
      </c>
      <c r="O32" t="s">
        <v>92</v>
      </c>
      <c r="P32" t="s">
        <v>212</v>
      </c>
      <c r="Q32" t="s">
        <v>78</v>
      </c>
      <c r="R32" t="s">
        <v>78</v>
      </c>
      <c r="S32" t="s">
        <v>94</v>
      </c>
      <c r="T32" t="s">
        <v>210</v>
      </c>
      <c r="U32" t="s">
        <v>95</v>
      </c>
      <c r="V32" t="s">
        <v>82</v>
      </c>
      <c r="W32" t="s">
        <v>96</v>
      </c>
      <c r="X32" t="s">
        <v>96</v>
      </c>
      <c r="Y32" t="s">
        <v>82</v>
      </c>
      <c r="Z32" t="s">
        <v>85</v>
      </c>
    </row>
    <row r="33" spans="1:26" x14ac:dyDescent="0.25">
      <c r="A33" t="s">
        <v>213</v>
      </c>
      <c r="B33" t="s">
        <v>214</v>
      </c>
      <c r="C33" s="4" t="s">
        <v>4107</v>
      </c>
      <c r="D33" t="s">
        <v>211</v>
      </c>
      <c r="E33" t="s">
        <v>14</v>
      </c>
      <c r="F33" t="s">
        <v>83</v>
      </c>
      <c r="G33" t="s">
        <v>84</v>
      </c>
      <c r="H33" t="s">
        <v>85</v>
      </c>
      <c r="I33" t="s">
        <v>86</v>
      </c>
      <c r="J33" t="s">
        <v>15</v>
      </c>
      <c r="K33" t="s">
        <v>88</v>
      </c>
      <c r="L33" t="s">
        <v>89</v>
      </c>
      <c r="M33" t="s">
        <v>90</v>
      </c>
      <c r="N33" t="s">
        <v>91</v>
      </c>
      <c r="O33" t="s">
        <v>92</v>
      </c>
      <c r="P33" t="s">
        <v>215</v>
      </c>
      <c r="Q33" t="s">
        <v>78</v>
      </c>
      <c r="R33" t="s">
        <v>78</v>
      </c>
      <c r="S33" t="s">
        <v>94</v>
      </c>
      <c r="T33" t="s">
        <v>214</v>
      </c>
      <c r="U33" t="s">
        <v>95</v>
      </c>
      <c r="V33" t="s">
        <v>82</v>
      </c>
      <c r="W33" t="s">
        <v>96</v>
      </c>
      <c r="X33" t="s">
        <v>96</v>
      </c>
      <c r="Y33" t="s">
        <v>82</v>
      </c>
      <c r="Z33" t="s">
        <v>85</v>
      </c>
    </row>
    <row r="34" spans="1:26" x14ac:dyDescent="0.25">
      <c r="A34" t="s">
        <v>216</v>
      </c>
      <c r="B34" t="s">
        <v>217</v>
      </c>
      <c r="C34" s="4" t="s">
        <v>4107</v>
      </c>
      <c r="D34" t="s">
        <v>211</v>
      </c>
      <c r="E34" t="s">
        <v>14</v>
      </c>
      <c r="F34" t="s">
        <v>83</v>
      </c>
      <c r="G34" t="s">
        <v>84</v>
      </c>
      <c r="H34" t="s">
        <v>85</v>
      </c>
      <c r="I34" t="s">
        <v>86</v>
      </c>
      <c r="J34" t="s">
        <v>98</v>
      </c>
      <c r="K34" t="s">
        <v>88</v>
      </c>
      <c r="L34" t="s">
        <v>89</v>
      </c>
      <c r="M34" t="s">
        <v>90</v>
      </c>
      <c r="N34" t="s">
        <v>91</v>
      </c>
      <c r="O34" t="s">
        <v>92</v>
      </c>
      <c r="P34" t="s">
        <v>218</v>
      </c>
      <c r="Q34" t="s">
        <v>78</v>
      </c>
      <c r="R34" t="s">
        <v>78</v>
      </c>
      <c r="S34" t="s">
        <v>94</v>
      </c>
      <c r="T34" t="s">
        <v>217</v>
      </c>
      <c r="U34" t="s">
        <v>95</v>
      </c>
      <c r="V34" t="s">
        <v>82</v>
      </c>
      <c r="W34" t="s">
        <v>96</v>
      </c>
      <c r="X34" t="s">
        <v>96</v>
      </c>
      <c r="Y34" t="s">
        <v>82</v>
      </c>
      <c r="Z34" t="s">
        <v>85</v>
      </c>
    </row>
    <row r="35" spans="1:26" x14ac:dyDescent="0.25">
      <c r="A35" t="s">
        <v>219</v>
      </c>
      <c r="B35" t="s">
        <v>220</v>
      </c>
      <c r="C35" s="4" t="s">
        <v>4108</v>
      </c>
      <c r="D35" t="s">
        <v>211</v>
      </c>
      <c r="E35" t="s">
        <v>14</v>
      </c>
      <c r="F35" t="s">
        <v>105</v>
      </c>
      <c r="G35" t="s">
        <v>106</v>
      </c>
      <c r="H35" t="s">
        <v>85</v>
      </c>
      <c r="I35" t="s">
        <v>86</v>
      </c>
      <c r="J35" t="s">
        <v>87</v>
      </c>
      <c r="K35" t="s">
        <v>107</v>
      </c>
      <c r="L35" t="s">
        <v>89</v>
      </c>
      <c r="M35" t="s">
        <v>90</v>
      </c>
      <c r="N35" t="s">
        <v>108</v>
      </c>
      <c r="O35" t="s">
        <v>92</v>
      </c>
      <c r="P35" t="s">
        <v>221</v>
      </c>
      <c r="Q35" t="s">
        <v>78</v>
      </c>
      <c r="R35" t="s">
        <v>78</v>
      </c>
      <c r="S35" t="s">
        <v>110</v>
      </c>
      <c r="T35" t="s">
        <v>220</v>
      </c>
      <c r="U35" t="s">
        <v>95</v>
      </c>
      <c r="V35" t="s">
        <v>82</v>
      </c>
      <c r="W35" t="s">
        <v>96</v>
      </c>
      <c r="X35" t="s">
        <v>96</v>
      </c>
      <c r="Y35" t="s">
        <v>82</v>
      </c>
      <c r="Z35" t="s">
        <v>85</v>
      </c>
    </row>
    <row r="36" spans="1:26" x14ac:dyDescent="0.25">
      <c r="A36" t="s">
        <v>222</v>
      </c>
      <c r="B36" t="s">
        <v>223</v>
      </c>
      <c r="C36" s="4" t="s">
        <v>4108</v>
      </c>
      <c r="D36" t="s">
        <v>211</v>
      </c>
      <c r="E36" t="s">
        <v>14</v>
      </c>
      <c r="F36" t="s">
        <v>105</v>
      </c>
      <c r="G36" t="s">
        <v>106</v>
      </c>
      <c r="H36" t="s">
        <v>85</v>
      </c>
      <c r="I36" t="s">
        <v>86</v>
      </c>
      <c r="J36" t="s">
        <v>98</v>
      </c>
      <c r="K36" t="s">
        <v>107</v>
      </c>
      <c r="L36" t="s">
        <v>89</v>
      </c>
      <c r="M36" t="s">
        <v>90</v>
      </c>
      <c r="N36" t="s">
        <v>108</v>
      </c>
      <c r="O36" t="s">
        <v>92</v>
      </c>
      <c r="P36" t="s">
        <v>224</v>
      </c>
      <c r="Q36" t="s">
        <v>78</v>
      </c>
      <c r="R36" t="s">
        <v>78</v>
      </c>
      <c r="S36" t="s">
        <v>110</v>
      </c>
      <c r="T36" t="s">
        <v>223</v>
      </c>
      <c r="U36" t="s">
        <v>95</v>
      </c>
      <c r="V36" t="s">
        <v>82</v>
      </c>
      <c r="W36" t="s">
        <v>96</v>
      </c>
      <c r="X36" t="s">
        <v>96</v>
      </c>
      <c r="Y36" t="s">
        <v>82</v>
      </c>
      <c r="Z36" t="s">
        <v>85</v>
      </c>
    </row>
    <row r="37" spans="1:26" x14ac:dyDescent="0.25">
      <c r="A37" t="s">
        <v>225</v>
      </c>
      <c r="B37" t="s">
        <v>226</v>
      </c>
      <c r="C37" s="4" t="s">
        <v>4108</v>
      </c>
      <c r="D37" t="s">
        <v>211</v>
      </c>
      <c r="E37" t="s">
        <v>14</v>
      </c>
      <c r="F37" t="s">
        <v>105</v>
      </c>
      <c r="G37" t="s">
        <v>106</v>
      </c>
      <c r="H37" t="s">
        <v>85</v>
      </c>
      <c r="I37" t="s">
        <v>86</v>
      </c>
      <c r="J37" t="s">
        <v>15</v>
      </c>
      <c r="K37" t="s">
        <v>107</v>
      </c>
      <c r="L37" t="s">
        <v>89</v>
      </c>
      <c r="M37" t="s">
        <v>90</v>
      </c>
      <c r="N37" t="s">
        <v>108</v>
      </c>
      <c r="O37" t="s">
        <v>92</v>
      </c>
      <c r="P37" t="s">
        <v>227</v>
      </c>
      <c r="Q37" t="s">
        <v>78</v>
      </c>
      <c r="R37" t="s">
        <v>78</v>
      </c>
      <c r="S37" t="s">
        <v>110</v>
      </c>
      <c r="T37" t="s">
        <v>226</v>
      </c>
      <c r="U37" t="s">
        <v>95</v>
      </c>
      <c r="V37" t="s">
        <v>82</v>
      </c>
      <c r="W37" t="s">
        <v>96</v>
      </c>
      <c r="X37" t="s">
        <v>96</v>
      </c>
      <c r="Y37" t="s">
        <v>82</v>
      </c>
      <c r="Z37" t="s">
        <v>85</v>
      </c>
    </row>
    <row r="38" spans="1:26" x14ac:dyDescent="0.25">
      <c r="A38" t="s">
        <v>228</v>
      </c>
      <c r="B38" t="s">
        <v>229</v>
      </c>
      <c r="C38" s="4" t="s">
        <v>4109</v>
      </c>
      <c r="D38" t="s">
        <v>230</v>
      </c>
      <c r="E38" t="s">
        <v>14</v>
      </c>
      <c r="F38" t="s">
        <v>83</v>
      </c>
      <c r="G38" t="s">
        <v>84</v>
      </c>
      <c r="H38" t="s">
        <v>85</v>
      </c>
      <c r="I38" t="s">
        <v>86</v>
      </c>
      <c r="J38" t="s">
        <v>87</v>
      </c>
      <c r="K38" t="s">
        <v>88</v>
      </c>
      <c r="L38" t="s">
        <v>89</v>
      </c>
      <c r="M38" t="s">
        <v>90</v>
      </c>
      <c r="N38" t="s">
        <v>91</v>
      </c>
      <c r="O38" t="s">
        <v>92</v>
      </c>
      <c r="P38" t="s">
        <v>231</v>
      </c>
      <c r="Q38" t="s">
        <v>78</v>
      </c>
      <c r="R38" t="s">
        <v>78</v>
      </c>
      <c r="S38" t="s">
        <v>94</v>
      </c>
      <c r="T38" t="s">
        <v>229</v>
      </c>
      <c r="U38" t="s">
        <v>95</v>
      </c>
      <c r="V38" t="s">
        <v>82</v>
      </c>
      <c r="W38" t="s">
        <v>96</v>
      </c>
      <c r="X38" t="s">
        <v>96</v>
      </c>
      <c r="Y38" t="s">
        <v>82</v>
      </c>
      <c r="Z38" t="s">
        <v>85</v>
      </c>
    </row>
    <row r="39" spans="1:26" x14ac:dyDescent="0.25">
      <c r="A39" t="s">
        <v>232</v>
      </c>
      <c r="B39" t="s">
        <v>233</v>
      </c>
      <c r="C39" s="4" t="s">
        <v>4109</v>
      </c>
      <c r="D39" t="s">
        <v>230</v>
      </c>
      <c r="E39" t="s">
        <v>14</v>
      </c>
      <c r="F39" t="s">
        <v>83</v>
      </c>
      <c r="G39" t="s">
        <v>84</v>
      </c>
      <c r="H39" t="s">
        <v>85</v>
      </c>
      <c r="I39" t="s">
        <v>86</v>
      </c>
      <c r="J39" t="s">
        <v>15</v>
      </c>
      <c r="K39" t="s">
        <v>88</v>
      </c>
      <c r="L39" t="s">
        <v>89</v>
      </c>
      <c r="M39" t="s">
        <v>90</v>
      </c>
      <c r="N39" t="s">
        <v>91</v>
      </c>
      <c r="O39" t="s">
        <v>92</v>
      </c>
      <c r="P39" t="s">
        <v>234</v>
      </c>
      <c r="Q39" t="s">
        <v>78</v>
      </c>
      <c r="R39" t="s">
        <v>78</v>
      </c>
      <c r="S39" t="s">
        <v>94</v>
      </c>
      <c r="T39" t="s">
        <v>233</v>
      </c>
      <c r="U39" t="s">
        <v>95</v>
      </c>
      <c r="V39" t="s">
        <v>82</v>
      </c>
      <c r="W39" t="s">
        <v>96</v>
      </c>
      <c r="X39" t="s">
        <v>96</v>
      </c>
      <c r="Y39" t="s">
        <v>82</v>
      </c>
      <c r="Z39" t="s">
        <v>85</v>
      </c>
    </row>
    <row r="40" spans="1:26" x14ac:dyDescent="0.25">
      <c r="A40" t="s">
        <v>235</v>
      </c>
      <c r="B40" t="s">
        <v>236</v>
      </c>
      <c r="C40" s="4" t="s">
        <v>4109</v>
      </c>
      <c r="D40" t="s">
        <v>230</v>
      </c>
      <c r="E40" t="s">
        <v>14</v>
      </c>
      <c r="F40" t="s">
        <v>83</v>
      </c>
      <c r="G40" t="s">
        <v>84</v>
      </c>
      <c r="H40" t="s">
        <v>85</v>
      </c>
      <c r="I40" t="s">
        <v>86</v>
      </c>
      <c r="J40" t="s">
        <v>130</v>
      </c>
      <c r="K40" t="s">
        <v>88</v>
      </c>
      <c r="L40" t="s">
        <v>89</v>
      </c>
      <c r="M40" t="s">
        <v>90</v>
      </c>
      <c r="N40" t="s">
        <v>91</v>
      </c>
      <c r="O40" t="s">
        <v>92</v>
      </c>
      <c r="P40" t="s">
        <v>237</v>
      </c>
      <c r="Q40" t="s">
        <v>78</v>
      </c>
      <c r="R40" t="s">
        <v>78</v>
      </c>
      <c r="S40" t="s">
        <v>94</v>
      </c>
      <c r="T40" t="s">
        <v>236</v>
      </c>
      <c r="U40" t="s">
        <v>95</v>
      </c>
      <c r="V40" t="s">
        <v>82</v>
      </c>
      <c r="W40" t="s">
        <v>96</v>
      </c>
      <c r="X40" t="s">
        <v>96</v>
      </c>
      <c r="Y40" t="s">
        <v>82</v>
      </c>
      <c r="Z40" t="s">
        <v>85</v>
      </c>
    </row>
    <row r="41" spans="1:26" x14ac:dyDescent="0.25">
      <c r="A41" t="s">
        <v>238</v>
      </c>
      <c r="B41" t="s">
        <v>239</v>
      </c>
      <c r="C41" s="4" t="s">
        <v>4110</v>
      </c>
      <c r="D41" t="s">
        <v>230</v>
      </c>
      <c r="E41" t="s">
        <v>14</v>
      </c>
      <c r="F41" t="s">
        <v>105</v>
      </c>
      <c r="G41" t="s">
        <v>106</v>
      </c>
      <c r="H41" t="s">
        <v>85</v>
      </c>
      <c r="I41" t="s">
        <v>86</v>
      </c>
      <c r="J41" t="s">
        <v>37</v>
      </c>
      <c r="K41" t="s">
        <v>107</v>
      </c>
      <c r="L41" t="s">
        <v>89</v>
      </c>
      <c r="M41" t="s">
        <v>90</v>
      </c>
      <c r="N41" t="s">
        <v>108</v>
      </c>
      <c r="O41" t="s">
        <v>92</v>
      </c>
      <c r="P41" t="s">
        <v>240</v>
      </c>
      <c r="Q41" t="s">
        <v>78</v>
      </c>
      <c r="R41" t="s">
        <v>78</v>
      </c>
      <c r="S41" t="s">
        <v>110</v>
      </c>
      <c r="T41" t="s">
        <v>239</v>
      </c>
      <c r="U41" t="s">
        <v>95</v>
      </c>
      <c r="V41" t="s">
        <v>82</v>
      </c>
      <c r="W41" t="s">
        <v>96</v>
      </c>
      <c r="X41" t="s">
        <v>96</v>
      </c>
      <c r="Y41" t="s">
        <v>82</v>
      </c>
      <c r="Z41" t="s">
        <v>85</v>
      </c>
    </row>
    <row r="42" spans="1:26" x14ac:dyDescent="0.25">
      <c r="A42" t="s">
        <v>241</v>
      </c>
      <c r="B42" t="s">
        <v>242</v>
      </c>
      <c r="C42" s="4" t="s">
        <v>4110</v>
      </c>
      <c r="D42" t="s">
        <v>230</v>
      </c>
      <c r="E42" t="s">
        <v>14</v>
      </c>
      <c r="F42" t="s">
        <v>105</v>
      </c>
      <c r="G42" t="s">
        <v>106</v>
      </c>
      <c r="H42" t="s">
        <v>85</v>
      </c>
      <c r="I42" t="s">
        <v>86</v>
      </c>
      <c r="J42" t="s">
        <v>17</v>
      </c>
      <c r="K42" t="s">
        <v>107</v>
      </c>
      <c r="L42" t="s">
        <v>89</v>
      </c>
      <c r="M42" t="s">
        <v>90</v>
      </c>
      <c r="N42" t="s">
        <v>108</v>
      </c>
      <c r="O42" t="s">
        <v>92</v>
      </c>
      <c r="P42" t="s">
        <v>243</v>
      </c>
      <c r="Q42" t="s">
        <v>78</v>
      </c>
      <c r="R42" t="s">
        <v>78</v>
      </c>
      <c r="S42" t="s">
        <v>110</v>
      </c>
      <c r="T42" t="s">
        <v>242</v>
      </c>
      <c r="U42" t="s">
        <v>95</v>
      </c>
      <c r="V42" t="s">
        <v>82</v>
      </c>
      <c r="W42" t="s">
        <v>96</v>
      </c>
      <c r="X42" t="s">
        <v>96</v>
      </c>
      <c r="Y42" t="s">
        <v>82</v>
      </c>
      <c r="Z42" t="s">
        <v>85</v>
      </c>
    </row>
    <row r="43" spans="1:26" x14ac:dyDescent="0.25">
      <c r="A43" t="s">
        <v>244</v>
      </c>
      <c r="B43" t="s">
        <v>245</v>
      </c>
      <c r="C43" s="4" t="s">
        <v>4110</v>
      </c>
      <c r="D43" t="s">
        <v>230</v>
      </c>
      <c r="E43" t="s">
        <v>14</v>
      </c>
      <c r="F43" t="s">
        <v>105</v>
      </c>
      <c r="G43" t="s">
        <v>106</v>
      </c>
      <c r="H43" t="s">
        <v>85</v>
      </c>
      <c r="I43" t="s">
        <v>86</v>
      </c>
      <c r="J43" t="s">
        <v>207</v>
      </c>
      <c r="K43" t="s">
        <v>107</v>
      </c>
      <c r="L43" t="s">
        <v>89</v>
      </c>
      <c r="M43" t="s">
        <v>90</v>
      </c>
      <c r="N43" t="s">
        <v>108</v>
      </c>
      <c r="O43" t="s">
        <v>92</v>
      </c>
      <c r="P43" t="s">
        <v>246</v>
      </c>
      <c r="Q43" t="s">
        <v>78</v>
      </c>
      <c r="R43" t="s">
        <v>78</v>
      </c>
      <c r="S43" t="s">
        <v>110</v>
      </c>
      <c r="T43" t="s">
        <v>245</v>
      </c>
      <c r="U43" t="s">
        <v>95</v>
      </c>
      <c r="V43" t="s">
        <v>82</v>
      </c>
      <c r="W43" t="s">
        <v>96</v>
      </c>
      <c r="X43" t="s">
        <v>96</v>
      </c>
      <c r="Y43" t="s">
        <v>82</v>
      </c>
      <c r="Z43" t="s">
        <v>85</v>
      </c>
    </row>
    <row r="44" spans="1:26" x14ac:dyDescent="0.25">
      <c r="A44" t="s">
        <v>247</v>
      </c>
      <c r="B44" t="s">
        <v>248</v>
      </c>
      <c r="C44" s="4" t="s">
        <v>4111</v>
      </c>
      <c r="D44" t="s">
        <v>249</v>
      </c>
      <c r="E44" t="s">
        <v>14</v>
      </c>
      <c r="F44" t="s">
        <v>83</v>
      </c>
      <c r="G44" t="s">
        <v>84</v>
      </c>
      <c r="H44" t="s">
        <v>85</v>
      </c>
      <c r="I44" t="s">
        <v>86</v>
      </c>
      <c r="J44" t="s">
        <v>130</v>
      </c>
      <c r="K44" t="s">
        <v>120</v>
      </c>
      <c r="L44" t="s">
        <v>89</v>
      </c>
      <c r="M44" t="s">
        <v>90</v>
      </c>
      <c r="N44" t="s">
        <v>121</v>
      </c>
      <c r="O44" t="s">
        <v>92</v>
      </c>
      <c r="P44" t="s">
        <v>250</v>
      </c>
      <c r="Q44" t="s">
        <v>78</v>
      </c>
      <c r="R44" t="s">
        <v>85</v>
      </c>
      <c r="S44" t="s">
        <v>123</v>
      </c>
      <c r="T44" t="s">
        <v>248</v>
      </c>
      <c r="U44" t="s">
        <v>95</v>
      </c>
      <c r="V44" t="s">
        <v>82</v>
      </c>
      <c r="W44" t="s">
        <v>96</v>
      </c>
      <c r="X44" t="s">
        <v>96</v>
      </c>
      <c r="Y44" t="s">
        <v>82</v>
      </c>
      <c r="Z44" t="s">
        <v>85</v>
      </c>
    </row>
    <row r="45" spans="1:26" x14ac:dyDescent="0.25">
      <c r="A45" t="s">
        <v>251</v>
      </c>
      <c r="B45" t="s">
        <v>252</v>
      </c>
      <c r="C45" s="4" t="s">
        <v>4111</v>
      </c>
      <c r="D45" t="s">
        <v>249</v>
      </c>
      <c r="E45" t="s">
        <v>14</v>
      </c>
      <c r="F45" t="s">
        <v>83</v>
      </c>
      <c r="G45" t="s">
        <v>84</v>
      </c>
      <c r="H45" t="s">
        <v>85</v>
      </c>
      <c r="I45" t="s">
        <v>86</v>
      </c>
      <c r="J45" t="s">
        <v>37</v>
      </c>
      <c r="K45" t="s">
        <v>120</v>
      </c>
      <c r="L45" t="s">
        <v>89</v>
      </c>
      <c r="M45" t="s">
        <v>90</v>
      </c>
      <c r="N45" t="s">
        <v>121</v>
      </c>
      <c r="O45" t="s">
        <v>92</v>
      </c>
      <c r="P45" t="s">
        <v>253</v>
      </c>
      <c r="Q45" t="s">
        <v>78</v>
      </c>
      <c r="R45" t="s">
        <v>85</v>
      </c>
      <c r="S45" t="s">
        <v>123</v>
      </c>
      <c r="T45" t="s">
        <v>252</v>
      </c>
      <c r="U45" t="s">
        <v>95</v>
      </c>
      <c r="V45" t="s">
        <v>82</v>
      </c>
      <c r="W45" t="s">
        <v>96</v>
      </c>
      <c r="X45" t="s">
        <v>96</v>
      </c>
      <c r="Y45" t="s">
        <v>82</v>
      </c>
      <c r="Z45" t="s">
        <v>85</v>
      </c>
    </row>
    <row r="46" spans="1:26" x14ac:dyDescent="0.25">
      <c r="A46" t="s">
        <v>254</v>
      </c>
      <c r="B46" t="s">
        <v>255</v>
      </c>
      <c r="C46" s="4" t="s">
        <v>4111</v>
      </c>
      <c r="D46" t="s">
        <v>249</v>
      </c>
      <c r="E46" t="s">
        <v>14</v>
      </c>
      <c r="F46" t="s">
        <v>83</v>
      </c>
      <c r="G46" t="s">
        <v>84</v>
      </c>
      <c r="H46" t="s">
        <v>85</v>
      </c>
      <c r="I46" t="s">
        <v>86</v>
      </c>
      <c r="J46" t="s">
        <v>29</v>
      </c>
      <c r="K46" t="s">
        <v>120</v>
      </c>
      <c r="L46" t="s">
        <v>89</v>
      </c>
      <c r="M46" t="s">
        <v>90</v>
      </c>
      <c r="N46" t="s">
        <v>121</v>
      </c>
      <c r="O46" t="s">
        <v>92</v>
      </c>
      <c r="P46" t="s">
        <v>256</v>
      </c>
      <c r="Q46" t="s">
        <v>78</v>
      </c>
      <c r="R46" t="s">
        <v>85</v>
      </c>
      <c r="S46" t="s">
        <v>123</v>
      </c>
      <c r="T46" t="s">
        <v>255</v>
      </c>
      <c r="U46" t="s">
        <v>95</v>
      </c>
      <c r="V46" t="s">
        <v>82</v>
      </c>
      <c r="W46" t="s">
        <v>96</v>
      </c>
      <c r="X46" t="s">
        <v>96</v>
      </c>
      <c r="Y46" t="s">
        <v>82</v>
      </c>
      <c r="Z46" t="s">
        <v>85</v>
      </c>
    </row>
    <row r="47" spans="1:26" x14ac:dyDescent="0.25">
      <c r="A47" t="s">
        <v>257</v>
      </c>
      <c r="B47" t="s">
        <v>258</v>
      </c>
      <c r="C47" s="4" t="s">
        <v>4112</v>
      </c>
      <c r="D47" t="s">
        <v>249</v>
      </c>
      <c r="E47" t="s">
        <v>14</v>
      </c>
      <c r="F47" t="s">
        <v>105</v>
      </c>
      <c r="G47" t="s">
        <v>106</v>
      </c>
      <c r="H47" t="s">
        <v>85</v>
      </c>
      <c r="I47" t="s">
        <v>86</v>
      </c>
      <c r="J47" t="s">
        <v>126</v>
      </c>
      <c r="K47" t="s">
        <v>139</v>
      </c>
      <c r="L47" t="s">
        <v>89</v>
      </c>
      <c r="M47" t="s">
        <v>90</v>
      </c>
      <c r="N47" t="s">
        <v>140</v>
      </c>
      <c r="O47" t="s">
        <v>92</v>
      </c>
      <c r="P47" t="s">
        <v>259</v>
      </c>
      <c r="Q47" t="s">
        <v>78</v>
      </c>
      <c r="R47" t="s">
        <v>85</v>
      </c>
      <c r="S47" t="s">
        <v>173</v>
      </c>
      <c r="T47" t="s">
        <v>258</v>
      </c>
      <c r="U47" t="s">
        <v>95</v>
      </c>
      <c r="V47" t="s">
        <v>82</v>
      </c>
      <c r="W47" t="s">
        <v>96</v>
      </c>
      <c r="X47" t="s">
        <v>96</v>
      </c>
      <c r="Y47" t="s">
        <v>82</v>
      </c>
      <c r="Z47" t="s">
        <v>85</v>
      </c>
    </row>
    <row r="48" spans="1:26" x14ac:dyDescent="0.25">
      <c r="A48" t="s">
        <v>260</v>
      </c>
      <c r="B48" t="s">
        <v>261</v>
      </c>
      <c r="C48" s="4" t="s">
        <v>4112</v>
      </c>
      <c r="D48" t="s">
        <v>249</v>
      </c>
      <c r="E48" t="s">
        <v>14</v>
      </c>
      <c r="F48" t="s">
        <v>105</v>
      </c>
      <c r="G48" t="s">
        <v>106</v>
      </c>
      <c r="H48" t="s">
        <v>85</v>
      </c>
      <c r="I48" t="s">
        <v>86</v>
      </c>
      <c r="J48" t="s">
        <v>17</v>
      </c>
      <c r="K48" t="s">
        <v>139</v>
      </c>
      <c r="L48" t="s">
        <v>89</v>
      </c>
      <c r="M48" t="s">
        <v>90</v>
      </c>
      <c r="N48" t="s">
        <v>140</v>
      </c>
      <c r="O48" t="s">
        <v>92</v>
      </c>
      <c r="P48" t="s">
        <v>262</v>
      </c>
      <c r="Q48" t="s">
        <v>78</v>
      </c>
      <c r="R48" t="s">
        <v>85</v>
      </c>
      <c r="S48" t="s">
        <v>173</v>
      </c>
      <c r="T48" t="s">
        <v>261</v>
      </c>
      <c r="U48" t="s">
        <v>95</v>
      </c>
      <c r="V48" t="s">
        <v>82</v>
      </c>
      <c r="W48" t="s">
        <v>96</v>
      </c>
      <c r="X48" t="s">
        <v>96</v>
      </c>
      <c r="Y48" t="s">
        <v>82</v>
      </c>
      <c r="Z48" t="s">
        <v>85</v>
      </c>
    </row>
    <row r="49" spans="1:26" x14ac:dyDescent="0.25">
      <c r="A49" t="s">
        <v>263</v>
      </c>
      <c r="B49" t="s">
        <v>264</v>
      </c>
      <c r="C49" s="4" t="s">
        <v>4112</v>
      </c>
      <c r="D49" t="s">
        <v>249</v>
      </c>
      <c r="E49" t="s">
        <v>14</v>
      </c>
      <c r="F49" t="s">
        <v>105</v>
      </c>
      <c r="G49" t="s">
        <v>106</v>
      </c>
      <c r="H49" t="s">
        <v>85</v>
      </c>
      <c r="I49" t="s">
        <v>86</v>
      </c>
      <c r="J49" t="s">
        <v>265</v>
      </c>
      <c r="K49" t="s">
        <v>139</v>
      </c>
      <c r="L49" t="s">
        <v>89</v>
      </c>
      <c r="M49" t="s">
        <v>90</v>
      </c>
      <c r="N49" t="s">
        <v>140</v>
      </c>
      <c r="O49" t="s">
        <v>92</v>
      </c>
      <c r="P49" t="s">
        <v>266</v>
      </c>
      <c r="Q49" t="s">
        <v>78</v>
      </c>
      <c r="R49" t="s">
        <v>85</v>
      </c>
      <c r="S49" t="s">
        <v>173</v>
      </c>
      <c r="T49" t="s">
        <v>264</v>
      </c>
      <c r="U49" t="s">
        <v>95</v>
      </c>
      <c r="V49" t="s">
        <v>82</v>
      </c>
      <c r="W49" t="s">
        <v>96</v>
      </c>
      <c r="X49" t="s">
        <v>96</v>
      </c>
      <c r="Y49" t="s">
        <v>82</v>
      </c>
      <c r="Z49" t="s">
        <v>85</v>
      </c>
    </row>
    <row r="50" spans="1:26" x14ac:dyDescent="0.25">
      <c r="A50" t="s">
        <v>267</v>
      </c>
      <c r="B50" t="s">
        <v>268</v>
      </c>
      <c r="C50" s="4" t="s">
        <v>4112</v>
      </c>
      <c r="D50" t="s">
        <v>249</v>
      </c>
      <c r="E50" t="s">
        <v>14</v>
      </c>
      <c r="F50" t="s">
        <v>105</v>
      </c>
      <c r="G50" t="s">
        <v>106</v>
      </c>
      <c r="H50" t="s">
        <v>85</v>
      </c>
      <c r="I50" t="s">
        <v>86</v>
      </c>
      <c r="J50" t="s">
        <v>37</v>
      </c>
      <c r="K50" t="s">
        <v>139</v>
      </c>
      <c r="L50" t="s">
        <v>89</v>
      </c>
      <c r="M50" t="s">
        <v>90</v>
      </c>
      <c r="N50" t="s">
        <v>140</v>
      </c>
      <c r="O50" t="s">
        <v>92</v>
      </c>
      <c r="P50" t="s">
        <v>269</v>
      </c>
      <c r="Q50" t="s">
        <v>78</v>
      </c>
      <c r="R50" t="s">
        <v>85</v>
      </c>
      <c r="S50" t="s">
        <v>173</v>
      </c>
      <c r="T50" t="s">
        <v>268</v>
      </c>
      <c r="U50" t="s">
        <v>95</v>
      </c>
      <c r="V50" t="s">
        <v>82</v>
      </c>
      <c r="W50" t="s">
        <v>96</v>
      </c>
      <c r="X50" t="s">
        <v>96</v>
      </c>
      <c r="Y50" t="s">
        <v>82</v>
      </c>
      <c r="Z50" t="s">
        <v>85</v>
      </c>
    </row>
    <row r="51" spans="1:26" x14ac:dyDescent="0.25">
      <c r="A51" t="s">
        <v>270</v>
      </c>
      <c r="B51" t="s">
        <v>271</v>
      </c>
      <c r="C51" s="4" t="s">
        <v>4113</v>
      </c>
      <c r="D51" t="s">
        <v>272</v>
      </c>
      <c r="E51" t="s">
        <v>14</v>
      </c>
      <c r="F51" t="s">
        <v>83</v>
      </c>
      <c r="G51" t="s">
        <v>84</v>
      </c>
      <c r="H51" t="s">
        <v>85</v>
      </c>
      <c r="I51" t="s">
        <v>86</v>
      </c>
      <c r="J51" t="s">
        <v>207</v>
      </c>
      <c r="K51" t="s">
        <v>120</v>
      </c>
      <c r="L51" t="s">
        <v>89</v>
      </c>
      <c r="M51" t="s">
        <v>90</v>
      </c>
      <c r="N51" t="s">
        <v>121</v>
      </c>
      <c r="O51" t="s">
        <v>92</v>
      </c>
      <c r="P51" t="s">
        <v>273</v>
      </c>
      <c r="Q51" t="s">
        <v>78</v>
      </c>
      <c r="R51" t="s">
        <v>85</v>
      </c>
      <c r="S51" t="s">
        <v>123</v>
      </c>
      <c r="T51" t="s">
        <v>271</v>
      </c>
      <c r="U51" t="s">
        <v>95</v>
      </c>
      <c r="V51" t="s">
        <v>82</v>
      </c>
      <c r="W51" t="s">
        <v>96</v>
      </c>
      <c r="X51" t="s">
        <v>96</v>
      </c>
      <c r="Y51" t="s">
        <v>82</v>
      </c>
      <c r="Z51" t="s">
        <v>85</v>
      </c>
    </row>
    <row r="52" spans="1:26" x14ac:dyDescent="0.25">
      <c r="A52" t="s">
        <v>274</v>
      </c>
      <c r="B52" t="s">
        <v>275</v>
      </c>
      <c r="C52" s="4" t="s">
        <v>4113</v>
      </c>
      <c r="D52" t="s">
        <v>272</v>
      </c>
      <c r="E52" t="s">
        <v>14</v>
      </c>
      <c r="F52" t="s">
        <v>83</v>
      </c>
      <c r="G52" t="s">
        <v>84</v>
      </c>
      <c r="H52" t="s">
        <v>85</v>
      </c>
      <c r="I52" t="s">
        <v>86</v>
      </c>
      <c r="J52" t="s">
        <v>37</v>
      </c>
      <c r="K52" t="s">
        <v>120</v>
      </c>
      <c r="L52" t="s">
        <v>89</v>
      </c>
      <c r="M52" t="s">
        <v>90</v>
      </c>
      <c r="N52" t="s">
        <v>121</v>
      </c>
      <c r="O52" t="s">
        <v>92</v>
      </c>
      <c r="P52" t="s">
        <v>276</v>
      </c>
      <c r="Q52" t="s">
        <v>78</v>
      </c>
      <c r="R52" t="s">
        <v>85</v>
      </c>
      <c r="S52" t="s">
        <v>123</v>
      </c>
      <c r="T52" t="s">
        <v>275</v>
      </c>
      <c r="U52" t="s">
        <v>95</v>
      </c>
      <c r="V52" t="s">
        <v>82</v>
      </c>
      <c r="W52" t="s">
        <v>96</v>
      </c>
      <c r="X52" t="s">
        <v>96</v>
      </c>
      <c r="Y52" t="s">
        <v>82</v>
      </c>
      <c r="Z52" t="s">
        <v>85</v>
      </c>
    </row>
    <row r="53" spans="1:26" x14ac:dyDescent="0.25">
      <c r="A53" t="s">
        <v>277</v>
      </c>
      <c r="B53" t="s">
        <v>278</v>
      </c>
      <c r="C53" s="4" t="s">
        <v>4113</v>
      </c>
      <c r="D53" t="s">
        <v>272</v>
      </c>
      <c r="E53" t="s">
        <v>14</v>
      </c>
      <c r="F53" t="s">
        <v>83</v>
      </c>
      <c r="G53" t="s">
        <v>84</v>
      </c>
      <c r="H53" t="s">
        <v>85</v>
      </c>
      <c r="I53" t="s">
        <v>86</v>
      </c>
      <c r="J53" t="s">
        <v>130</v>
      </c>
      <c r="K53" t="s">
        <v>120</v>
      </c>
      <c r="L53" t="s">
        <v>89</v>
      </c>
      <c r="M53" t="s">
        <v>90</v>
      </c>
      <c r="N53" t="s">
        <v>121</v>
      </c>
      <c r="O53" t="s">
        <v>92</v>
      </c>
      <c r="P53" t="s">
        <v>279</v>
      </c>
      <c r="Q53" t="s">
        <v>78</v>
      </c>
      <c r="R53" t="s">
        <v>85</v>
      </c>
      <c r="S53" t="s">
        <v>123</v>
      </c>
      <c r="T53" t="s">
        <v>278</v>
      </c>
      <c r="U53" t="s">
        <v>95</v>
      </c>
      <c r="V53" t="s">
        <v>82</v>
      </c>
      <c r="W53" t="s">
        <v>96</v>
      </c>
      <c r="X53" t="s">
        <v>96</v>
      </c>
      <c r="Y53" t="s">
        <v>82</v>
      </c>
      <c r="Z53" t="s">
        <v>85</v>
      </c>
    </row>
    <row r="54" spans="1:26" x14ac:dyDescent="0.25">
      <c r="A54" t="s">
        <v>280</v>
      </c>
      <c r="B54" t="s">
        <v>281</v>
      </c>
      <c r="C54" s="4" t="s">
        <v>4114</v>
      </c>
      <c r="D54" t="s">
        <v>272</v>
      </c>
      <c r="E54" t="s">
        <v>14</v>
      </c>
      <c r="F54" t="s">
        <v>105</v>
      </c>
      <c r="G54" t="s">
        <v>106</v>
      </c>
      <c r="H54" t="s">
        <v>85</v>
      </c>
      <c r="I54" t="s">
        <v>86</v>
      </c>
      <c r="J54" t="s">
        <v>37</v>
      </c>
      <c r="K54" t="s">
        <v>139</v>
      </c>
      <c r="L54" t="s">
        <v>89</v>
      </c>
      <c r="M54" t="s">
        <v>90</v>
      </c>
      <c r="N54" t="s">
        <v>140</v>
      </c>
      <c r="O54" t="s">
        <v>92</v>
      </c>
      <c r="P54" t="s">
        <v>282</v>
      </c>
      <c r="Q54" t="s">
        <v>78</v>
      </c>
      <c r="R54" t="s">
        <v>85</v>
      </c>
      <c r="S54" t="s">
        <v>142</v>
      </c>
      <c r="T54" t="s">
        <v>281</v>
      </c>
      <c r="U54" t="s">
        <v>95</v>
      </c>
      <c r="V54" t="s">
        <v>82</v>
      </c>
      <c r="W54" t="s">
        <v>96</v>
      </c>
      <c r="X54" t="s">
        <v>96</v>
      </c>
      <c r="Y54" t="s">
        <v>82</v>
      </c>
      <c r="Z54" t="s">
        <v>85</v>
      </c>
    </row>
    <row r="55" spans="1:26" x14ac:dyDescent="0.25">
      <c r="A55" t="s">
        <v>283</v>
      </c>
      <c r="B55" t="s">
        <v>284</v>
      </c>
      <c r="C55" s="4" t="s">
        <v>4114</v>
      </c>
      <c r="D55" t="s">
        <v>272</v>
      </c>
      <c r="E55" t="s">
        <v>14</v>
      </c>
      <c r="F55" t="s">
        <v>105</v>
      </c>
      <c r="G55" t="s">
        <v>106</v>
      </c>
      <c r="H55" t="s">
        <v>85</v>
      </c>
      <c r="I55" t="s">
        <v>86</v>
      </c>
      <c r="J55" t="s">
        <v>207</v>
      </c>
      <c r="K55" t="s">
        <v>139</v>
      </c>
      <c r="L55" t="s">
        <v>89</v>
      </c>
      <c r="M55" t="s">
        <v>90</v>
      </c>
      <c r="N55" t="s">
        <v>140</v>
      </c>
      <c r="O55" t="s">
        <v>92</v>
      </c>
      <c r="P55" t="s">
        <v>285</v>
      </c>
      <c r="Q55" t="s">
        <v>78</v>
      </c>
      <c r="R55" t="s">
        <v>85</v>
      </c>
      <c r="S55" t="s">
        <v>142</v>
      </c>
      <c r="T55" t="s">
        <v>284</v>
      </c>
      <c r="U55" t="s">
        <v>95</v>
      </c>
      <c r="V55" t="s">
        <v>82</v>
      </c>
      <c r="W55" t="s">
        <v>96</v>
      </c>
      <c r="X55" t="s">
        <v>96</v>
      </c>
      <c r="Y55" t="s">
        <v>82</v>
      </c>
      <c r="Z55" t="s">
        <v>85</v>
      </c>
    </row>
    <row r="56" spans="1:26" x14ac:dyDescent="0.25">
      <c r="A56" t="s">
        <v>286</v>
      </c>
      <c r="B56" t="s">
        <v>287</v>
      </c>
      <c r="C56" s="4" t="s">
        <v>4114</v>
      </c>
      <c r="D56" t="s">
        <v>272</v>
      </c>
      <c r="E56" t="s">
        <v>14</v>
      </c>
      <c r="F56" t="s">
        <v>105</v>
      </c>
      <c r="G56" t="s">
        <v>106</v>
      </c>
      <c r="H56" t="s">
        <v>85</v>
      </c>
      <c r="I56" t="s">
        <v>86</v>
      </c>
      <c r="J56" t="s">
        <v>265</v>
      </c>
      <c r="K56" t="s">
        <v>139</v>
      </c>
      <c r="L56" t="s">
        <v>89</v>
      </c>
      <c r="M56" t="s">
        <v>90</v>
      </c>
      <c r="N56" t="s">
        <v>140</v>
      </c>
      <c r="O56" t="s">
        <v>92</v>
      </c>
      <c r="P56" t="s">
        <v>288</v>
      </c>
      <c r="Q56" t="s">
        <v>78</v>
      </c>
      <c r="R56" t="s">
        <v>85</v>
      </c>
      <c r="S56" t="s">
        <v>142</v>
      </c>
      <c r="T56" t="s">
        <v>287</v>
      </c>
      <c r="U56" t="s">
        <v>95</v>
      </c>
      <c r="V56" t="s">
        <v>82</v>
      </c>
      <c r="W56" t="s">
        <v>96</v>
      </c>
      <c r="X56" t="s">
        <v>96</v>
      </c>
      <c r="Y56" t="s">
        <v>82</v>
      </c>
      <c r="Z56" t="s">
        <v>85</v>
      </c>
    </row>
    <row r="57" spans="1:26" x14ac:dyDescent="0.25">
      <c r="A57" t="s">
        <v>289</v>
      </c>
      <c r="B57" t="s">
        <v>290</v>
      </c>
      <c r="C57" s="4" t="s">
        <v>4115</v>
      </c>
      <c r="D57" t="s">
        <v>291</v>
      </c>
      <c r="E57" t="s">
        <v>14</v>
      </c>
      <c r="F57" t="s">
        <v>83</v>
      </c>
      <c r="G57" t="s">
        <v>84</v>
      </c>
      <c r="H57" t="s">
        <v>85</v>
      </c>
      <c r="I57" t="s">
        <v>86</v>
      </c>
      <c r="J57" t="s">
        <v>37</v>
      </c>
      <c r="K57" t="s">
        <v>120</v>
      </c>
      <c r="L57" t="s">
        <v>89</v>
      </c>
      <c r="M57" t="s">
        <v>90</v>
      </c>
      <c r="N57" t="s">
        <v>121</v>
      </c>
      <c r="O57" t="s">
        <v>92</v>
      </c>
      <c r="P57" t="s">
        <v>292</v>
      </c>
      <c r="Q57" t="s">
        <v>78</v>
      </c>
      <c r="R57" t="s">
        <v>85</v>
      </c>
      <c r="S57" t="s">
        <v>159</v>
      </c>
      <c r="T57" t="s">
        <v>290</v>
      </c>
      <c r="U57" t="s">
        <v>95</v>
      </c>
      <c r="V57" t="s">
        <v>82</v>
      </c>
      <c r="W57" t="s">
        <v>96</v>
      </c>
      <c r="X57" t="s">
        <v>96</v>
      </c>
      <c r="Y57" t="s">
        <v>82</v>
      </c>
      <c r="Z57" t="s">
        <v>85</v>
      </c>
    </row>
    <row r="58" spans="1:26" x14ac:dyDescent="0.25">
      <c r="A58" t="s">
        <v>293</v>
      </c>
      <c r="B58" t="s">
        <v>294</v>
      </c>
      <c r="C58" s="4" t="s">
        <v>4115</v>
      </c>
      <c r="D58" t="s">
        <v>291</v>
      </c>
      <c r="E58" t="s">
        <v>14</v>
      </c>
      <c r="F58" t="s">
        <v>83</v>
      </c>
      <c r="G58" t="s">
        <v>84</v>
      </c>
      <c r="H58" t="s">
        <v>85</v>
      </c>
      <c r="I58" t="s">
        <v>86</v>
      </c>
      <c r="J58" t="s">
        <v>30</v>
      </c>
      <c r="K58" t="s">
        <v>120</v>
      </c>
      <c r="L58" t="s">
        <v>89</v>
      </c>
      <c r="M58" t="s">
        <v>90</v>
      </c>
      <c r="N58" t="s">
        <v>121</v>
      </c>
      <c r="O58" t="s">
        <v>92</v>
      </c>
      <c r="P58" t="s">
        <v>295</v>
      </c>
      <c r="Q58" t="s">
        <v>78</v>
      </c>
      <c r="R58" t="s">
        <v>85</v>
      </c>
      <c r="S58" t="s">
        <v>159</v>
      </c>
      <c r="T58" t="s">
        <v>294</v>
      </c>
      <c r="U58" t="s">
        <v>95</v>
      </c>
      <c r="V58" t="s">
        <v>82</v>
      </c>
      <c r="W58" t="s">
        <v>96</v>
      </c>
      <c r="X58" t="s">
        <v>96</v>
      </c>
      <c r="Y58" t="s">
        <v>82</v>
      </c>
      <c r="Z58" t="s">
        <v>85</v>
      </c>
    </row>
    <row r="59" spans="1:26" x14ac:dyDescent="0.25">
      <c r="A59" t="s">
        <v>296</v>
      </c>
      <c r="B59" t="s">
        <v>297</v>
      </c>
      <c r="C59" s="4" t="s">
        <v>4115</v>
      </c>
      <c r="D59" t="s">
        <v>291</v>
      </c>
      <c r="E59" t="s">
        <v>14</v>
      </c>
      <c r="F59" t="s">
        <v>83</v>
      </c>
      <c r="G59" t="s">
        <v>84</v>
      </c>
      <c r="H59" t="s">
        <v>85</v>
      </c>
      <c r="I59" t="s">
        <v>86</v>
      </c>
      <c r="J59" t="s">
        <v>207</v>
      </c>
      <c r="K59" t="s">
        <v>120</v>
      </c>
      <c r="L59" t="s">
        <v>89</v>
      </c>
      <c r="M59" t="s">
        <v>90</v>
      </c>
      <c r="N59" t="s">
        <v>121</v>
      </c>
      <c r="O59" t="s">
        <v>92</v>
      </c>
      <c r="P59" t="s">
        <v>298</v>
      </c>
      <c r="Q59" t="s">
        <v>78</v>
      </c>
      <c r="R59" t="s">
        <v>85</v>
      </c>
      <c r="S59" t="s">
        <v>159</v>
      </c>
      <c r="T59" t="s">
        <v>297</v>
      </c>
      <c r="U59" t="s">
        <v>95</v>
      </c>
      <c r="V59" t="s">
        <v>82</v>
      </c>
      <c r="W59" t="s">
        <v>96</v>
      </c>
      <c r="X59" t="s">
        <v>96</v>
      </c>
      <c r="Y59" t="s">
        <v>82</v>
      </c>
      <c r="Z59" t="s">
        <v>85</v>
      </c>
    </row>
    <row r="60" spans="1:26" x14ac:dyDescent="0.25">
      <c r="A60" t="s">
        <v>299</v>
      </c>
      <c r="B60" t="s">
        <v>300</v>
      </c>
      <c r="C60" s="4" t="s">
        <v>4115</v>
      </c>
      <c r="D60" t="s">
        <v>291</v>
      </c>
      <c r="E60" t="s">
        <v>14</v>
      </c>
      <c r="F60" t="s">
        <v>83</v>
      </c>
      <c r="G60" t="s">
        <v>84</v>
      </c>
      <c r="H60" t="s">
        <v>85</v>
      </c>
      <c r="I60" t="s">
        <v>86</v>
      </c>
      <c r="J60" t="s">
        <v>130</v>
      </c>
      <c r="K60" t="s">
        <v>120</v>
      </c>
      <c r="L60" t="s">
        <v>89</v>
      </c>
      <c r="M60" t="s">
        <v>90</v>
      </c>
      <c r="N60" t="s">
        <v>121</v>
      </c>
      <c r="O60" t="s">
        <v>92</v>
      </c>
      <c r="P60" t="s">
        <v>301</v>
      </c>
      <c r="Q60" t="s">
        <v>78</v>
      </c>
      <c r="R60" t="s">
        <v>85</v>
      </c>
      <c r="S60" t="s">
        <v>159</v>
      </c>
      <c r="T60" t="s">
        <v>300</v>
      </c>
      <c r="U60" t="s">
        <v>95</v>
      </c>
      <c r="V60" t="s">
        <v>82</v>
      </c>
      <c r="W60" t="s">
        <v>96</v>
      </c>
      <c r="X60" t="s">
        <v>96</v>
      </c>
      <c r="Y60" t="s">
        <v>82</v>
      </c>
      <c r="Z60" t="s">
        <v>85</v>
      </c>
    </row>
    <row r="61" spans="1:26" x14ac:dyDescent="0.25">
      <c r="A61" t="s">
        <v>302</v>
      </c>
      <c r="B61" t="s">
        <v>303</v>
      </c>
      <c r="C61" s="4" t="s">
        <v>4116</v>
      </c>
      <c r="D61" t="s">
        <v>291</v>
      </c>
      <c r="E61" t="s">
        <v>14</v>
      </c>
      <c r="F61" t="s">
        <v>105</v>
      </c>
      <c r="G61" t="s">
        <v>106</v>
      </c>
      <c r="H61" t="s">
        <v>85</v>
      </c>
      <c r="I61" t="s">
        <v>86</v>
      </c>
      <c r="J61" t="s">
        <v>17</v>
      </c>
      <c r="K61" t="s">
        <v>139</v>
      </c>
      <c r="L61" t="s">
        <v>89</v>
      </c>
      <c r="M61" t="s">
        <v>90</v>
      </c>
      <c r="N61" t="s">
        <v>140</v>
      </c>
      <c r="O61" t="s">
        <v>92</v>
      </c>
      <c r="P61" t="s">
        <v>304</v>
      </c>
      <c r="Q61" t="s">
        <v>78</v>
      </c>
      <c r="R61" t="s">
        <v>85</v>
      </c>
      <c r="S61" t="s">
        <v>173</v>
      </c>
      <c r="T61" t="s">
        <v>303</v>
      </c>
      <c r="U61" t="s">
        <v>95</v>
      </c>
      <c r="V61" t="s">
        <v>82</v>
      </c>
      <c r="W61" t="s">
        <v>96</v>
      </c>
      <c r="X61" t="s">
        <v>96</v>
      </c>
      <c r="Y61" t="s">
        <v>82</v>
      </c>
      <c r="Z61" t="s">
        <v>85</v>
      </c>
    </row>
    <row r="62" spans="1:26" x14ac:dyDescent="0.25">
      <c r="A62" t="s">
        <v>305</v>
      </c>
      <c r="B62" t="s">
        <v>306</v>
      </c>
      <c r="C62" s="4" t="s">
        <v>4116</v>
      </c>
      <c r="D62" t="s">
        <v>291</v>
      </c>
      <c r="E62" t="s">
        <v>14</v>
      </c>
      <c r="F62" t="s">
        <v>105</v>
      </c>
      <c r="G62" t="s">
        <v>106</v>
      </c>
      <c r="H62" t="s">
        <v>85</v>
      </c>
      <c r="I62" t="s">
        <v>86</v>
      </c>
      <c r="J62" t="s">
        <v>207</v>
      </c>
      <c r="K62" t="s">
        <v>139</v>
      </c>
      <c r="L62" t="s">
        <v>89</v>
      </c>
      <c r="M62" t="s">
        <v>90</v>
      </c>
      <c r="N62" t="s">
        <v>140</v>
      </c>
      <c r="O62" t="s">
        <v>92</v>
      </c>
      <c r="P62" t="s">
        <v>307</v>
      </c>
      <c r="Q62" t="s">
        <v>78</v>
      </c>
      <c r="R62" t="s">
        <v>85</v>
      </c>
      <c r="S62" t="s">
        <v>173</v>
      </c>
      <c r="T62" t="s">
        <v>306</v>
      </c>
      <c r="U62" t="s">
        <v>95</v>
      </c>
      <c r="V62" t="s">
        <v>82</v>
      </c>
      <c r="W62" t="s">
        <v>96</v>
      </c>
      <c r="X62" t="s">
        <v>96</v>
      </c>
      <c r="Y62" t="s">
        <v>82</v>
      </c>
      <c r="Z62" t="s">
        <v>85</v>
      </c>
    </row>
    <row r="63" spans="1:26" x14ac:dyDescent="0.25">
      <c r="A63" t="s">
        <v>308</v>
      </c>
      <c r="B63" t="s">
        <v>309</v>
      </c>
      <c r="C63" s="4" t="s">
        <v>4116</v>
      </c>
      <c r="D63" t="s">
        <v>291</v>
      </c>
      <c r="E63" t="s">
        <v>14</v>
      </c>
      <c r="F63" t="s">
        <v>105</v>
      </c>
      <c r="G63" t="s">
        <v>106</v>
      </c>
      <c r="H63" t="s">
        <v>85</v>
      </c>
      <c r="I63" t="s">
        <v>86</v>
      </c>
      <c r="J63" t="s">
        <v>37</v>
      </c>
      <c r="K63" t="s">
        <v>139</v>
      </c>
      <c r="L63" t="s">
        <v>89</v>
      </c>
      <c r="M63" t="s">
        <v>90</v>
      </c>
      <c r="N63" t="s">
        <v>140</v>
      </c>
      <c r="O63" t="s">
        <v>92</v>
      </c>
      <c r="P63" t="s">
        <v>310</v>
      </c>
      <c r="Q63" t="s">
        <v>78</v>
      </c>
      <c r="R63" t="s">
        <v>85</v>
      </c>
      <c r="S63" t="s">
        <v>173</v>
      </c>
      <c r="T63" t="s">
        <v>309</v>
      </c>
      <c r="U63" t="s">
        <v>95</v>
      </c>
      <c r="V63" t="s">
        <v>82</v>
      </c>
      <c r="W63" t="s">
        <v>96</v>
      </c>
      <c r="X63" t="s">
        <v>96</v>
      </c>
      <c r="Y63" t="s">
        <v>82</v>
      </c>
      <c r="Z63" t="s">
        <v>85</v>
      </c>
    </row>
    <row r="64" spans="1:26" x14ac:dyDescent="0.25">
      <c r="A64" t="s">
        <v>311</v>
      </c>
      <c r="B64" t="s">
        <v>312</v>
      </c>
      <c r="C64" s="4" t="s">
        <v>4116</v>
      </c>
      <c r="D64" t="s">
        <v>291</v>
      </c>
      <c r="E64" t="s">
        <v>14</v>
      </c>
      <c r="F64" t="s">
        <v>105</v>
      </c>
      <c r="G64" t="s">
        <v>106</v>
      </c>
      <c r="H64" t="s">
        <v>85</v>
      </c>
      <c r="I64" t="s">
        <v>86</v>
      </c>
      <c r="J64" t="s">
        <v>130</v>
      </c>
      <c r="K64" t="s">
        <v>139</v>
      </c>
      <c r="L64" t="s">
        <v>89</v>
      </c>
      <c r="M64" t="s">
        <v>90</v>
      </c>
      <c r="N64" t="s">
        <v>140</v>
      </c>
      <c r="O64" t="s">
        <v>92</v>
      </c>
      <c r="P64" t="s">
        <v>313</v>
      </c>
      <c r="Q64" t="s">
        <v>78</v>
      </c>
      <c r="R64" t="s">
        <v>85</v>
      </c>
      <c r="S64" t="s">
        <v>173</v>
      </c>
      <c r="T64" t="s">
        <v>312</v>
      </c>
      <c r="U64" t="s">
        <v>95</v>
      </c>
      <c r="V64" t="s">
        <v>82</v>
      </c>
      <c r="W64" t="s">
        <v>96</v>
      </c>
      <c r="X64" t="s">
        <v>96</v>
      </c>
      <c r="Y64" t="s">
        <v>82</v>
      </c>
      <c r="Z64" t="s">
        <v>85</v>
      </c>
    </row>
    <row r="65" spans="1:26" x14ac:dyDescent="0.25">
      <c r="A65" t="s">
        <v>314</v>
      </c>
      <c r="B65" t="s">
        <v>315</v>
      </c>
      <c r="C65" s="4" t="s">
        <v>316</v>
      </c>
      <c r="D65" t="s">
        <v>317</v>
      </c>
      <c r="E65" t="s">
        <v>14</v>
      </c>
      <c r="F65" t="s">
        <v>85</v>
      </c>
      <c r="G65" t="s">
        <v>111</v>
      </c>
      <c r="H65" t="s">
        <v>78</v>
      </c>
      <c r="I65" t="s">
        <v>102</v>
      </c>
      <c r="J65" t="s">
        <v>32</v>
      </c>
      <c r="K65" t="s">
        <v>139</v>
      </c>
      <c r="L65" t="s">
        <v>89</v>
      </c>
      <c r="M65" t="s">
        <v>318</v>
      </c>
      <c r="N65" t="s">
        <v>319</v>
      </c>
      <c r="O65" t="s">
        <v>92</v>
      </c>
      <c r="P65" t="s">
        <v>320</v>
      </c>
      <c r="Q65" t="s">
        <v>78</v>
      </c>
      <c r="R65" t="s">
        <v>78</v>
      </c>
      <c r="S65" t="s">
        <v>321</v>
      </c>
      <c r="T65" t="s">
        <v>315</v>
      </c>
      <c r="U65" t="s">
        <v>322</v>
      </c>
      <c r="V65" t="s">
        <v>82</v>
      </c>
      <c r="W65" t="s">
        <v>323</v>
      </c>
      <c r="X65" t="s">
        <v>96</v>
      </c>
      <c r="Y65" t="s">
        <v>82</v>
      </c>
      <c r="Z65" t="s">
        <v>111</v>
      </c>
    </row>
    <row r="66" spans="1:26" x14ac:dyDescent="0.25">
      <c r="A66" t="s">
        <v>324</v>
      </c>
      <c r="B66" t="s">
        <v>325</v>
      </c>
      <c r="C66" s="4" t="s">
        <v>316</v>
      </c>
      <c r="D66" t="s">
        <v>317</v>
      </c>
      <c r="E66" t="s">
        <v>14</v>
      </c>
      <c r="F66" t="s">
        <v>85</v>
      </c>
      <c r="G66" t="s">
        <v>111</v>
      </c>
      <c r="H66" t="s">
        <v>85</v>
      </c>
      <c r="I66" t="s">
        <v>102</v>
      </c>
      <c r="J66" t="s">
        <v>29</v>
      </c>
      <c r="K66" t="s">
        <v>139</v>
      </c>
      <c r="L66" t="s">
        <v>89</v>
      </c>
      <c r="M66" t="s">
        <v>326</v>
      </c>
      <c r="N66" t="s">
        <v>319</v>
      </c>
      <c r="O66" t="s">
        <v>92</v>
      </c>
      <c r="P66" t="s">
        <v>327</v>
      </c>
      <c r="Q66" t="s">
        <v>78</v>
      </c>
      <c r="R66" t="s">
        <v>78</v>
      </c>
      <c r="S66" t="s">
        <v>321</v>
      </c>
      <c r="T66" t="s">
        <v>325</v>
      </c>
      <c r="U66" t="s">
        <v>95</v>
      </c>
      <c r="V66" t="s">
        <v>82</v>
      </c>
      <c r="W66" t="s">
        <v>96</v>
      </c>
      <c r="X66" t="s">
        <v>96</v>
      </c>
      <c r="Y66" t="s">
        <v>82</v>
      </c>
      <c r="Z66" t="s">
        <v>111</v>
      </c>
    </row>
    <row r="67" spans="1:26" x14ac:dyDescent="0.25">
      <c r="A67" t="s">
        <v>328</v>
      </c>
      <c r="B67" t="s">
        <v>329</v>
      </c>
      <c r="C67" s="4" t="s">
        <v>316</v>
      </c>
      <c r="D67" t="s">
        <v>317</v>
      </c>
      <c r="E67" t="s">
        <v>14</v>
      </c>
      <c r="F67" t="s">
        <v>85</v>
      </c>
      <c r="G67" t="s">
        <v>111</v>
      </c>
      <c r="H67" t="s">
        <v>85</v>
      </c>
      <c r="I67" t="s">
        <v>102</v>
      </c>
      <c r="J67" t="s">
        <v>330</v>
      </c>
      <c r="K67" t="s">
        <v>139</v>
      </c>
      <c r="L67" t="s">
        <v>89</v>
      </c>
      <c r="M67" t="s">
        <v>326</v>
      </c>
      <c r="N67" t="s">
        <v>319</v>
      </c>
      <c r="O67" t="s">
        <v>92</v>
      </c>
      <c r="P67" t="s">
        <v>331</v>
      </c>
      <c r="Q67" t="s">
        <v>78</v>
      </c>
      <c r="R67" t="s">
        <v>78</v>
      </c>
      <c r="S67" t="s">
        <v>321</v>
      </c>
      <c r="T67" t="s">
        <v>329</v>
      </c>
      <c r="U67" t="s">
        <v>95</v>
      </c>
      <c r="V67" t="s">
        <v>82</v>
      </c>
      <c r="W67" t="s">
        <v>96</v>
      </c>
      <c r="X67" t="s">
        <v>96</v>
      </c>
      <c r="Y67" t="s">
        <v>82</v>
      </c>
      <c r="Z67" t="s">
        <v>111</v>
      </c>
    </row>
    <row r="68" spans="1:26" x14ac:dyDescent="0.25">
      <c r="A68" t="s">
        <v>332</v>
      </c>
      <c r="B68" t="s">
        <v>333</v>
      </c>
      <c r="C68" s="4" t="s">
        <v>334</v>
      </c>
      <c r="D68" t="s">
        <v>335</v>
      </c>
      <c r="E68" t="s">
        <v>14</v>
      </c>
      <c r="F68" t="s">
        <v>85</v>
      </c>
      <c r="G68" t="s">
        <v>111</v>
      </c>
      <c r="H68" t="s">
        <v>85</v>
      </c>
      <c r="I68" t="s">
        <v>102</v>
      </c>
      <c r="J68" t="s">
        <v>336</v>
      </c>
      <c r="K68" t="s">
        <v>139</v>
      </c>
      <c r="L68" t="s">
        <v>89</v>
      </c>
      <c r="M68" t="s">
        <v>326</v>
      </c>
      <c r="N68" t="s">
        <v>319</v>
      </c>
      <c r="O68" t="s">
        <v>92</v>
      </c>
      <c r="P68" t="s">
        <v>337</v>
      </c>
      <c r="Q68" t="s">
        <v>78</v>
      </c>
      <c r="R68" t="s">
        <v>78</v>
      </c>
      <c r="S68" t="s">
        <v>321</v>
      </c>
      <c r="T68" t="s">
        <v>333</v>
      </c>
      <c r="U68" t="s">
        <v>95</v>
      </c>
      <c r="V68" t="s">
        <v>82</v>
      </c>
      <c r="W68" t="s">
        <v>96</v>
      </c>
      <c r="X68" t="s">
        <v>96</v>
      </c>
      <c r="Y68" t="s">
        <v>82</v>
      </c>
      <c r="Z68" t="s">
        <v>111</v>
      </c>
    </row>
    <row r="69" spans="1:26" x14ac:dyDescent="0.25">
      <c r="A69" t="s">
        <v>338</v>
      </c>
      <c r="B69" t="s">
        <v>339</v>
      </c>
      <c r="C69" s="4" t="s">
        <v>334</v>
      </c>
      <c r="D69" t="s">
        <v>335</v>
      </c>
      <c r="E69" t="s">
        <v>14</v>
      </c>
      <c r="F69" t="s">
        <v>85</v>
      </c>
      <c r="G69" t="s">
        <v>111</v>
      </c>
      <c r="H69" t="s">
        <v>85</v>
      </c>
      <c r="I69" t="s">
        <v>102</v>
      </c>
      <c r="J69" t="s">
        <v>340</v>
      </c>
      <c r="K69" t="s">
        <v>139</v>
      </c>
      <c r="L69" t="s">
        <v>89</v>
      </c>
      <c r="M69" t="s">
        <v>326</v>
      </c>
      <c r="N69" t="s">
        <v>319</v>
      </c>
      <c r="O69" t="s">
        <v>92</v>
      </c>
      <c r="P69" t="s">
        <v>341</v>
      </c>
      <c r="Q69" t="s">
        <v>78</v>
      </c>
      <c r="R69" t="s">
        <v>78</v>
      </c>
      <c r="S69" t="s">
        <v>321</v>
      </c>
      <c r="T69" t="s">
        <v>339</v>
      </c>
      <c r="U69" t="s">
        <v>95</v>
      </c>
      <c r="V69" t="s">
        <v>82</v>
      </c>
      <c r="W69" t="s">
        <v>96</v>
      </c>
      <c r="X69" t="s">
        <v>96</v>
      </c>
      <c r="Y69" t="s">
        <v>82</v>
      </c>
      <c r="Z69" t="s">
        <v>111</v>
      </c>
    </row>
    <row r="70" spans="1:26" x14ac:dyDescent="0.25">
      <c r="A70" t="s">
        <v>342</v>
      </c>
      <c r="B70" t="s">
        <v>343</v>
      </c>
      <c r="C70" s="4" t="s">
        <v>344</v>
      </c>
      <c r="D70" t="s">
        <v>345</v>
      </c>
      <c r="E70" t="s">
        <v>14</v>
      </c>
      <c r="F70" t="s">
        <v>85</v>
      </c>
      <c r="G70" t="s">
        <v>111</v>
      </c>
      <c r="H70" t="s">
        <v>78</v>
      </c>
      <c r="I70" t="s">
        <v>105</v>
      </c>
      <c r="J70" t="s">
        <v>29</v>
      </c>
      <c r="K70" t="s">
        <v>346</v>
      </c>
      <c r="L70" t="s">
        <v>89</v>
      </c>
      <c r="M70" t="s">
        <v>318</v>
      </c>
      <c r="N70" t="s">
        <v>347</v>
      </c>
      <c r="O70" t="s">
        <v>92</v>
      </c>
      <c r="P70" t="s">
        <v>348</v>
      </c>
      <c r="Q70" t="s">
        <v>78</v>
      </c>
      <c r="R70" t="s">
        <v>111</v>
      </c>
      <c r="S70" t="s">
        <v>349</v>
      </c>
      <c r="T70" t="s">
        <v>343</v>
      </c>
      <c r="U70" t="s">
        <v>95</v>
      </c>
      <c r="V70" t="s">
        <v>82</v>
      </c>
      <c r="W70" t="s">
        <v>96</v>
      </c>
      <c r="X70" t="s">
        <v>96</v>
      </c>
      <c r="Y70" t="s">
        <v>82</v>
      </c>
      <c r="Z70" t="s">
        <v>102</v>
      </c>
    </row>
    <row r="71" spans="1:26" x14ac:dyDescent="0.25">
      <c r="A71" t="s">
        <v>350</v>
      </c>
      <c r="B71" t="s">
        <v>351</v>
      </c>
      <c r="C71" s="4" t="s">
        <v>352</v>
      </c>
      <c r="D71" t="s">
        <v>345</v>
      </c>
      <c r="E71" t="s">
        <v>14</v>
      </c>
      <c r="F71" t="s">
        <v>85</v>
      </c>
      <c r="G71" t="s">
        <v>111</v>
      </c>
      <c r="H71" t="s">
        <v>78</v>
      </c>
      <c r="I71" t="s">
        <v>105</v>
      </c>
      <c r="J71" t="s">
        <v>353</v>
      </c>
      <c r="K71" t="s">
        <v>354</v>
      </c>
      <c r="L71" t="s">
        <v>89</v>
      </c>
      <c r="M71" t="s">
        <v>318</v>
      </c>
      <c r="N71" t="s">
        <v>347</v>
      </c>
      <c r="O71" t="s">
        <v>92</v>
      </c>
      <c r="P71" t="s">
        <v>355</v>
      </c>
      <c r="Q71" t="s">
        <v>78</v>
      </c>
      <c r="R71" t="s">
        <v>111</v>
      </c>
      <c r="S71" t="s">
        <v>349</v>
      </c>
      <c r="T71" t="s">
        <v>351</v>
      </c>
      <c r="U71" t="s">
        <v>322</v>
      </c>
      <c r="V71" t="s">
        <v>82</v>
      </c>
      <c r="W71" t="s">
        <v>356</v>
      </c>
      <c r="X71" t="s">
        <v>96</v>
      </c>
      <c r="Y71" t="s">
        <v>82</v>
      </c>
      <c r="Z71" t="s">
        <v>102</v>
      </c>
    </row>
    <row r="72" spans="1:26" x14ac:dyDescent="0.25">
      <c r="A72" t="s">
        <v>357</v>
      </c>
      <c r="B72" t="s">
        <v>358</v>
      </c>
      <c r="C72" s="4" t="s">
        <v>359</v>
      </c>
      <c r="D72" t="s">
        <v>360</v>
      </c>
      <c r="E72" t="s">
        <v>14</v>
      </c>
      <c r="F72" t="s">
        <v>85</v>
      </c>
      <c r="G72" t="s">
        <v>111</v>
      </c>
      <c r="H72" t="s">
        <v>78</v>
      </c>
      <c r="I72" t="s">
        <v>105</v>
      </c>
      <c r="J72" t="s">
        <v>130</v>
      </c>
      <c r="K72" t="s">
        <v>346</v>
      </c>
      <c r="L72" t="s">
        <v>89</v>
      </c>
      <c r="M72" t="s">
        <v>318</v>
      </c>
      <c r="N72" t="s">
        <v>347</v>
      </c>
      <c r="O72" t="s">
        <v>92</v>
      </c>
      <c r="P72" t="s">
        <v>361</v>
      </c>
      <c r="Q72" t="s">
        <v>78</v>
      </c>
      <c r="R72" t="s">
        <v>111</v>
      </c>
      <c r="S72" t="s">
        <v>349</v>
      </c>
      <c r="T72" t="s">
        <v>358</v>
      </c>
      <c r="U72" t="s">
        <v>95</v>
      </c>
      <c r="V72" t="s">
        <v>82</v>
      </c>
      <c r="W72" t="s">
        <v>96</v>
      </c>
      <c r="X72" t="s">
        <v>96</v>
      </c>
      <c r="Y72" t="s">
        <v>82</v>
      </c>
      <c r="Z72" t="s">
        <v>102</v>
      </c>
    </row>
    <row r="73" spans="1:26" x14ac:dyDescent="0.25">
      <c r="A73" t="s">
        <v>362</v>
      </c>
      <c r="B73" t="s">
        <v>363</v>
      </c>
      <c r="C73" s="4" t="s">
        <v>364</v>
      </c>
      <c r="D73" t="s">
        <v>345</v>
      </c>
      <c r="E73" t="s">
        <v>14</v>
      </c>
      <c r="F73" t="s">
        <v>85</v>
      </c>
      <c r="G73" t="s">
        <v>111</v>
      </c>
      <c r="H73" t="s">
        <v>78</v>
      </c>
      <c r="I73" t="s">
        <v>105</v>
      </c>
      <c r="J73" t="s">
        <v>87</v>
      </c>
      <c r="K73" t="s">
        <v>346</v>
      </c>
      <c r="L73" t="s">
        <v>89</v>
      </c>
      <c r="M73" t="s">
        <v>318</v>
      </c>
      <c r="N73" t="s">
        <v>347</v>
      </c>
      <c r="O73" t="s">
        <v>92</v>
      </c>
      <c r="P73" t="s">
        <v>365</v>
      </c>
      <c r="Q73" t="s">
        <v>78</v>
      </c>
      <c r="R73" t="s">
        <v>111</v>
      </c>
      <c r="S73" t="s">
        <v>349</v>
      </c>
      <c r="T73" t="s">
        <v>363</v>
      </c>
      <c r="U73" t="s">
        <v>95</v>
      </c>
      <c r="V73" t="s">
        <v>82</v>
      </c>
      <c r="W73" t="s">
        <v>96</v>
      </c>
      <c r="X73" t="s">
        <v>96</v>
      </c>
      <c r="Y73" t="s">
        <v>82</v>
      </c>
      <c r="Z73" t="s">
        <v>102</v>
      </c>
    </row>
    <row r="74" spans="1:26" x14ac:dyDescent="0.25">
      <c r="A74" t="s">
        <v>366</v>
      </c>
      <c r="B74" t="s">
        <v>367</v>
      </c>
      <c r="C74" s="4" t="s">
        <v>368</v>
      </c>
      <c r="D74" t="s">
        <v>360</v>
      </c>
      <c r="E74" t="s">
        <v>14</v>
      </c>
      <c r="F74" t="s">
        <v>85</v>
      </c>
      <c r="G74" t="s">
        <v>111</v>
      </c>
      <c r="H74" t="s">
        <v>78</v>
      </c>
      <c r="I74" t="s">
        <v>105</v>
      </c>
      <c r="J74" t="s">
        <v>126</v>
      </c>
      <c r="K74" t="s">
        <v>346</v>
      </c>
      <c r="L74" t="s">
        <v>89</v>
      </c>
      <c r="M74" t="s">
        <v>318</v>
      </c>
      <c r="N74" t="s">
        <v>347</v>
      </c>
      <c r="O74" t="s">
        <v>92</v>
      </c>
      <c r="P74" t="s">
        <v>369</v>
      </c>
      <c r="Q74" t="s">
        <v>78</v>
      </c>
      <c r="R74" t="s">
        <v>111</v>
      </c>
      <c r="S74" t="s">
        <v>349</v>
      </c>
      <c r="T74" t="s">
        <v>367</v>
      </c>
      <c r="U74" t="s">
        <v>95</v>
      </c>
      <c r="V74" t="s">
        <v>82</v>
      </c>
      <c r="W74" t="s">
        <v>96</v>
      </c>
      <c r="X74" t="s">
        <v>96</v>
      </c>
      <c r="Y74" t="s">
        <v>82</v>
      </c>
      <c r="Z74" t="s">
        <v>102</v>
      </c>
    </row>
    <row r="75" spans="1:26" x14ac:dyDescent="0.25">
      <c r="A75" t="s">
        <v>370</v>
      </c>
      <c r="B75" t="s">
        <v>371</v>
      </c>
      <c r="C75" s="4" t="s">
        <v>372</v>
      </c>
      <c r="D75" t="s">
        <v>373</v>
      </c>
      <c r="E75" t="s">
        <v>14</v>
      </c>
      <c r="F75" t="s">
        <v>85</v>
      </c>
      <c r="G75" t="s">
        <v>111</v>
      </c>
      <c r="H75" t="s">
        <v>78</v>
      </c>
      <c r="I75" t="s">
        <v>105</v>
      </c>
      <c r="J75" t="s">
        <v>37</v>
      </c>
      <c r="K75" t="s">
        <v>374</v>
      </c>
      <c r="L75" t="s">
        <v>89</v>
      </c>
      <c r="M75" t="s">
        <v>318</v>
      </c>
      <c r="N75" t="s">
        <v>375</v>
      </c>
      <c r="O75" t="s">
        <v>92</v>
      </c>
      <c r="P75" t="s">
        <v>376</v>
      </c>
      <c r="Q75" t="s">
        <v>78</v>
      </c>
      <c r="R75" t="s">
        <v>111</v>
      </c>
      <c r="S75" t="s">
        <v>377</v>
      </c>
      <c r="T75" t="s">
        <v>371</v>
      </c>
      <c r="U75" t="s">
        <v>95</v>
      </c>
      <c r="V75" t="s">
        <v>82</v>
      </c>
      <c r="W75" t="s">
        <v>96</v>
      </c>
      <c r="X75" t="s">
        <v>96</v>
      </c>
      <c r="Y75" t="s">
        <v>82</v>
      </c>
      <c r="Z75" t="s">
        <v>102</v>
      </c>
    </row>
    <row r="76" spans="1:26" x14ac:dyDescent="0.25">
      <c r="A76" t="s">
        <v>378</v>
      </c>
      <c r="B76" t="s">
        <v>379</v>
      </c>
      <c r="C76" s="4" t="s">
        <v>380</v>
      </c>
      <c r="D76" t="s">
        <v>381</v>
      </c>
      <c r="E76" t="s">
        <v>14</v>
      </c>
      <c r="F76" t="s">
        <v>78</v>
      </c>
      <c r="G76" t="s">
        <v>102</v>
      </c>
      <c r="H76" t="s">
        <v>78</v>
      </c>
      <c r="I76" t="s">
        <v>102</v>
      </c>
      <c r="J76" t="s">
        <v>17</v>
      </c>
      <c r="K76" t="s">
        <v>382</v>
      </c>
      <c r="L76" t="s">
        <v>89</v>
      </c>
      <c r="M76" t="s">
        <v>318</v>
      </c>
      <c r="N76" t="s">
        <v>383</v>
      </c>
      <c r="O76" t="s">
        <v>92</v>
      </c>
      <c r="P76" t="s">
        <v>384</v>
      </c>
      <c r="Q76" t="s">
        <v>78</v>
      </c>
      <c r="R76" t="s">
        <v>86</v>
      </c>
      <c r="S76" t="s">
        <v>385</v>
      </c>
      <c r="T76" t="s">
        <v>379</v>
      </c>
      <c r="U76" t="s">
        <v>95</v>
      </c>
      <c r="V76" t="s">
        <v>82</v>
      </c>
      <c r="W76" t="s">
        <v>96</v>
      </c>
      <c r="X76" t="s">
        <v>96</v>
      </c>
      <c r="Y76" t="s">
        <v>82</v>
      </c>
      <c r="Z76" t="s">
        <v>78</v>
      </c>
    </row>
    <row r="77" spans="1:26" x14ac:dyDescent="0.25">
      <c r="A77" t="s">
        <v>386</v>
      </c>
      <c r="B77" t="s">
        <v>387</v>
      </c>
      <c r="C77" s="4" t="s">
        <v>380</v>
      </c>
      <c r="D77" t="s">
        <v>381</v>
      </c>
      <c r="E77" t="s">
        <v>14</v>
      </c>
      <c r="F77" t="s">
        <v>78</v>
      </c>
      <c r="G77" t="s">
        <v>102</v>
      </c>
      <c r="H77" t="s">
        <v>78</v>
      </c>
      <c r="I77" t="s">
        <v>102</v>
      </c>
      <c r="J77" t="s">
        <v>30</v>
      </c>
      <c r="K77" t="s">
        <v>382</v>
      </c>
      <c r="L77" t="s">
        <v>89</v>
      </c>
      <c r="M77" t="s">
        <v>318</v>
      </c>
      <c r="N77" t="s">
        <v>383</v>
      </c>
      <c r="O77" t="s">
        <v>92</v>
      </c>
      <c r="P77" t="s">
        <v>388</v>
      </c>
      <c r="Q77" t="s">
        <v>78</v>
      </c>
      <c r="R77" t="s">
        <v>86</v>
      </c>
      <c r="S77" t="s">
        <v>385</v>
      </c>
      <c r="T77" t="s">
        <v>387</v>
      </c>
      <c r="U77" t="s">
        <v>95</v>
      </c>
      <c r="V77" t="s">
        <v>82</v>
      </c>
      <c r="W77" t="s">
        <v>96</v>
      </c>
      <c r="X77" t="s">
        <v>96</v>
      </c>
      <c r="Y77" t="s">
        <v>82</v>
      </c>
      <c r="Z77" t="s">
        <v>78</v>
      </c>
    </row>
    <row r="78" spans="1:26" x14ac:dyDescent="0.25">
      <c r="A78" t="s">
        <v>389</v>
      </c>
      <c r="B78" t="s">
        <v>390</v>
      </c>
      <c r="C78" s="4" t="s">
        <v>380</v>
      </c>
      <c r="D78" t="s">
        <v>381</v>
      </c>
      <c r="E78" t="s">
        <v>14</v>
      </c>
      <c r="F78" t="s">
        <v>78</v>
      </c>
      <c r="G78" t="s">
        <v>102</v>
      </c>
      <c r="H78" t="s">
        <v>78</v>
      </c>
      <c r="I78" t="s">
        <v>102</v>
      </c>
      <c r="J78" t="s">
        <v>15</v>
      </c>
      <c r="K78" t="s">
        <v>382</v>
      </c>
      <c r="L78" t="s">
        <v>89</v>
      </c>
      <c r="M78" t="s">
        <v>318</v>
      </c>
      <c r="N78" t="s">
        <v>383</v>
      </c>
      <c r="O78" t="s">
        <v>92</v>
      </c>
      <c r="P78" t="s">
        <v>391</v>
      </c>
      <c r="Q78" t="s">
        <v>78</v>
      </c>
      <c r="R78" t="s">
        <v>86</v>
      </c>
      <c r="S78" t="s">
        <v>385</v>
      </c>
      <c r="T78" t="s">
        <v>390</v>
      </c>
      <c r="U78" t="s">
        <v>95</v>
      </c>
      <c r="V78" t="s">
        <v>82</v>
      </c>
      <c r="W78" t="s">
        <v>96</v>
      </c>
      <c r="X78" t="s">
        <v>96</v>
      </c>
      <c r="Y78" t="s">
        <v>82</v>
      </c>
      <c r="Z78" t="s">
        <v>78</v>
      </c>
    </row>
    <row r="79" spans="1:26" x14ac:dyDescent="0.25">
      <c r="A79" t="s">
        <v>392</v>
      </c>
      <c r="B79" t="s">
        <v>393</v>
      </c>
      <c r="C79" s="4" t="s">
        <v>380</v>
      </c>
      <c r="D79" t="s">
        <v>381</v>
      </c>
      <c r="E79" t="s">
        <v>14</v>
      </c>
      <c r="F79" t="s">
        <v>78</v>
      </c>
      <c r="G79" t="s">
        <v>102</v>
      </c>
      <c r="H79" t="s">
        <v>78</v>
      </c>
      <c r="I79" t="s">
        <v>102</v>
      </c>
      <c r="J79" t="s">
        <v>353</v>
      </c>
      <c r="K79" t="s">
        <v>382</v>
      </c>
      <c r="L79" t="s">
        <v>89</v>
      </c>
      <c r="M79" t="s">
        <v>318</v>
      </c>
      <c r="N79" t="s">
        <v>383</v>
      </c>
      <c r="O79" t="s">
        <v>92</v>
      </c>
      <c r="P79" t="s">
        <v>394</v>
      </c>
      <c r="Q79" t="s">
        <v>78</v>
      </c>
      <c r="R79" t="s">
        <v>86</v>
      </c>
      <c r="S79" t="s">
        <v>385</v>
      </c>
      <c r="T79" t="s">
        <v>393</v>
      </c>
      <c r="U79" t="s">
        <v>95</v>
      </c>
      <c r="V79" t="s">
        <v>82</v>
      </c>
      <c r="W79" t="s">
        <v>96</v>
      </c>
      <c r="X79" t="s">
        <v>96</v>
      </c>
      <c r="Y79" t="s">
        <v>82</v>
      </c>
      <c r="Z79" t="s">
        <v>78</v>
      </c>
    </row>
    <row r="80" spans="1:26" x14ac:dyDescent="0.25">
      <c r="A80" t="s">
        <v>395</v>
      </c>
      <c r="B80" t="s">
        <v>396</v>
      </c>
      <c r="C80" s="4" t="s">
        <v>380</v>
      </c>
      <c r="D80" t="s">
        <v>381</v>
      </c>
      <c r="E80" t="s">
        <v>14</v>
      </c>
      <c r="F80" t="s">
        <v>111</v>
      </c>
      <c r="G80" t="s">
        <v>124</v>
      </c>
      <c r="H80" t="s">
        <v>78</v>
      </c>
      <c r="I80" t="s">
        <v>102</v>
      </c>
      <c r="J80" t="s">
        <v>17</v>
      </c>
      <c r="K80" t="s">
        <v>397</v>
      </c>
      <c r="L80" t="s">
        <v>89</v>
      </c>
      <c r="M80" t="s">
        <v>318</v>
      </c>
      <c r="N80" t="s">
        <v>398</v>
      </c>
      <c r="O80" t="s">
        <v>92</v>
      </c>
      <c r="P80" t="s">
        <v>394</v>
      </c>
      <c r="Q80" t="s">
        <v>78</v>
      </c>
      <c r="R80" t="s">
        <v>86</v>
      </c>
      <c r="S80" t="s">
        <v>399</v>
      </c>
      <c r="T80" t="s">
        <v>396</v>
      </c>
      <c r="U80" t="s">
        <v>95</v>
      </c>
      <c r="V80" t="s">
        <v>82</v>
      </c>
      <c r="W80" t="s">
        <v>96</v>
      </c>
      <c r="X80" t="s">
        <v>96</v>
      </c>
      <c r="Y80" t="s">
        <v>82</v>
      </c>
      <c r="Z80" t="s">
        <v>78</v>
      </c>
    </row>
    <row r="81" spans="1:26" x14ac:dyDescent="0.25">
      <c r="A81" t="s">
        <v>400</v>
      </c>
      <c r="B81" t="s">
        <v>401</v>
      </c>
      <c r="C81" s="4" t="s">
        <v>380</v>
      </c>
      <c r="D81" t="s">
        <v>381</v>
      </c>
      <c r="E81" t="s">
        <v>14</v>
      </c>
      <c r="F81" t="s">
        <v>111</v>
      </c>
      <c r="G81" t="s">
        <v>124</v>
      </c>
      <c r="H81" t="s">
        <v>78</v>
      </c>
      <c r="I81" t="s">
        <v>102</v>
      </c>
      <c r="J81" t="s">
        <v>30</v>
      </c>
      <c r="K81" t="s">
        <v>397</v>
      </c>
      <c r="L81" t="s">
        <v>89</v>
      </c>
      <c r="M81" t="s">
        <v>318</v>
      </c>
      <c r="N81" t="s">
        <v>398</v>
      </c>
      <c r="O81" t="s">
        <v>92</v>
      </c>
      <c r="P81" t="s">
        <v>394</v>
      </c>
      <c r="Q81" t="s">
        <v>78</v>
      </c>
      <c r="R81" t="s">
        <v>86</v>
      </c>
      <c r="S81" t="s">
        <v>399</v>
      </c>
      <c r="T81" t="s">
        <v>401</v>
      </c>
      <c r="U81" t="s">
        <v>95</v>
      </c>
      <c r="V81" t="s">
        <v>82</v>
      </c>
      <c r="W81" t="s">
        <v>96</v>
      </c>
      <c r="X81" t="s">
        <v>96</v>
      </c>
      <c r="Y81" t="s">
        <v>82</v>
      </c>
      <c r="Z81" t="s">
        <v>78</v>
      </c>
    </row>
    <row r="82" spans="1:26" x14ac:dyDescent="0.25">
      <c r="A82" t="s">
        <v>402</v>
      </c>
      <c r="B82" t="s">
        <v>403</v>
      </c>
      <c r="C82" s="4" t="s">
        <v>380</v>
      </c>
      <c r="D82" t="s">
        <v>381</v>
      </c>
      <c r="E82" t="s">
        <v>14</v>
      </c>
      <c r="F82" t="s">
        <v>111</v>
      </c>
      <c r="G82" t="s">
        <v>124</v>
      </c>
      <c r="H82" t="s">
        <v>78</v>
      </c>
      <c r="I82" t="s">
        <v>102</v>
      </c>
      <c r="J82" t="s">
        <v>15</v>
      </c>
      <c r="K82" t="s">
        <v>397</v>
      </c>
      <c r="L82" t="s">
        <v>89</v>
      </c>
      <c r="M82" t="s">
        <v>318</v>
      </c>
      <c r="N82" t="s">
        <v>398</v>
      </c>
      <c r="O82" t="s">
        <v>92</v>
      </c>
      <c r="P82" t="s">
        <v>394</v>
      </c>
      <c r="Q82" t="s">
        <v>78</v>
      </c>
      <c r="R82" t="s">
        <v>86</v>
      </c>
      <c r="S82" t="s">
        <v>399</v>
      </c>
      <c r="T82" t="s">
        <v>403</v>
      </c>
      <c r="U82" t="s">
        <v>95</v>
      </c>
      <c r="V82" t="s">
        <v>82</v>
      </c>
      <c r="W82" t="s">
        <v>96</v>
      </c>
      <c r="X82" t="s">
        <v>96</v>
      </c>
      <c r="Y82" t="s">
        <v>82</v>
      </c>
      <c r="Z82" t="s">
        <v>78</v>
      </c>
    </row>
    <row r="83" spans="1:26" x14ac:dyDescent="0.25">
      <c r="A83" t="s">
        <v>404</v>
      </c>
      <c r="B83" t="s">
        <v>405</v>
      </c>
      <c r="C83" s="4" t="s">
        <v>380</v>
      </c>
      <c r="D83" t="s">
        <v>381</v>
      </c>
      <c r="E83" t="s">
        <v>14</v>
      </c>
      <c r="F83" t="s">
        <v>111</v>
      </c>
      <c r="G83" t="s">
        <v>124</v>
      </c>
      <c r="H83" t="s">
        <v>78</v>
      </c>
      <c r="I83" t="s">
        <v>102</v>
      </c>
      <c r="J83" t="s">
        <v>353</v>
      </c>
      <c r="K83" t="s">
        <v>397</v>
      </c>
      <c r="L83" t="s">
        <v>89</v>
      </c>
      <c r="M83" t="s">
        <v>318</v>
      </c>
      <c r="N83" t="s">
        <v>398</v>
      </c>
      <c r="O83" t="s">
        <v>92</v>
      </c>
      <c r="P83" t="s">
        <v>394</v>
      </c>
      <c r="Q83" t="s">
        <v>78</v>
      </c>
      <c r="R83" t="s">
        <v>86</v>
      </c>
      <c r="S83" t="s">
        <v>399</v>
      </c>
      <c r="T83" t="s">
        <v>405</v>
      </c>
      <c r="U83" t="s">
        <v>95</v>
      </c>
      <c r="V83" t="s">
        <v>82</v>
      </c>
      <c r="W83" t="s">
        <v>96</v>
      </c>
      <c r="X83" t="s">
        <v>96</v>
      </c>
      <c r="Y83" t="s">
        <v>82</v>
      </c>
      <c r="Z83" t="s">
        <v>78</v>
      </c>
    </row>
    <row r="84" spans="1:26" x14ac:dyDescent="0.25">
      <c r="A84" t="s">
        <v>406</v>
      </c>
      <c r="B84" t="s">
        <v>407</v>
      </c>
      <c r="C84" s="4" t="s">
        <v>380</v>
      </c>
      <c r="D84" t="s">
        <v>381</v>
      </c>
      <c r="E84" t="s">
        <v>14</v>
      </c>
      <c r="F84" t="s">
        <v>128</v>
      </c>
      <c r="G84" t="s">
        <v>105</v>
      </c>
      <c r="H84" t="s">
        <v>78</v>
      </c>
      <c r="I84" t="s">
        <v>102</v>
      </c>
      <c r="J84" t="s">
        <v>17</v>
      </c>
      <c r="K84" t="s">
        <v>408</v>
      </c>
      <c r="L84" t="s">
        <v>89</v>
      </c>
      <c r="M84" t="s">
        <v>318</v>
      </c>
      <c r="N84" t="s">
        <v>409</v>
      </c>
      <c r="O84" t="s">
        <v>92</v>
      </c>
      <c r="P84" t="s">
        <v>394</v>
      </c>
      <c r="Q84" t="s">
        <v>78</v>
      </c>
      <c r="R84" t="s">
        <v>86</v>
      </c>
      <c r="S84" t="s">
        <v>410</v>
      </c>
      <c r="T84" t="s">
        <v>407</v>
      </c>
      <c r="U84" t="s">
        <v>95</v>
      </c>
      <c r="V84" t="s">
        <v>82</v>
      </c>
      <c r="W84" t="s">
        <v>96</v>
      </c>
      <c r="X84" t="s">
        <v>96</v>
      </c>
      <c r="Y84" t="s">
        <v>82</v>
      </c>
      <c r="Z84" t="s">
        <v>78</v>
      </c>
    </row>
    <row r="85" spans="1:26" x14ac:dyDescent="0.25">
      <c r="A85" t="s">
        <v>411</v>
      </c>
      <c r="B85" t="s">
        <v>412</v>
      </c>
      <c r="C85" s="4" t="s">
        <v>380</v>
      </c>
      <c r="D85" t="s">
        <v>381</v>
      </c>
      <c r="E85" t="s">
        <v>14</v>
      </c>
      <c r="F85" t="s">
        <v>128</v>
      </c>
      <c r="G85" t="s">
        <v>105</v>
      </c>
      <c r="H85" t="s">
        <v>78</v>
      </c>
      <c r="I85" t="s">
        <v>102</v>
      </c>
      <c r="J85" t="s">
        <v>30</v>
      </c>
      <c r="K85" t="s">
        <v>408</v>
      </c>
      <c r="L85" t="s">
        <v>89</v>
      </c>
      <c r="M85" t="s">
        <v>318</v>
      </c>
      <c r="N85" t="s">
        <v>409</v>
      </c>
      <c r="O85" t="s">
        <v>92</v>
      </c>
      <c r="P85" t="s">
        <v>394</v>
      </c>
      <c r="Q85" t="s">
        <v>78</v>
      </c>
      <c r="R85" t="s">
        <v>86</v>
      </c>
      <c r="S85" t="s">
        <v>410</v>
      </c>
      <c r="T85" t="s">
        <v>412</v>
      </c>
      <c r="U85" t="s">
        <v>95</v>
      </c>
      <c r="V85" t="s">
        <v>82</v>
      </c>
      <c r="W85" t="s">
        <v>96</v>
      </c>
      <c r="X85" t="s">
        <v>96</v>
      </c>
      <c r="Y85" t="s">
        <v>82</v>
      </c>
      <c r="Z85" t="s">
        <v>78</v>
      </c>
    </row>
    <row r="86" spans="1:26" x14ac:dyDescent="0.25">
      <c r="A86" t="s">
        <v>413</v>
      </c>
      <c r="B86" t="s">
        <v>414</v>
      </c>
      <c r="C86" s="4" t="s">
        <v>380</v>
      </c>
      <c r="D86" t="s">
        <v>381</v>
      </c>
      <c r="E86" t="s">
        <v>14</v>
      </c>
      <c r="F86" t="s">
        <v>128</v>
      </c>
      <c r="G86" t="s">
        <v>105</v>
      </c>
      <c r="H86" t="s">
        <v>78</v>
      </c>
      <c r="I86" t="s">
        <v>102</v>
      </c>
      <c r="J86" t="s">
        <v>15</v>
      </c>
      <c r="K86" t="s">
        <v>408</v>
      </c>
      <c r="L86" t="s">
        <v>89</v>
      </c>
      <c r="M86" t="s">
        <v>318</v>
      </c>
      <c r="N86" t="s">
        <v>409</v>
      </c>
      <c r="O86" t="s">
        <v>92</v>
      </c>
      <c r="P86" t="s">
        <v>394</v>
      </c>
      <c r="Q86" t="s">
        <v>78</v>
      </c>
      <c r="R86" t="s">
        <v>86</v>
      </c>
      <c r="S86" t="s">
        <v>410</v>
      </c>
      <c r="T86" t="s">
        <v>414</v>
      </c>
      <c r="U86" t="s">
        <v>95</v>
      </c>
      <c r="V86" t="s">
        <v>82</v>
      </c>
      <c r="W86" t="s">
        <v>96</v>
      </c>
      <c r="X86" t="s">
        <v>96</v>
      </c>
      <c r="Y86" t="s">
        <v>82</v>
      </c>
      <c r="Z86" t="s">
        <v>78</v>
      </c>
    </row>
    <row r="87" spans="1:26" x14ac:dyDescent="0.25">
      <c r="A87" t="s">
        <v>415</v>
      </c>
      <c r="B87" t="s">
        <v>416</v>
      </c>
      <c r="C87" s="4" t="s">
        <v>380</v>
      </c>
      <c r="D87" t="s">
        <v>381</v>
      </c>
      <c r="E87" t="s">
        <v>14</v>
      </c>
      <c r="F87" t="s">
        <v>128</v>
      </c>
      <c r="G87" t="s">
        <v>105</v>
      </c>
      <c r="H87" t="s">
        <v>78</v>
      </c>
      <c r="I87" t="s">
        <v>102</v>
      </c>
      <c r="J87" t="s">
        <v>353</v>
      </c>
      <c r="K87" t="s">
        <v>408</v>
      </c>
      <c r="L87" t="s">
        <v>89</v>
      </c>
      <c r="M87" t="s">
        <v>318</v>
      </c>
      <c r="N87" t="s">
        <v>409</v>
      </c>
      <c r="O87" t="s">
        <v>92</v>
      </c>
      <c r="P87" t="s">
        <v>394</v>
      </c>
      <c r="Q87" t="s">
        <v>78</v>
      </c>
      <c r="R87" t="s">
        <v>86</v>
      </c>
      <c r="S87" t="s">
        <v>410</v>
      </c>
      <c r="T87" t="s">
        <v>416</v>
      </c>
      <c r="U87" t="s">
        <v>95</v>
      </c>
      <c r="V87" t="s">
        <v>82</v>
      </c>
      <c r="W87" t="s">
        <v>96</v>
      </c>
      <c r="X87" t="s">
        <v>96</v>
      </c>
      <c r="Y87" t="s">
        <v>82</v>
      </c>
      <c r="Z87" t="s">
        <v>78</v>
      </c>
    </row>
    <row r="88" spans="1:26" x14ac:dyDescent="0.25">
      <c r="A88" t="s">
        <v>417</v>
      </c>
      <c r="B88" t="s">
        <v>418</v>
      </c>
      <c r="C88" s="4" t="s">
        <v>380</v>
      </c>
      <c r="D88" t="s">
        <v>381</v>
      </c>
      <c r="E88" t="s">
        <v>14</v>
      </c>
      <c r="F88" t="s">
        <v>143</v>
      </c>
      <c r="G88" t="s">
        <v>106</v>
      </c>
      <c r="H88" t="s">
        <v>78</v>
      </c>
      <c r="I88" t="s">
        <v>102</v>
      </c>
      <c r="J88" t="s">
        <v>17</v>
      </c>
      <c r="K88" t="s">
        <v>419</v>
      </c>
      <c r="L88" t="s">
        <v>89</v>
      </c>
      <c r="M88" t="s">
        <v>318</v>
      </c>
      <c r="N88" t="s">
        <v>420</v>
      </c>
      <c r="O88" t="s">
        <v>92</v>
      </c>
      <c r="P88" t="s">
        <v>394</v>
      </c>
      <c r="Q88" t="s">
        <v>78</v>
      </c>
      <c r="R88" t="s">
        <v>86</v>
      </c>
      <c r="S88" t="s">
        <v>421</v>
      </c>
      <c r="T88" t="s">
        <v>418</v>
      </c>
      <c r="U88" t="s">
        <v>95</v>
      </c>
      <c r="V88" t="s">
        <v>82</v>
      </c>
      <c r="W88" t="s">
        <v>96</v>
      </c>
      <c r="X88" t="s">
        <v>96</v>
      </c>
      <c r="Y88" t="s">
        <v>82</v>
      </c>
      <c r="Z88" t="s">
        <v>78</v>
      </c>
    </row>
    <row r="89" spans="1:26" x14ac:dyDescent="0.25">
      <c r="A89" t="s">
        <v>422</v>
      </c>
      <c r="B89" t="s">
        <v>423</v>
      </c>
      <c r="C89" s="4" t="s">
        <v>380</v>
      </c>
      <c r="D89" t="s">
        <v>381</v>
      </c>
      <c r="E89" t="s">
        <v>14</v>
      </c>
      <c r="F89" t="s">
        <v>143</v>
      </c>
      <c r="G89" t="s">
        <v>106</v>
      </c>
      <c r="H89" t="s">
        <v>78</v>
      </c>
      <c r="I89" t="s">
        <v>102</v>
      </c>
      <c r="J89" t="s">
        <v>30</v>
      </c>
      <c r="K89" t="s">
        <v>419</v>
      </c>
      <c r="L89" t="s">
        <v>89</v>
      </c>
      <c r="M89" t="s">
        <v>318</v>
      </c>
      <c r="N89" t="s">
        <v>420</v>
      </c>
      <c r="O89" t="s">
        <v>92</v>
      </c>
      <c r="P89" t="s">
        <v>394</v>
      </c>
      <c r="Q89" t="s">
        <v>78</v>
      </c>
      <c r="R89" t="s">
        <v>86</v>
      </c>
      <c r="S89" t="s">
        <v>421</v>
      </c>
      <c r="T89" t="s">
        <v>423</v>
      </c>
      <c r="U89" t="s">
        <v>95</v>
      </c>
      <c r="V89" t="s">
        <v>82</v>
      </c>
      <c r="W89" t="s">
        <v>96</v>
      </c>
      <c r="X89" t="s">
        <v>96</v>
      </c>
      <c r="Y89" t="s">
        <v>82</v>
      </c>
      <c r="Z89" t="s">
        <v>78</v>
      </c>
    </row>
    <row r="90" spans="1:26" x14ac:dyDescent="0.25">
      <c r="A90" t="s">
        <v>424</v>
      </c>
      <c r="B90" t="s">
        <v>425</v>
      </c>
      <c r="C90" s="4" t="s">
        <v>380</v>
      </c>
      <c r="D90" t="s">
        <v>381</v>
      </c>
      <c r="E90" t="s">
        <v>14</v>
      </c>
      <c r="F90" t="s">
        <v>143</v>
      </c>
      <c r="G90" t="s">
        <v>106</v>
      </c>
      <c r="H90" t="s">
        <v>78</v>
      </c>
      <c r="I90" t="s">
        <v>102</v>
      </c>
      <c r="J90" t="s">
        <v>15</v>
      </c>
      <c r="K90" t="s">
        <v>419</v>
      </c>
      <c r="L90" t="s">
        <v>89</v>
      </c>
      <c r="M90" t="s">
        <v>318</v>
      </c>
      <c r="N90" t="s">
        <v>420</v>
      </c>
      <c r="O90" t="s">
        <v>92</v>
      </c>
      <c r="P90" t="s">
        <v>394</v>
      </c>
      <c r="Q90" t="s">
        <v>78</v>
      </c>
      <c r="R90" t="s">
        <v>86</v>
      </c>
      <c r="S90" t="s">
        <v>421</v>
      </c>
      <c r="T90" t="s">
        <v>425</v>
      </c>
      <c r="U90" t="s">
        <v>95</v>
      </c>
      <c r="V90" t="s">
        <v>82</v>
      </c>
      <c r="W90" t="s">
        <v>96</v>
      </c>
      <c r="X90" t="s">
        <v>96</v>
      </c>
      <c r="Y90" t="s">
        <v>82</v>
      </c>
      <c r="Z90" t="s">
        <v>78</v>
      </c>
    </row>
    <row r="91" spans="1:26" x14ac:dyDescent="0.25">
      <c r="A91" t="s">
        <v>426</v>
      </c>
      <c r="B91" t="s">
        <v>427</v>
      </c>
      <c r="C91" s="4" t="s">
        <v>380</v>
      </c>
      <c r="D91" t="s">
        <v>381</v>
      </c>
      <c r="E91" t="s">
        <v>14</v>
      </c>
      <c r="F91" t="s">
        <v>143</v>
      </c>
      <c r="G91" t="s">
        <v>106</v>
      </c>
      <c r="H91" t="s">
        <v>78</v>
      </c>
      <c r="I91" t="s">
        <v>102</v>
      </c>
      <c r="J91" t="s">
        <v>353</v>
      </c>
      <c r="K91" t="s">
        <v>419</v>
      </c>
      <c r="L91" t="s">
        <v>89</v>
      </c>
      <c r="M91" t="s">
        <v>318</v>
      </c>
      <c r="N91" t="s">
        <v>420</v>
      </c>
      <c r="O91" t="s">
        <v>92</v>
      </c>
      <c r="P91" t="s">
        <v>394</v>
      </c>
      <c r="Q91" t="s">
        <v>78</v>
      </c>
      <c r="R91" t="s">
        <v>86</v>
      </c>
      <c r="S91" t="s">
        <v>421</v>
      </c>
      <c r="T91" t="s">
        <v>427</v>
      </c>
      <c r="U91" t="s">
        <v>95</v>
      </c>
      <c r="V91" t="s">
        <v>82</v>
      </c>
      <c r="W91" t="s">
        <v>96</v>
      </c>
      <c r="X91" t="s">
        <v>96</v>
      </c>
      <c r="Y91" t="s">
        <v>82</v>
      </c>
      <c r="Z91" t="s">
        <v>78</v>
      </c>
    </row>
    <row r="92" spans="1:26" x14ac:dyDescent="0.25">
      <c r="A92" t="s">
        <v>428</v>
      </c>
      <c r="B92" t="s">
        <v>429</v>
      </c>
      <c r="C92" s="4" t="s">
        <v>430</v>
      </c>
      <c r="D92" t="s">
        <v>381</v>
      </c>
      <c r="E92" t="s">
        <v>14</v>
      </c>
      <c r="F92" t="s">
        <v>78</v>
      </c>
      <c r="G92" t="s">
        <v>102</v>
      </c>
      <c r="H92" t="s">
        <v>78</v>
      </c>
      <c r="I92" t="s">
        <v>102</v>
      </c>
      <c r="J92" t="s">
        <v>17</v>
      </c>
      <c r="K92" t="s">
        <v>431</v>
      </c>
      <c r="L92" t="s">
        <v>89</v>
      </c>
      <c r="M92" t="s">
        <v>318</v>
      </c>
      <c r="N92" t="s">
        <v>383</v>
      </c>
      <c r="O92" t="s">
        <v>92</v>
      </c>
      <c r="P92" t="s">
        <v>432</v>
      </c>
      <c r="Q92" t="s">
        <v>78</v>
      </c>
      <c r="R92" t="s">
        <v>86</v>
      </c>
      <c r="S92" t="s">
        <v>385</v>
      </c>
      <c r="T92" t="s">
        <v>429</v>
      </c>
      <c r="U92" t="s">
        <v>322</v>
      </c>
      <c r="V92" t="s">
        <v>82</v>
      </c>
      <c r="W92" t="s">
        <v>433</v>
      </c>
      <c r="X92" t="s">
        <v>96</v>
      </c>
      <c r="Y92" t="s">
        <v>82</v>
      </c>
      <c r="Z92" t="s">
        <v>78</v>
      </c>
    </row>
    <row r="93" spans="1:26" x14ac:dyDescent="0.25">
      <c r="A93" t="s">
        <v>434</v>
      </c>
      <c r="B93" t="s">
        <v>435</v>
      </c>
      <c r="C93" s="4" t="s">
        <v>430</v>
      </c>
      <c r="D93" t="s">
        <v>381</v>
      </c>
      <c r="E93" t="s">
        <v>14</v>
      </c>
      <c r="F93" t="s">
        <v>78</v>
      </c>
      <c r="G93" t="s">
        <v>102</v>
      </c>
      <c r="H93" t="s">
        <v>78</v>
      </c>
      <c r="I93" t="s">
        <v>102</v>
      </c>
      <c r="J93" t="s">
        <v>30</v>
      </c>
      <c r="K93" t="s">
        <v>431</v>
      </c>
      <c r="L93" t="s">
        <v>89</v>
      </c>
      <c r="M93" t="s">
        <v>318</v>
      </c>
      <c r="N93" t="s">
        <v>383</v>
      </c>
      <c r="O93" t="s">
        <v>92</v>
      </c>
      <c r="P93" t="s">
        <v>436</v>
      </c>
      <c r="Q93" t="s">
        <v>78</v>
      </c>
      <c r="R93" t="s">
        <v>86</v>
      </c>
      <c r="S93" t="s">
        <v>385</v>
      </c>
      <c r="T93" t="s">
        <v>435</v>
      </c>
      <c r="U93" t="s">
        <v>322</v>
      </c>
      <c r="V93" t="s">
        <v>82</v>
      </c>
      <c r="W93" t="s">
        <v>433</v>
      </c>
      <c r="X93" t="s">
        <v>96</v>
      </c>
      <c r="Y93" t="s">
        <v>82</v>
      </c>
      <c r="Z93" t="s">
        <v>78</v>
      </c>
    </row>
    <row r="94" spans="1:26" x14ac:dyDescent="0.25">
      <c r="A94" t="s">
        <v>437</v>
      </c>
      <c r="B94" t="s">
        <v>438</v>
      </c>
      <c r="C94" s="4" t="s">
        <v>430</v>
      </c>
      <c r="D94" t="s">
        <v>381</v>
      </c>
      <c r="E94" t="s">
        <v>14</v>
      </c>
      <c r="F94" t="s">
        <v>78</v>
      </c>
      <c r="G94" t="s">
        <v>102</v>
      </c>
      <c r="H94" t="s">
        <v>78</v>
      </c>
      <c r="I94" t="s">
        <v>102</v>
      </c>
      <c r="J94" t="s">
        <v>15</v>
      </c>
      <c r="K94" t="s">
        <v>431</v>
      </c>
      <c r="L94" t="s">
        <v>89</v>
      </c>
      <c r="M94" t="s">
        <v>318</v>
      </c>
      <c r="N94" t="s">
        <v>383</v>
      </c>
      <c r="O94" t="s">
        <v>92</v>
      </c>
      <c r="P94" t="s">
        <v>439</v>
      </c>
      <c r="Q94" t="s">
        <v>78</v>
      </c>
      <c r="R94" t="s">
        <v>86</v>
      </c>
      <c r="S94" t="s">
        <v>385</v>
      </c>
      <c r="T94" t="s">
        <v>438</v>
      </c>
      <c r="U94" t="s">
        <v>322</v>
      </c>
      <c r="V94" t="s">
        <v>82</v>
      </c>
      <c r="W94" t="s">
        <v>433</v>
      </c>
      <c r="X94" t="s">
        <v>96</v>
      </c>
      <c r="Y94" t="s">
        <v>82</v>
      </c>
      <c r="Z94" t="s">
        <v>78</v>
      </c>
    </row>
    <row r="95" spans="1:26" x14ac:dyDescent="0.25">
      <c r="A95" t="s">
        <v>440</v>
      </c>
      <c r="B95" t="s">
        <v>441</v>
      </c>
      <c r="C95" s="4" t="s">
        <v>430</v>
      </c>
      <c r="D95" t="s">
        <v>381</v>
      </c>
      <c r="E95" t="s">
        <v>14</v>
      </c>
      <c r="F95" t="s">
        <v>78</v>
      </c>
      <c r="G95" t="s">
        <v>102</v>
      </c>
      <c r="H95" t="s">
        <v>78</v>
      </c>
      <c r="I95" t="s">
        <v>102</v>
      </c>
      <c r="J95" t="s">
        <v>353</v>
      </c>
      <c r="K95" t="s">
        <v>431</v>
      </c>
      <c r="L95" t="s">
        <v>89</v>
      </c>
      <c r="M95" t="s">
        <v>318</v>
      </c>
      <c r="N95" t="s">
        <v>383</v>
      </c>
      <c r="O95" t="s">
        <v>92</v>
      </c>
      <c r="P95" t="s">
        <v>442</v>
      </c>
      <c r="Q95" t="s">
        <v>78</v>
      </c>
      <c r="R95" t="s">
        <v>86</v>
      </c>
      <c r="S95" t="s">
        <v>385</v>
      </c>
      <c r="T95" t="s">
        <v>441</v>
      </c>
      <c r="U95" t="s">
        <v>322</v>
      </c>
      <c r="V95" t="s">
        <v>82</v>
      </c>
      <c r="W95" t="s">
        <v>433</v>
      </c>
      <c r="X95" t="s">
        <v>96</v>
      </c>
      <c r="Y95" t="s">
        <v>82</v>
      </c>
      <c r="Z95" t="s">
        <v>78</v>
      </c>
    </row>
    <row r="96" spans="1:26" x14ac:dyDescent="0.25">
      <c r="A96" t="s">
        <v>443</v>
      </c>
      <c r="B96" t="s">
        <v>444</v>
      </c>
      <c r="C96" s="4" t="s">
        <v>430</v>
      </c>
      <c r="D96" t="s">
        <v>381</v>
      </c>
      <c r="E96" t="s">
        <v>14</v>
      </c>
      <c r="F96" t="s">
        <v>111</v>
      </c>
      <c r="G96" t="s">
        <v>124</v>
      </c>
      <c r="H96" t="s">
        <v>78</v>
      </c>
      <c r="I96" t="s">
        <v>102</v>
      </c>
      <c r="J96" t="s">
        <v>17</v>
      </c>
      <c r="K96" t="s">
        <v>445</v>
      </c>
      <c r="L96" t="s">
        <v>89</v>
      </c>
      <c r="M96" t="s">
        <v>318</v>
      </c>
      <c r="N96" t="s">
        <v>398</v>
      </c>
      <c r="O96" t="s">
        <v>92</v>
      </c>
      <c r="P96" t="s">
        <v>446</v>
      </c>
      <c r="Q96" t="s">
        <v>78</v>
      </c>
      <c r="R96" t="s">
        <v>86</v>
      </c>
      <c r="S96" t="s">
        <v>447</v>
      </c>
      <c r="T96" t="s">
        <v>444</v>
      </c>
      <c r="U96" t="s">
        <v>322</v>
      </c>
      <c r="V96" t="s">
        <v>82</v>
      </c>
      <c r="W96" t="s">
        <v>448</v>
      </c>
      <c r="X96" t="s">
        <v>96</v>
      </c>
      <c r="Y96" t="s">
        <v>82</v>
      </c>
      <c r="Z96" t="s">
        <v>78</v>
      </c>
    </row>
    <row r="97" spans="1:26" x14ac:dyDescent="0.25">
      <c r="A97" t="s">
        <v>449</v>
      </c>
      <c r="B97" t="s">
        <v>450</v>
      </c>
      <c r="C97" s="4" t="s">
        <v>430</v>
      </c>
      <c r="D97" t="s">
        <v>381</v>
      </c>
      <c r="E97" t="s">
        <v>14</v>
      </c>
      <c r="F97" t="s">
        <v>111</v>
      </c>
      <c r="G97" t="s">
        <v>124</v>
      </c>
      <c r="H97" t="s">
        <v>78</v>
      </c>
      <c r="I97" t="s">
        <v>102</v>
      </c>
      <c r="J97" t="s">
        <v>30</v>
      </c>
      <c r="K97" t="s">
        <v>445</v>
      </c>
      <c r="L97" t="s">
        <v>89</v>
      </c>
      <c r="M97" t="s">
        <v>318</v>
      </c>
      <c r="N97" t="s">
        <v>398</v>
      </c>
      <c r="O97" t="s">
        <v>92</v>
      </c>
      <c r="P97" t="s">
        <v>451</v>
      </c>
      <c r="Q97" t="s">
        <v>78</v>
      </c>
      <c r="R97" t="s">
        <v>86</v>
      </c>
      <c r="S97" t="s">
        <v>447</v>
      </c>
      <c r="T97" t="s">
        <v>450</v>
      </c>
      <c r="U97" t="s">
        <v>322</v>
      </c>
      <c r="V97" t="s">
        <v>82</v>
      </c>
      <c r="W97" t="s">
        <v>448</v>
      </c>
      <c r="X97" t="s">
        <v>96</v>
      </c>
      <c r="Y97" t="s">
        <v>82</v>
      </c>
      <c r="Z97" t="s">
        <v>78</v>
      </c>
    </row>
    <row r="98" spans="1:26" x14ac:dyDescent="0.25">
      <c r="A98" t="s">
        <v>452</v>
      </c>
      <c r="B98" t="s">
        <v>453</v>
      </c>
      <c r="C98" s="4" t="s">
        <v>430</v>
      </c>
      <c r="D98" t="s">
        <v>381</v>
      </c>
      <c r="E98" t="s">
        <v>14</v>
      </c>
      <c r="F98" t="s">
        <v>111</v>
      </c>
      <c r="G98" t="s">
        <v>124</v>
      </c>
      <c r="H98" t="s">
        <v>78</v>
      </c>
      <c r="I98" t="s">
        <v>102</v>
      </c>
      <c r="J98" t="s">
        <v>15</v>
      </c>
      <c r="K98" t="s">
        <v>445</v>
      </c>
      <c r="L98" t="s">
        <v>89</v>
      </c>
      <c r="M98" t="s">
        <v>318</v>
      </c>
      <c r="N98" t="s">
        <v>398</v>
      </c>
      <c r="O98" t="s">
        <v>92</v>
      </c>
      <c r="P98" t="s">
        <v>454</v>
      </c>
      <c r="Q98" t="s">
        <v>78</v>
      </c>
      <c r="R98" t="s">
        <v>86</v>
      </c>
      <c r="S98" t="s">
        <v>447</v>
      </c>
      <c r="T98" t="s">
        <v>453</v>
      </c>
      <c r="U98" t="s">
        <v>322</v>
      </c>
      <c r="V98" t="s">
        <v>82</v>
      </c>
      <c r="W98" t="s">
        <v>448</v>
      </c>
      <c r="X98" t="s">
        <v>96</v>
      </c>
      <c r="Y98" t="s">
        <v>82</v>
      </c>
      <c r="Z98" t="s">
        <v>78</v>
      </c>
    </row>
    <row r="99" spans="1:26" x14ac:dyDescent="0.25">
      <c r="A99" t="s">
        <v>455</v>
      </c>
      <c r="B99" t="s">
        <v>456</v>
      </c>
      <c r="C99" s="4" t="s">
        <v>430</v>
      </c>
      <c r="D99" t="s">
        <v>381</v>
      </c>
      <c r="E99" t="s">
        <v>14</v>
      </c>
      <c r="F99" t="s">
        <v>111</v>
      </c>
      <c r="G99" t="s">
        <v>124</v>
      </c>
      <c r="H99" t="s">
        <v>78</v>
      </c>
      <c r="I99" t="s">
        <v>102</v>
      </c>
      <c r="J99" t="s">
        <v>353</v>
      </c>
      <c r="K99" t="s">
        <v>445</v>
      </c>
      <c r="L99" t="s">
        <v>89</v>
      </c>
      <c r="M99" t="s">
        <v>318</v>
      </c>
      <c r="N99" t="s">
        <v>398</v>
      </c>
      <c r="O99" t="s">
        <v>92</v>
      </c>
      <c r="P99" t="s">
        <v>457</v>
      </c>
      <c r="Q99" t="s">
        <v>78</v>
      </c>
      <c r="R99" t="s">
        <v>86</v>
      </c>
      <c r="S99" t="s">
        <v>447</v>
      </c>
      <c r="T99" t="s">
        <v>456</v>
      </c>
      <c r="U99" t="s">
        <v>322</v>
      </c>
      <c r="V99" t="s">
        <v>82</v>
      </c>
      <c r="W99" t="s">
        <v>448</v>
      </c>
      <c r="X99" t="s">
        <v>96</v>
      </c>
      <c r="Y99" t="s">
        <v>82</v>
      </c>
      <c r="Z99" t="s">
        <v>78</v>
      </c>
    </row>
    <row r="100" spans="1:26" x14ac:dyDescent="0.25">
      <c r="A100" t="s">
        <v>458</v>
      </c>
      <c r="B100" t="s">
        <v>459</v>
      </c>
      <c r="C100" s="4" t="s">
        <v>430</v>
      </c>
      <c r="D100" t="s">
        <v>381</v>
      </c>
      <c r="E100" t="s">
        <v>14</v>
      </c>
      <c r="F100" t="s">
        <v>128</v>
      </c>
      <c r="G100" t="s">
        <v>105</v>
      </c>
      <c r="H100" t="s">
        <v>78</v>
      </c>
      <c r="I100" t="s">
        <v>102</v>
      </c>
      <c r="J100" t="s">
        <v>17</v>
      </c>
      <c r="K100" t="s">
        <v>460</v>
      </c>
      <c r="L100" t="s">
        <v>89</v>
      </c>
      <c r="M100" t="s">
        <v>318</v>
      </c>
      <c r="N100" t="s">
        <v>409</v>
      </c>
      <c r="O100" t="s">
        <v>92</v>
      </c>
      <c r="P100" t="s">
        <v>461</v>
      </c>
      <c r="Q100" t="s">
        <v>78</v>
      </c>
      <c r="R100" t="s">
        <v>86</v>
      </c>
      <c r="S100" t="s">
        <v>462</v>
      </c>
      <c r="T100" t="s">
        <v>459</v>
      </c>
      <c r="U100" t="s">
        <v>322</v>
      </c>
      <c r="V100" t="s">
        <v>82</v>
      </c>
      <c r="W100" t="s">
        <v>463</v>
      </c>
      <c r="X100" t="s">
        <v>96</v>
      </c>
      <c r="Y100" t="s">
        <v>82</v>
      </c>
      <c r="Z100" t="s">
        <v>78</v>
      </c>
    </row>
    <row r="101" spans="1:26" x14ac:dyDescent="0.25">
      <c r="A101" t="s">
        <v>464</v>
      </c>
      <c r="B101" t="s">
        <v>465</v>
      </c>
      <c r="C101" s="4" t="s">
        <v>430</v>
      </c>
      <c r="D101" t="s">
        <v>381</v>
      </c>
      <c r="E101" t="s">
        <v>14</v>
      </c>
      <c r="F101" t="s">
        <v>128</v>
      </c>
      <c r="G101" t="s">
        <v>105</v>
      </c>
      <c r="H101" t="s">
        <v>78</v>
      </c>
      <c r="I101" t="s">
        <v>102</v>
      </c>
      <c r="J101" t="s">
        <v>30</v>
      </c>
      <c r="K101" t="s">
        <v>460</v>
      </c>
      <c r="L101" t="s">
        <v>89</v>
      </c>
      <c r="M101" t="s">
        <v>318</v>
      </c>
      <c r="N101" t="s">
        <v>409</v>
      </c>
      <c r="O101" t="s">
        <v>92</v>
      </c>
      <c r="P101" t="s">
        <v>466</v>
      </c>
      <c r="Q101" t="s">
        <v>78</v>
      </c>
      <c r="R101" t="s">
        <v>86</v>
      </c>
      <c r="S101" t="s">
        <v>462</v>
      </c>
      <c r="T101" t="s">
        <v>465</v>
      </c>
      <c r="U101" t="s">
        <v>322</v>
      </c>
      <c r="V101" t="s">
        <v>82</v>
      </c>
      <c r="W101" t="s">
        <v>463</v>
      </c>
      <c r="X101" t="s">
        <v>96</v>
      </c>
      <c r="Y101" t="s">
        <v>82</v>
      </c>
      <c r="Z101" t="s">
        <v>78</v>
      </c>
    </row>
    <row r="102" spans="1:26" x14ac:dyDescent="0.25">
      <c r="A102" t="s">
        <v>467</v>
      </c>
      <c r="B102" t="s">
        <v>468</v>
      </c>
      <c r="C102" s="4" t="s">
        <v>430</v>
      </c>
      <c r="D102" t="s">
        <v>381</v>
      </c>
      <c r="E102" t="s">
        <v>14</v>
      </c>
      <c r="F102" t="s">
        <v>128</v>
      </c>
      <c r="G102" t="s">
        <v>105</v>
      </c>
      <c r="H102" t="s">
        <v>78</v>
      </c>
      <c r="I102" t="s">
        <v>102</v>
      </c>
      <c r="J102" t="s">
        <v>15</v>
      </c>
      <c r="K102" t="s">
        <v>460</v>
      </c>
      <c r="L102" t="s">
        <v>89</v>
      </c>
      <c r="M102" t="s">
        <v>318</v>
      </c>
      <c r="N102" t="s">
        <v>409</v>
      </c>
      <c r="O102" t="s">
        <v>92</v>
      </c>
      <c r="P102" t="s">
        <v>469</v>
      </c>
      <c r="Q102" t="s">
        <v>78</v>
      </c>
      <c r="R102" t="s">
        <v>86</v>
      </c>
      <c r="S102" t="s">
        <v>462</v>
      </c>
      <c r="T102" t="s">
        <v>468</v>
      </c>
      <c r="U102" t="s">
        <v>322</v>
      </c>
      <c r="V102" t="s">
        <v>82</v>
      </c>
      <c r="W102" t="s">
        <v>463</v>
      </c>
      <c r="X102" t="s">
        <v>96</v>
      </c>
      <c r="Y102" t="s">
        <v>82</v>
      </c>
      <c r="Z102" t="s">
        <v>78</v>
      </c>
    </row>
    <row r="103" spans="1:26" x14ac:dyDescent="0.25">
      <c r="A103" t="s">
        <v>470</v>
      </c>
      <c r="B103" t="s">
        <v>471</v>
      </c>
      <c r="C103" s="4" t="s">
        <v>430</v>
      </c>
      <c r="D103" t="s">
        <v>381</v>
      </c>
      <c r="E103" t="s">
        <v>14</v>
      </c>
      <c r="F103" t="s">
        <v>128</v>
      </c>
      <c r="G103" t="s">
        <v>105</v>
      </c>
      <c r="H103" t="s">
        <v>78</v>
      </c>
      <c r="I103" t="s">
        <v>102</v>
      </c>
      <c r="J103" t="s">
        <v>353</v>
      </c>
      <c r="K103" t="s">
        <v>460</v>
      </c>
      <c r="L103" t="s">
        <v>89</v>
      </c>
      <c r="M103" t="s">
        <v>318</v>
      </c>
      <c r="N103" t="s">
        <v>409</v>
      </c>
      <c r="O103" t="s">
        <v>92</v>
      </c>
      <c r="P103" t="s">
        <v>472</v>
      </c>
      <c r="Q103" t="s">
        <v>78</v>
      </c>
      <c r="R103" t="s">
        <v>86</v>
      </c>
      <c r="S103" t="s">
        <v>462</v>
      </c>
      <c r="T103" t="s">
        <v>471</v>
      </c>
      <c r="U103" t="s">
        <v>322</v>
      </c>
      <c r="V103" t="s">
        <v>82</v>
      </c>
      <c r="W103" t="s">
        <v>463</v>
      </c>
      <c r="X103" t="s">
        <v>96</v>
      </c>
      <c r="Y103" t="s">
        <v>82</v>
      </c>
      <c r="Z103" t="s">
        <v>78</v>
      </c>
    </row>
    <row r="104" spans="1:26" x14ac:dyDescent="0.25">
      <c r="A104" t="s">
        <v>473</v>
      </c>
      <c r="B104" t="s">
        <v>474</v>
      </c>
      <c r="C104" s="4" t="s">
        <v>430</v>
      </c>
      <c r="D104" t="s">
        <v>381</v>
      </c>
      <c r="E104" t="s">
        <v>14</v>
      </c>
      <c r="F104" t="s">
        <v>143</v>
      </c>
      <c r="G104" t="s">
        <v>106</v>
      </c>
      <c r="H104" t="s">
        <v>78</v>
      </c>
      <c r="I104" t="s">
        <v>102</v>
      </c>
      <c r="J104" t="s">
        <v>17</v>
      </c>
      <c r="K104" t="s">
        <v>475</v>
      </c>
      <c r="L104" t="s">
        <v>89</v>
      </c>
      <c r="M104" t="s">
        <v>318</v>
      </c>
      <c r="N104" t="s">
        <v>420</v>
      </c>
      <c r="O104" t="s">
        <v>92</v>
      </c>
      <c r="P104" t="s">
        <v>476</v>
      </c>
      <c r="Q104" t="s">
        <v>78</v>
      </c>
      <c r="R104" t="s">
        <v>86</v>
      </c>
      <c r="S104" t="s">
        <v>477</v>
      </c>
      <c r="T104" t="s">
        <v>474</v>
      </c>
      <c r="U104" t="s">
        <v>322</v>
      </c>
      <c r="V104" t="s">
        <v>82</v>
      </c>
      <c r="W104" t="s">
        <v>478</v>
      </c>
      <c r="X104" t="s">
        <v>96</v>
      </c>
      <c r="Y104" t="s">
        <v>82</v>
      </c>
      <c r="Z104" t="s">
        <v>78</v>
      </c>
    </row>
    <row r="105" spans="1:26" x14ac:dyDescent="0.25">
      <c r="A105" t="s">
        <v>479</v>
      </c>
      <c r="B105" t="s">
        <v>480</v>
      </c>
      <c r="C105" s="4" t="s">
        <v>430</v>
      </c>
      <c r="D105" t="s">
        <v>381</v>
      </c>
      <c r="E105" t="s">
        <v>14</v>
      </c>
      <c r="F105" t="s">
        <v>143</v>
      </c>
      <c r="G105" t="s">
        <v>106</v>
      </c>
      <c r="H105" t="s">
        <v>78</v>
      </c>
      <c r="I105" t="s">
        <v>102</v>
      </c>
      <c r="J105" t="s">
        <v>30</v>
      </c>
      <c r="K105" t="s">
        <v>475</v>
      </c>
      <c r="L105" t="s">
        <v>89</v>
      </c>
      <c r="M105" t="s">
        <v>318</v>
      </c>
      <c r="N105" t="s">
        <v>420</v>
      </c>
      <c r="O105" t="s">
        <v>92</v>
      </c>
      <c r="P105" t="s">
        <v>481</v>
      </c>
      <c r="Q105" t="s">
        <v>78</v>
      </c>
      <c r="R105" t="s">
        <v>86</v>
      </c>
      <c r="S105" t="s">
        <v>477</v>
      </c>
      <c r="T105" t="s">
        <v>480</v>
      </c>
      <c r="U105" t="s">
        <v>322</v>
      </c>
      <c r="V105" t="s">
        <v>82</v>
      </c>
      <c r="W105" t="s">
        <v>478</v>
      </c>
      <c r="X105" t="s">
        <v>96</v>
      </c>
      <c r="Y105" t="s">
        <v>82</v>
      </c>
      <c r="Z105" t="s">
        <v>78</v>
      </c>
    </row>
    <row r="106" spans="1:26" x14ac:dyDescent="0.25">
      <c r="A106" t="s">
        <v>482</v>
      </c>
      <c r="B106" t="s">
        <v>483</v>
      </c>
      <c r="C106" s="4" t="s">
        <v>430</v>
      </c>
      <c r="D106" t="s">
        <v>381</v>
      </c>
      <c r="E106" t="s">
        <v>14</v>
      </c>
      <c r="F106" t="s">
        <v>143</v>
      </c>
      <c r="G106" t="s">
        <v>106</v>
      </c>
      <c r="H106" t="s">
        <v>78</v>
      </c>
      <c r="I106" t="s">
        <v>102</v>
      </c>
      <c r="J106" t="s">
        <v>15</v>
      </c>
      <c r="K106" t="s">
        <v>475</v>
      </c>
      <c r="L106" t="s">
        <v>89</v>
      </c>
      <c r="M106" t="s">
        <v>318</v>
      </c>
      <c r="N106" t="s">
        <v>420</v>
      </c>
      <c r="O106" t="s">
        <v>92</v>
      </c>
      <c r="P106" t="s">
        <v>484</v>
      </c>
      <c r="Q106" t="s">
        <v>78</v>
      </c>
      <c r="R106" t="s">
        <v>86</v>
      </c>
      <c r="S106" t="s">
        <v>477</v>
      </c>
      <c r="T106" t="s">
        <v>483</v>
      </c>
      <c r="U106" t="s">
        <v>322</v>
      </c>
      <c r="V106" t="s">
        <v>82</v>
      </c>
      <c r="W106" t="s">
        <v>478</v>
      </c>
      <c r="X106" t="s">
        <v>96</v>
      </c>
      <c r="Y106" t="s">
        <v>82</v>
      </c>
      <c r="Z106" t="s">
        <v>78</v>
      </c>
    </row>
    <row r="107" spans="1:26" x14ac:dyDescent="0.25">
      <c r="A107" t="s">
        <v>485</v>
      </c>
      <c r="B107" t="s">
        <v>486</v>
      </c>
      <c r="C107" s="4" t="s">
        <v>430</v>
      </c>
      <c r="D107" t="s">
        <v>381</v>
      </c>
      <c r="E107" t="s">
        <v>14</v>
      </c>
      <c r="F107" t="s">
        <v>143</v>
      </c>
      <c r="G107" t="s">
        <v>106</v>
      </c>
      <c r="H107" t="s">
        <v>78</v>
      </c>
      <c r="I107" t="s">
        <v>102</v>
      </c>
      <c r="J107" t="s">
        <v>353</v>
      </c>
      <c r="K107" t="s">
        <v>475</v>
      </c>
      <c r="L107" t="s">
        <v>89</v>
      </c>
      <c r="M107" t="s">
        <v>318</v>
      </c>
      <c r="N107" t="s">
        <v>420</v>
      </c>
      <c r="O107" t="s">
        <v>92</v>
      </c>
      <c r="P107" t="s">
        <v>487</v>
      </c>
      <c r="Q107" t="s">
        <v>78</v>
      </c>
      <c r="R107" t="s">
        <v>86</v>
      </c>
      <c r="S107" t="s">
        <v>477</v>
      </c>
      <c r="T107" t="s">
        <v>486</v>
      </c>
      <c r="U107" t="s">
        <v>322</v>
      </c>
      <c r="V107" t="s">
        <v>82</v>
      </c>
      <c r="W107" t="s">
        <v>478</v>
      </c>
      <c r="X107" t="s">
        <v>96</v>
      </c>
      <c r="Y107" t="s">
        <v>82</v>
      </c>
      <c r="Z107" t="s">
        <v>78</v>
      </c>
    </row>
    <row r="108" spans="1:26" x14ac:dyDescent="0.25">
      <c r="A108" t="s">
        <v>488</v>
      </c>
      <c r="B108" t="s">
        <v>489</v>
      </c>
      <c r="C108" s="4" t="s">
        <v>490</v>
      </c>
      <c r="D108" t="s">
        <v>491</v>
      </c>
      <c r="E108" t="s">
        <v>14</v>
      </c>
      <c r="F108" t="s">
        <v>111</v>
      </c>
      <c r="G108" t="s">
        <v>124</v>
      </c>
      <c r="H108" t="s">
        <v>78</v>
      </c>
      <c r="I108" t="s">
        <v>102</v>
      </c>
      <c r="J108" t="s">
        <v>17</v>
      </c>
      <c r="K108" t="s">
        <v>492</v>
      </c>
      <c r="L108" t="s">
        <v>89</v>
      </c>
      <c r="M108" t="s">
        <v>493</v>
      </c>
      <c r="N108" t="s">
        <v>494</v>
      </c>
      <c r="O108" t="s">
        <v>92</v>
      </c>
      <c r="P108" t="s">
        <v>495</v>
      </c>
      <c r="Q108" t="s">
        <v>78</v>
      </c>
      <c r="R108" t="s">
        <v>102</v>
      </c>
      <c r="S108" t="s">
        <v>496</v>
      </c>
      <c r="T108" t="s">
        <v>489</v>
      </c>
      <c r="U108" t="s">
        <v>322</v>
      </c>
      <c r="V108" t="s">
        <v>82</v>
      </c>
      <c r="W108" t="s">
        <v>96</v>
      </c>
      <c r="X108" t="s">
        <v>96</v>
      </c>
      <c r="Y108" t="s">
        <v>82</v>
      </c>
      <c r="Z108" t="s">
        <v>78</v>
      </c>
    </row>
    <row r="109" spans="1:26" x14ac:dyDescent="0.25">
      <c r="A109" t="s">
        <v>497</v>
      </c>
      <c r="B109" t="s">
        <v>498</v>
      </c>
      <c r="C109" s="4" t="s">
        <v>490</v>
      </c>
      <c r="D109" t="s">
        <v>491</v>
      </c>
      <c r="E109" t="s">
        <v>14</v>
      </c>
      <c r="F109" t="s">
        <v>111</v>
      </c>
      <c r="G109" t="s">
        <v>124</v>
      </c>
      <c r="H109" t="s">
        <v>78</v>
      </c>
      <c r="I109" t="s">
        <v>102</v>
      </c>
      <c r="J109" t="s">
        <v>15</v>
      </c>
      <c r="K109" t="s">
        <v>492</v>
      </c>
      <c r="L109" t="s">
        <v>89</v>
      </c>
      <c r="M109" t="s">
        <v>493</v>
      </c>
      <c r="N109" t="s">
        <v>494</v>
      </c>
      <c r="O109" t="s">
        <v>92</v>
      </c>
      <c r="P109" t="s">
        <v>499</v>
      </c>
      <c r="Q109" t="s">
        <v>78</v>
      </c>
      <c r="R109" t="s">
        <v>102</v>
      </c>
      <c r="S109" t="s">
        <v>496</v>
      </c>
      <c r="T109" t="s">
        <v>498</v>
      </c>
      <c r="U109" t="s">
        <v>322</v>
      </c>
      <c r="V109" t="s">
        <v>82</v>
      </c>
      <c r="W109" t="s">
        <v>96</v>
      </c>
      <c r="X109" t="s">
        <v>96</v>
      </c>
      <c r="Y109" t="s">
        <v>82</v>
      </c>
      <c r="Z109" t="s">
        <v>78</v>
      </c>
    </row>
    <row r="110" spans="1:26" x14ac:dyDescent="0.25">
      <c r="A110" t="s">
        <v>500</v>
      </c>
      <c r="B110" t="s">
        <v>501</v>
      </c>
      <c r="C110" s="4" t="s">
        <v>490</v>
      </c>
      <c r="D110" t="s">
        <v>491</v>
      </c>
      <c r="E110" t="s">
        <v>14</v>
      </c>
      <c r="F110" t="s">
        <v>111</v>
      </c>
      <c r="G110" t="s">
        <v>124</v>
      </c>
      <c r="H110" t="s">
        <v>78</v>
      </c>
      <c r="I110" t="s">
        <v>102</v>
      </c>
      <c r="J110" t="s">
        <v>353</v>
      </c>
      <c r="K110" t="s">
        <v>492</v>
      </c>
      <c r="L110" t="s">
        <v>89</v>
      </c>
      <c r="M110" t="s">
        <v>493</v>
      </c>
      <c r="N110" t="s">
        <v>494</v>
      </c>
      <c r="O110" t="s">
        <v>92</v>
      </c>
      <c r="P110" t="s">
        <v>502</v>
      </c>
      <c r="Q110" t="s">
        <v>78</v>
      </c>
      <c r="R110" t="s">
        <v>102</v>
      </c>
      <c r="S110" t="s">
        <v>496</v>
      </c>
      <c r="T110" t="s">
        <v>501</v>
      </c>
      <c r="U110" t="s">
        <v>322</v>
      </c>
      <c r="V110" t="s">
        <v>82</v>
      </c>
      <c r="W110" t="s">
        <v>96</v>
      </c>
      <c r="X110" t="s">
        <v>96</v>
      </c>
      <c r="Y110" t="s">
        <v>82</v>
      </c>
      <c r="Z110" t="s">
        <v>78</v>
      </c>
    </row>
    <row r="111" spans="1:26" x14ac:dyDescent="0.25">
      <c r="A111" t="s">
        <v>503</v>
      </c>
      <c r="B111" t="s">
        <v>504</v>
      </c>
      <c r="C111" s="4" t="s">
        <v>490</v>
      </c>
      <c r="D111" t="s">
        <v>491</v>
      </c>
      <c r="E111" t="s">
        <v>14</v>
      </c>
      <c r="F111" t="s">
        <v>128</v>
      </c>
      <c r="G111" t="s">
        <v>105</v>
      </c>
      <c r="H111" t="s">
        <v>78</v>
      </c>
      <c r="I111" t="s">
        <v>102</v>
      </c>
      <c r="J111" t="s">
        <v>17</v>
      </c>
      <c r="K111" t="s">
        <v>505</v>
      </c>
      <c r="L111" t="s">
        <v>89</v>
      </c>
      <c r="M111" t="s">
        <v>493</v>
      </c>
      <c r="N111" t="s">
        <v>506</v>
      </c>
      <c r="O111" t="s">
        <v>92</v>
      </c>
      <c r="P111" t="s">
        <v>507</v>
      </c>
      <c r="Q111" t="s">
        <v>78</v>
      </c>
      <c r="R111" t="s">
        <v>102</v>
      </c>
      <c r="S111" t="s">
        <v>508</v>
      </c>
      <c r="T111" t="s">
        <v>504</v>
      </c>
      <c r="U111" t="s">
        <v>322</v>
      </c>
      <c r="V111" t="s">
        <v>82</v>
      </c>
      <c r="W111" t="s">
        <v>96</v>
      </c>
      <c r="X111" t="s">
        <v>96</v>
      </c>
      <c r="Y111" t="s">
        <v>82</v>
      </c>
      <c r="Z111" t="s">
        <v>78</v>
      </c>
    </row>
    <row r="112" spans="1:26" x14ac:dyDescent="0.25">
      <c r="A112" t="s">
        <v>509</v>
      </c>
      <c r="B112" t="s">
        <v>510</v>
      </c>
      <c r="C112" s="4" t="s">
        <v>490</v>
      </c>
      <c r="D112" t="s">
        <v>491</v>
      </c>
      <c r="E112" t="s">
        <v>14</v>
      </c>
      <c r="F112" t="s">
        <v>128</v>
      </c>
      <c r="G112" t="s">
        <v>105</v>
      </c>
      <c r="H112" t="s">
        <v>78</v>
      </c>
      <c r="I112" t="s">
        <v>102</v>
      </c>
      <c r="J112" t="s">
        <v>15</v>
      </c>
      <c r="K112" t="s">
        <v>505</v>
      </c>
      <c r="L112" t="s">
        <v>89</v>
      </c>
      <c r="M112" t="s">
        <v>493</v>
      </c>
      <c r="N112" t="s">
        <v>506</v>
      </c>
      <c r="O112" t="s">
        <v>92</v>
      </c>
      <c r="P112" t="s">
        <v>511</v>
      </c>
      <c r="Q112" t="s">
        <v>78</v>
      </c>
      <c r="R112" t="s">
        <v>102</v>
      </c>
      <c r="S112" t="s">
        <v>508</v>
      </c>
      <c r="T112" t="s">
        <v>510</v>
      </c>
      <c r="U112" t="s">
        <v>322</v>
      </c>
      <c r="V112" t="s">
        <v>82</v>
      </c>
      <c r="W112" t="s">
        <v>96</v>
      </c>
      <c r="X112" t="s">
        <v>96</v>
      </c>
      <c r="Y112" t="s">
        <v>82</v>
      </c>
      <c r="Z112" t="s">
        <v>78</v>
      </c>
    </row>
    <row r="113" spans="1:26" x14ac:dyDescent="0.25">
      <c r="A113" t="s">
        <v>512</v>
      </c>
      <c r="B113" t="s">
        <v>513</v>
      </c>
      <c r="C113" s="4" t="s">
        <v>490</v>
      </c>
      <c r="D113" t="s">
        <v>491</v>
      </c>
      <c r="E113" t="s">
        <v>14</v>
      </c>
      <c r="F113" t="s">
        <v>128</v>
      </c>
      <c r="G113" t="s">
        <v>105</v>
      </c>
      <c r="H113" t="s">
        <v>78</v>
      </c>
      <c r="I113" t="s">
        <v>102</v>
      </c>
      <c r="J113" t="s">
        <v>353</v>
      </c>
      <c r="K113" t="s">
        <v>505</v>
      </c>
      <c r="L113" t="s">
        <v>89</v>
      </c>
      <c r="M113" t="s">
        <v>493</v>
      </c>
      <c r="N113" t="s">
        <v>506</v>
      </c>
      <c r="O113" t="s">
        <v>92</v>
      </c>
      <c r="P113" t="s">
        <v>514</v>
      </c>
      <c r="Q113" t="s">
        <v>78</v>
      </c>
      <c r="R113" t="s">
        <v>102</v>
      </c>
      <c r="S113" t="s">
        <v>508</v>
      </c>
      <c r="T113" t="s">
        <v>513</v>
      </c>
      <c r="U113" t="s">
        <v>322</v>
      </c>
      <c r="V113" t="s">
        <v>82</v>
      </c>
      <c r="W113" t="s">
        <v>96</v>
      </c>
      <c r="X113" t="s">
        <v>96</v>
      </c>
      <c r="Y113" t="s">
        <v>82</v>
      </c>
      <c r="Z113" t="s">
        <v>78</v>
      </c>
    </row>
    <row r="114" spans="1:26" x14ac:dyDescent="0.25">
      <c r="A114" t="s">
        <v>515</v>
      </c>
      <c r="B114" t="s">
        <v>516</v>
      </c>
      <c r="C114" s="4" t="s">
        <v>490</v>
      </c>
      <c r="D114" t="s">
        <v>491</v>
      </c>
      <c r="E114" t="s">
        <v>14</v>
      </c>
      <c r="F114" t="s">
        <v>143</v>
      </c>
      <c r="G114" t="s">
        <v>106</v>
      </c>
      <c r="H114" t="s">
        <v>78</v>
      </c>
      <c r="I114" t="s">
        <v>102</v>
      </c>
      <c r="J114" t="s">
        <v>17</v>
      </c>
      <c r="K114" t="s">
        <v>517</v>
      </c>
      <c r="L114" t="s">
        <v>89</v>
      </c>
      <c r="M114" t="s">
        <v>493</v>
      </c>
      <c r="N114" t="s">
        <v>518</v>
      </c>
      <c r="O114" t="s">
        <v>92</v>
      </c>
      <c r="P114" t="s">
        <v>519</v>
      </c>
      <c r="Q114" t="s">
        <v>78</v>
      </c>
      <c r="R114" t="s">
        <v>102</v>
      </c>
      <c r="S114" t="s">
        <v>520</v>
      </c>
      <c r="T114" t="s">
        <v>516</v>
      </c>
      <c r="U114" t="s">
        <v>322</v>
      </c>
      <c r="V114" t="s">
        <v>82</v>
      </c>
      <c r="W114" t="s">
        <v>96</v>
      </c>
      <c r="X114" t="s">
        <v>96</v>
      </c>
      <c r="Y114" t="s">
        <v>82</v>
      </c>
      <c r="Z114" t="s">
        <v>78</v>
      </c>
    </row>
    <row r="115" spans="1:26" x14ac:dyDescent="0.25">
      <c r="A115" t="s">
        <v>521</v>
      </c>
      <c r="B115" t="s">
        <v>522</v>
      </c>
      <c r="C115" s="4" t="s">
        <v>490</v>
      </c>
      <c r="D115" t="s">
        <v>491</v>
      </c>
      <c r="E115" t="s">
        <v>14</v>
      </c>
      <c r="F115" t="s">
        <v>143</v>
      </c>
      <c r="G115" t="s">
        <v>106</v>
      </c>
      <c r="H115" t="s">
        <v>78</v>
      </c>
      <c r="I115" t="s">
        <v>102</v>
      </c>
      <c r="J115" t="s">
        <v>15</v>
      </c>
      <c r="K115" t="s">
        <v>517</v>
      </c>
      <c r="L115" t="s">
        <v>89</v>
      </c>
      <c r="M115" t="s">
        <v>493</v>
      </c>
      <c r="N115" t="s">
        <v>518</v>
      </c>
      <c r="O115" t="s">
        <v>92</v>
      </c>
      <c r="P115" t="s">
        <v>523</v>
      </c>
      <c r="Q115" t="s">
        <v>78</v>
      </c>
      <c r="R115" t="s">
        <v>102</v>
      </c>
      <c r="S115" t="s">
        <v>520</v>
      </c>
      <c r="T115" t="s">
        <v>522</v>
      </c>
      <c r="U115" t="s">
        <v>322</v>
      </c>
      <c r="V115" t="s">
        <v>82</v>
      </c>
      <c r="W115" t="s">
        <v>96</v>
      </c>
      <c r="X115" t="s">
        <v>96</v>
      </c>
      <c r="Y115" t="s">
        <v>82</v>
      </c>
      <c r="Z115" t="s">
        <v>78</v>
      </c>
    </row>
    <row r="116" spans="1:26" x14ac:dyDescent="0.25">
      <c r="A116" t="s">
        <v>524</v>
      </c>
      <c r="B116" t="s">
        <v>525</v>
      </c>
      <c r="C116" s="4" t="s">
        <v>490</v>
      </c>
      <c r="D116" t="s">
        <v>491</v>
      </c>
      <c r="E116" t="s">
        <v>14</v>
      </c>
      <c r="F116" t="s">
        <v>143</v>
      </c>
      <c r="G116" t="s">
        <v>106</v>
      </c>
      <c r="H116" t="s">
        <v>78</v>
      </c>
      <c r="I116" t="s">
        <v>102</v>
      </c>
      <c r="J116" t="s">
        <v>353</v>
      </c>
      <c r="K116" t="s">
        <v>517</v>
      </c>
      <c r="L116" t="s">
        <v>89</v>
      </c>
      <c r="M116" t="s">
        <v>493</v>
      </c>
      <c r="N116" t="s">
        <v>518</v>
      </c>
      <c r="O116" t="s">
        <v>92</v>
      </c>
      <c r="P116" t="s">
        <v>526</v>
      </c>
      <c r="Q116" t="s">
        <v>78</v>
      </c>
      <c r="R116" t="s">
        <v>102</v>
      </c>
      <c r="S116" t="s">
        <v>520</v>
      </c>
      <c r="T116" t="s">
        <v>525</v>
      </c>
      <c r="U116" t="s">
        <v>322</v>
      </c>
      <c r="V116" t="s">
        <v>82</v>
      </c>
      <c r="W116" t="s">
        <v>96</v>
      </c>
      <c r="X116" t="s">
        <v>96</v>
      </c>
      <c r="Y116" t="s">
        <v>82</v>
      </c>
      <c r="Z116" t="s">
        <v>78</v>
      </c>
    </row>
    <row r="117" spans="1:26" x14ac:dyDescent="0.25">
      <c r="A117" t="s">
        <v>527</v>
      </c>
      <c r="B117" t="s">
        <v>528</v>
      </c>
      <c r="C117" s="4" t="s">
        <v>529</v>
      </c>
      <c r="D117" t="s">
        <v>530</v>
      </c>
      <c r="E117" t="s">
        <v>14</v>
      </c>
      <c r="F117" t="s">
        <v>78</v>
      </c>
      <c r="G117" t="s">
        <v>102</v>
      </c>
      <c r="H117" t="s">
        <v>78</v>
      </c>
      <c r="I117" t="s">
        <v>102</v>
      </c>
      <c r="J117" t="s">
        <v>531</v>
      </c>
      <c r="K117" t="s">
        <v>532</v>
      </c>
      <c r="L117" t="s">
        <v>89</v>
      </c>
      <c r="M117" t="s">
        <v>318</v>
      </c>
      <c r="N117" t="s">
        <v>533</v>
      </c>
      <c r="O117" t="s">
        <v>534</v>
      </c>
      <c r="P117" t="s">
        <v>534</v>
      </c>
      <c r="Q117" t="s">
        <v>102</v>
      </c>
      <c r="R117" t="s">
        <v>78</v>
      </c>
      <c r="S117" t="s">
        <v>82</v>
      </c>
      <c r="T117" t="s">
        <v>528</v>
      </c>
      <c r="U117" t="s">
        <v>322</v>
      </c>
      <c r="V117" t="s">
        <v>82</v>
      </c>
      <c r="W117" t="s">
        <v>354</v>
      </c>
      <c r="X117" t="s">
        <v>96</v>
      </c>
      <c r="Y117" t="s">
        <v>82</v>
      </c>
      <c r="Z117" t="s">
        <v>111</v>
      </c>
    </row>
    <row r="118" spans="1:26" x14ac:dyDescent="0.25">
      <c r="A118" t="s">
        <v>535</v>
      </c>
      <c r="B118" t="s">
        <v>536</v>
      </c>
      <c r="C118" s="4" t="s">
        <v>529</v>
      </c>
      <c r="D118" t="s">
        <v>530</v>
      </c>
      <c r="E118" t="s">
        <v>14</v>
      </c>
      <c r="F118" t="s">
        <v>78</v>
      </c>
      <c r="G118" t="s">
        <v>102</v>
      </c>
      <c r="H118" t="s">
        <v>85</v>
      </c>
      <c r="I118" t="s">
        <v>102</v>
      </c>
      <c r="J118" t="s">
        <v>537</v>
      </c>
      <c r="K118" t="s">
        <v>532</v>
      </c>
      <c r="L118" t="s">
        <v>89</v>
      </c>
      <c r="M118" t="s">
        <v>318</v>
      </c>
      <c r="N118" t="s">
        <v>533</v>
      </c>
      <c r="O118" t="s">
        <v>538</v>
      </c>
      <c r="P118" t="s">
        <v>539</v>
      </c>
      <c r="Q118" t="s">
        <v>102</v>
      </c>
      <c r="R118" t="s">
        <v>78</v>
      </c>
      <c r="S118" t="s">
        <v>82</v>
      </c>
      <c r="T118" t="s">
        <v>536</v>
      </c>
      <c r="U118" t="s">
        <v>322</v>
      </c>
      <c r="V118" t="s">
        <v>82</v>
      </c>
      <c r="W118" t="s">
        <v>354</v>
      </c>
      <c r="X118" t="s">
        <v>96</v>
      </c>
      <c r="Y118" t="s">
        <v>82</v>
      </c>
      <c r="Z118" t="s">
        <v>111</v>
      </c>
    </row>
    <row r="119" spans="1:26" x14ac:dyDescent="0.25">
      <c r="A119" t="s">
        <v>540</v>
      </c>
      <c r="B119" t="s">
        <v>541</v>
      </c>
      <c r="C119" s="4" t="s">
        <v>529</v>
      </c>
      <c r="D119" t="s">
        <v>530</v>
      </c>
      <c r="E119" t="s">
        <v>14</v>
      </c>
      <c r="F119" t="s">
        <v>78</v>
      </c>
      <c r="G119" t="s">
        <v>102</v>
      </c>
      <c r="H119" t="s">
        <v>78</v>
      </c>
      <c r="I119" t="s">
        <v>102</v>
      </c>
      <c r="J119" t="s">
        <v>265</v>
      </c>
      <c r="K119" t="s">
        <v>532</v>
      </c>
      <c r="L119" t="s">
        <v>89</v>
      </c>
      <c r="M119" t="s">
        <v>318</v>
      </c>
      <c r="N119" t="s">
        <v>533</v>
      </c>
      <c r="O119" t="s">
        <v>542</v>
      </c>
      <c r="P119" t="s">
        <v>543</v>
      </c>
      <c r="Q119" t="s">
        <v>102</v>
      </c>
      <c r="R119" t="s">
        <v>78</v>
      </c>
      <c r="S119" t="s">
        <v>82</v>
      </c>
      <c r="T119" t="s">
        <v>541</v>
      </c>
      <c r="U119" t="s">
        <v>322</v>
      </c>
      <c r="V119" t="s">
        <v>82</v>
      </c>
      <c r="W119" t="s">
        <v>354</v>
      </c>
      <c r="X119" t="s">
        <v>96</v>
      </c>
      <c r="Y119" t="s">
        <v>82</v>
      </c>
      <c r="Z119" t="s">
        <v>111</v>
      </c>
    </row>
    <row r="120" spans="1:26" x14ac:dyDescent="0.25">
      <c r="A120" t="s">
        <v>544</v>
      </c>
      <c r="B120" t="s">
        <v>545</v>
      </c>
      <c r="C120" s="4" t="s">
        <v>529</v>
      </c>
      <c r="D120" t="s">
        <v>530</v>
      </c>
      <c r="E120" t="s">
        <v>14</v>
      </c>
      <c r="F120" t="s">
        <v>78</v>
      </c>
      <c r="G120" t="s">
        <v>102</v>
      </c>
      <c r="H120" t="s">
        <v>78</v>
      </c>
      <c r="I120" t="s">
        <v>102</v>
      </c>
      <c r="J120" t="s">
        <v>546</v>
      </c>
      <c r="K120" t="s">
        <v>532</v>
      </c>
      <c r="L120" t="s">
        <v>89</v>
      </c>
      <c r="M120" t="s">
        <v>318</v>
      </c>
      <c r="N120" t="s">
        <v>533</v>
      </c>
      <c r="O120" t="s">
        <v>547</v>
      </c>
      <c r="P120" t="s">
        <v>547</v>
      </c>
      <c r="Q120" t="s">
        <v>102</v>
      </c>
      <c r="R120" t="s">
        <v>78</v>
      </c>
      <c r="S120" t="s">
        <v>82</v>
      </c>
      <c r="T120" t="s">
        <v>545</v>
      </c>
      <c r="U120" t="s">
        <v>322</v>
      </c>
      <c r="V120" t="s">
        <v>82</v>
      </c>
      <c r="W120" t="s">
        <v>354</v>
      </c>
      <c r="X120" t="s">
        <v>96</v>
      </c>
      <c r="Y120" t="s">
        <v>82</v>
      </c>
      <c r="Z120" t="s">
        <v>111</v>
      </c>
    </row>
    <row r="121" spans="1:26" x14ac:dyDescent="0.25">
      <c r="A121" t="s">
        <v>548</v>
      </c>
      <c r="B121" t="s">
        <v>549</v>
      </c>
      <c r="C121" s="4" t="s">
        <v>529</v>
      </c>
      <c r="D121" t="s">
        <v>530</v>
      </c>
      <c r="E121" t="s">
        <v>14</v>
      </c>
      <c r="F121" t="s">
        <v>78</v>
      </c>
      <c r="G121" t="s">
        <v>102</v>
      </c>
      <c r="H121" t="s">
        <v>78</v>
      </c>
      <c r="I121" t="s">
        <v>102</v>
      </c>
      <c r="J121" t="s">
        <v>29</v>
      </c>
      <c r="K121" t="s">
        <v>532</v>
      </c>
      <c r="L121" t="s">
        <v>89</v>
      </c>
      <c r="M121" t="s">
        <v>318</v>
      </c>
      <c r="N121" t="s">
        <v>533</v>
      </c>
      <c r="O121" t="s">
        <v>550</v>
      </c>
      <c r="P121" t="s">
        <v>550</v>
      </c>
      <c r="Q121" t="s">
        <v>102</v>
      </c>
      <c r="R121" t="s">
        <v>78</v>
      </c>
      <c r="S121" t="s">
        <v>82</v>
      </c>
      <c r="T121" t="s">
        <v>549</v>
      </c>
      <c r="U121" t="s">
        <v>322</v>
      </c>
      <c r="V121" t="s">
        <v>82</v>
      </c>
      <c r="W121" t="s">
        <v>354</v>
      </c>
      <c r="X121" t="s">
        <v>96</v>
      </c>
      <c r="Y121" t="s">
        <v>82</v>
      </c>
      <c r="Z121" t="s">
        <v>111</v>
      </c>
    </row>
    <row r="122" spans="1:26" x14ac:dyDescent="0.25">
      <c r="A122" t="s">
        <v>551</v>
      </c>
      <c r="B122" t="s">
        <v>552</v>
      </c>
      <c r="C122" s="4" t="s">
        <v>553</v>
      </c>
      <c r="D122" t="s">
        <v>530</v>
      </c>
      <c r="E122" t="s">
        <v>14</v>
      </c>
      <c r="F122" t="s">
        <v>83</v>
      </c>
      <c r="G122" t="s">
        <v>105</v>
      </c>
      <c r="H122" t="s">
        <v>85</v>
      </c>
      <c r="I122" t="s">
        <v>102</v>
      </c>
      <c r="J122" t="s">
        <v>29</v>
      </c>
      <c r="K122" t="s">
        <v>554</v>
      </c>
      <c r="L122" t="s">
        <v>89</v>
      </c>
      <c r="M122" t="s">
        <v>318</v>
      </c>
      <c r="N122" t="s">
        <v>555</v>
      </c>
      <c r="O122" t="s">
        <v>556</v>
      </c>
      <c r="P122" t="s">
        <v>556</v>
      </c>
      <c r="Q122" t="s">
        <v>102</v>
      </c>
      <c r="R122" t="s">
        <v>78</v>
      </c>
      <c r="S122" t="s">
        <v>82</v>
      </c>
      <c r="T122" t="s">
        <v>552</v>
      </c>
      <c r="U122" t="s">
        <v>322</v>
      </c>
      <c r="V122" t="s">
        <v>82</v>
      </c>
      <c r="W122" t="s">
        <v>374</v>
      </c>
      <c r="X122" t="s">
        <v>96</v>
      </c>
      <c r="Y122" t="s">
        <v>82</v>
      </c>
      <c r="Z122" t="s">
        <v>111</v>
      </c>
    </row>
    <row r="123" spans="1:26" x14ac:dyDescent="0.25">
      <c r="A123" t="s">
        <v>557</v>
      </c>
      <c r="B123" t="s">
        <v>558</v>
      </c>
      <c r="C123" s="4" t="s">
        <v>553</v>
      </c>
      <c r="D123" t="s">
        <v>530</v>
      </c>
      <c r="E123" t="s">
        <v>14</v>
      </c>
      <c r="F123" t="s">
        <v>83</v>
      </c>
      <c r="G123" t="s">
        <v>105</v>
      </c>
      <c r="H123" t="s">
        <v>85</v>
      </c>
      <c r="I123" t="s">
        <v>102</v>
      </c>
      <c r="J123" t="s">
        <v>531</v>
      </c>
      <c r="K123" t="s">
        <v>554</v>
      </c>
      <c r="L123" t="s">
        <v>89</v>
      </c>
      <c r="M123" t="s">
        <v>318</v>
      </c>
      <c r="N123" t="s">
        <v>555</v>
      </c>
      <c r="O123" t="s">
        <v>559</v>
      </c>
      <c r="P123" t="s">
        <v>559</v>
      </c>
      <c r="Q123" t="s">
        <v>102</v>
      </c>
      <c r="R123" t="s">
        <v>78</v>
      </c>
      <c r="S123" t="s">
        <v>82</v>
      </c>
      <c r="T123" t="s">
        <v>558</v>
      </c>
      <c r="U123" t="s">
        <v>322</v>
      </c>
      <c r="V123" t="s">
        <v>82</v>
      </c>
      <c r="W123" t="s">
        <v>374</v>
      </c>
      <c r="X123" t="s">
        <v>96</v>
      </c>
      <c r="Y123" t="s">
        <v>82</v>
      </c>
      <c r="Z123" t="s">
        <v>111</v>
      </c>
    </row>
    <row r="124" spans="1:26" x14ac:dyDescent="0.25">
      <c r="A124" t="s">
        <v>560</v>
      </c>
      <c r="B124" t="s">
        <v>561</v>
      </c>
      <c r="C124" s="4" t="s">
        <v>553</v>
      </c>
      <c r="D124" t="s">
        <v>530</v>
      </c>
      <c r="E124" t="s">
        <v>14</v>
      </c>
      <c r="F124" t="s">
        <v>83</v>
      </c>
      <c r="G124" t="s">
        <v>105</v>
      </c>
      <c r="H124" t="s">
        <v>85</v>
      </c>
      <c r="I124" t="s">
        <v>102</v>
      </c>
      <c r="J124" t="s">
        <v>537</v>
      </c>
      <c r="K124" t="s">
        <v>554</v>
      </c>
      <c r="L124" t="s">
        <v>89</v>
      </c>
      <c r="M124" t="s">
        <v>318</v>
      </c>
      <c r="N124" t="s">
        <v>555</v>
      </c>
      <c r="O124" t="s">
        <v>562</v>
      </c>
      <c r="P124" t="s">
        <v>562</v>
      </c>
      <c r="Q124" t="s">
        <v>102</v>
      </c>
      <c r="R124" t="s">
        <v>78</v>
      </c>
      <c r="S124" t="s">
        <v>82</v>
      </c>
      <c r="T124" t="s">
        <v>561</v>
      </c>
      <c r="U124" t="s">
        <v>322</v>
      </c>
      <c r="V124" t="s">
        <v>82</v>
      </c>
      <c r="W124" t="s">
        <v>374</v>
      </c>
      <c r="X124" t="s">
        <v>96</v>
      </c>
      <c r="Y124" t="s">
        <v>82</v>
      </c>
      <c r="Z124" t="s">
        <v>111</v>
      </c>
    </row>
    <row r="125" spans="1:26" x14ac:dyDescent="0.25">
      <c r="A125" t="s">
        <v>563</v>
      </c>
      <c r="B125" t="s">
        <v>564</v>
      </c>
      <c r="C125" s="4" t="s">
        <v>553</v>
      </c>
      <c r="D125" t="s">
        <v>530</v>
      </c>
      <c r="E125" t="s">
        <v>14</v>
      </c>
      <c r="F125" t="s">
        <v>83</v>
      </c>
      <c r="G125" t="s">
        <v>105</v>
      </c>
      <c r="H125" t="s">
        <v>85</v>
      </c>
      <c r="I125" t="s">
        <v>102</v>
      </c>
      <c r="J125" t="s">
        <v>265</v>
      </c>
      <c r="K125" t="s">
        <v>554</v>
      </c>
      <c r="L125" t="s">
        <v>89</v>
      </c>
      <c r="M125" t="s">
        <v>318</v>
      </c>
      <c r="N125" t="s">
        <v>555</v>
      </c>
      <c r="O125" t="s">
        <v>565</v>
      </c>
      <c r="P125" t="s">
        <v>565</v>
      </c>
      <c r="Q125" t="s">
        <v>102</v>
      </c>
      <c r="R125" t="s">
        <v>78</v>
      </c>
      <c r="S125" t="s">
        <v>82</v>
      </c>
      <c r="T125" t="s">
        <v>564</v>
      </c>
      <c r="U125" t="s">
        <v>322</v>
      </c>
      <c r="V125" t="s">
        <v>82</v>
      </c>
      <c r="W125" t="s">
        <v>374</v>
      </c>
      <c r="X125" t="s">
        <v>96</v>
      </c>
      <c r="Y125" t="s">
        <v>82</v>
      </c>
      <c r="Z125" t="s">
        <v>111</v>
      </c>
    </row>
    <row r="126" spans="1:26" x14ac:dyDescent="0.25">
      <c r="A126" t="s">
        <v>566</v>
      </c>
      <c r="B126" t="s">
        <v>567</v>
      </c>
      <c r="C126" s="4" t="s">
        <v>553</v>
      </c>
      <c r="D126" t="s">
        <v>530</v>
      </c>
      <c r="E126" t="s">
        <v>14</v>
      </c>
      <c r="F126" t="s">
        <v>83</v>
      </c>
      <c r="G126" t="s">
        <v>105</v>
      </c>
      <c r="H126" t="s">
        <v>85</v>
      </c>
      <c r="I126" t="s">
        <v>102</v>
      </c>
      <c r="J126" t="s">
        <v>546</v>
      </c>
      <c r="K126" t="s">
        <v>554</v>
      </c>
      <c r="L126" t="s">
        <v>89</v>
      </c>
      <c r="M126" t="s">
        <v>318</v>
      </c>
      <c r="N126" t="s">
        <v>555</v>
      </c>
      <c r="O126" t="s">
        <v>568</v>
      </c>
      <c r="P126" t="s">
        <v>568</v>
      </c>
      <c r="Q126" t="s">
        <v>102</v>
      </c>
      <c r="R126" t="s">
        <v>78</v>
      </c>
      <c r="S126" t="s">
        <v>82</v>
      </c>
      <c r="T126" t="s">
        <v>567</v>
      </c>
      <c r="U126" t="s">
        <v>322</v>
      </c>
      <c r="V126" t="s">
        <v>82</v>
      </c>
      <c r="W126" t="s">
        <v>374</v>
      </c>
      <c r="X126" t="s">
        <v>96</v>
      </c>
      <c r="Y126" t="s">
        <v>82</v>
      </c>
      <c r="Z126" t="s">
        <v>111</v>
      </c>
    </row>
    <row r="127" spans="1:26" x14ac:dyDescent="0.25">
      <c r="A127" t="s">
        <v>569</v>
      </c>
      <c r="B127" t="s">
        <v>570</v>
      </c>
      <c r="C127" s="4" t="s">
        <v>571</v>
      </c>
      <c r="D127" t="s">
        <v>572</v>
      </c>
      <c r="E127" t="s">
        <v>14</v>
      </c>
      <c r="F127" t="s">
        <v>102</v>
      </c>
      <c r="G127" t="s">
        <v>105</v>
      </c>
      <c r="H127" t="s">
        <v>85</v>
      </c>
      <c r="I127" t="s">
        <v>111</v>
      </c>
      <c r="J127" t="s">
        <v>130</v>
      </c>
      <c r="K127" t="s">
        <v>532</v>
      </c>
      <c r="L127" t="s">
        <v>89</v>
      </c>
      <c r="M127" t="s">
        <v>318</v>
      </c>
      <c r="N127" t="s">
        <v>533</v>
      </c>
      <c r="O127" t="s">
        <v>573</v>
      </c>
      <c r="P127" t="s">
        <v>573</v>
      </c>
      <c r="Q127" t="s">
        <v>102</v>
      </c>
      <c r="R127" t="s">
        <v>78</v>
      </c>
      <c r="S127" t="s">
        <v>82</v>
      </c>
      <c r="T127" t="s">
        <v>570</v>
      </c>
      <c r="U127" t="s">
        <v>322</v>
      </c>
      <c r="V127" t="s">
        <v>82</v>
      </c>
      <c r="W127" t="s">
        <v>354</v>
      </c>
      <c r="X127" t="s">
        <v>96</v>
      </c>
      <c r="Y127" t="s">
        <v>82</v>
      </c>
      <c r="Z127" t="s">
        <v>111</v>
      </c>
    </row>
    <row r="128" spans="1:26" x14ac:dyDescent="0.25">
      <c r="A128" t="s">
        <v>574</v>
      </c>
      <c r="B128" t="s">
        <v>575</v>
      </c>
      <c r="C128" s="4" t="s">
        <v>571</v>
      </c>
      <c r="D128" t="s">
        <v>572</v>
      </c>
      <c r="E128" t="s">
        <v>14</v>
      </c>
      <c r="F128" t="s">
        <v>102</v>
      </c>
      <c r="G128" t="s">
        <v>105</v>
      </c>
      <c r="H128" t="s">
        <v>85</v>
      </c>
      <c r="I128" t="s">
        <v>111</v>
      </c>
      <c r="J128" t="s">
        <v>537</v>
      </c>
      <c r="K128" t="s">
        <v>532</v>
      </c>
      <c r="L128" t="s">
        <v>89</v>
      </c>
      <c r="M128" t="s">
        <v>318</v>
      </c>
      <c r="N128" t="s">
        <v>533</v>
      </c>
      <c r="O128" t="s">
        <v>576</v>
      </c>
      <c r="P128" t="s">
        <v>576</v>
      </c>
      <c r="Q128" t="s">
        <v>102</v>
      </c>
      <c r="R128" t="s">
        <v>86</v>
      </c>
      <c r="S128" t="s">
        <v>82</v>
      </c>
      <c r="T128" t="s">
        <v>575</v>
      </c>
      <c r="U128" t="s">
        <v>322</v>
      </c>
      <c r="V128" t="s">
        <v>82</v>
      </c>
      <c r="W128" t="s">
        <v>354</v>
      </c>
      <c r="X128" t="s">
        <v>96</v>
      </c>
      <c r="Y128" t="s">
        <v>82</v>
      </c>
      <c r="Z128" t="s">
        <v>111</v>
      </c>
    </row>
    <row r="129" spans="1:26" x14ac:dyDescent="0.25">
      <c r="A129" t="s">
        <v>368</v>
      </c>
      <c r="B129" t="s">
        <v>577</v>
      </c>
      <c r="C129" s="4" t="s">
        <v>571</v>
      </c>
      <c r="D129" t="s">
        <v>572</v>
      </c>
      <c r="E129" t="s">
        <v>14</v>
      </c>
      <c r="F129" t="s">
        <v>102</v>
      </c>
      <c r="G129" t="s">
        <v>105</v>
      </c>
      <c r="H129" t="s">
        <v>85</v>
      </c>
      <c r="I129" t="s">
        <v>111</v>
      </c>
      <c r="J129" t="s">
        <v>31</v>
      </c>
      <c r="K129" t="s">
        <v>532</v>
      </c>
      <c r="L129" t="s">
        <v>89</v>
      </c>
      <c r="M129" t="s">
        <v>318</v>
      </c>
      <c r="N129" t="s">
        <v>533</v>
      </c>
      <c r="O129" t="s">
        <v>578</v>
      </c>
      <c r="P129" t="s">
        <v>578</v>
      </c>
      <c r="Q129" t="s">
        <v>102</v>
      </c>
      <c r="R129" t="s">
        <v>86</v>
      </c>
      <c r="S129" t="s">
        <v>82</v>
      </c>
      <c r="T129" t="s">
        <v>577</v>
      </c>
      <c r="U129" t="s">
        <v>322</v>
      </c>
      <c r="V129" t="s">
        <v>82</v>
      </c>
      <c r="W129" t="s">
        <v>354</v>
      </c>
      <c r="X129" t="s">
        <v>96</v>
      </c>
      <c r="Y129" t="s">
        <v>82</v>
      </c>
      <c r="Z129" t="s">
        <v>111</v>
      </c>
    </row>
    <row r="130" spans="1:26" x14ac:dyDescent="0.25">
      <c r="A130" t="s">
        <v>579</v>
      </c>
      <c r="B130" t="s">
        <v>580</v>
      </c>
      <c r="C130" s="4" t="s">
        <v>571</v>
      </c>
      <c r="D130" t="s">
        <v>572</v>
      </c>
      <c r="E130" t="s">
        <v>14</v>
      </c>
      <c r="F130" t="s">
        <v>102</v>
      </c>
      <c r="G130" t="s">
        <v>105</v>
      </c>
      <c r="H130" t="s">
        <v>85</v>
      </c>
      <c r="I130" t="s">
        <v>111</v>
      </c>
      <c r="J130" t="s">
        <v>37</v>
      </c>
      <c r="K130" t="s">
        <v>532</v>
      </c>
      <c r="L130" t="s">
        <v>89</v>
      </c>
      <c r="M130" t="s">
        <v>318</v>
      </c>
      <c r="N130" t="s">
        <v>533</v>
      </c>
      <c r="O130" t="s">
        <v>581</v>
      </c>
      <c r="P130" t="s">
        <v>581</v>
      </c>
      <c r="Q130" t="s">
        <v>102</v>
      </c>
      <c r="R130" t="s">
        <v>86</v>
      </c>
      <c r="S130" t="s">
        <v>82</v>
      </c>
      <c r="T130" t="s">
        <v>580</v>
      </c>
      <c r="U130" t="s">
        <v>322</v>
      </c>
      <c r="V130" t="s">
        <v>82</v>
      </c>
      <c r="W130" t="s">
        <v>354</v>
      </c>
      <c r="X130" t="s">
        <v>96</v>
      </c>
      <c r="Y130" t="s">
        <v>82</v>
      </c>
      <c r="Z130" t="s">
        <v>111</v>
      </c>
    </row>
    <row r="131" spans="1:26" x14ac:dyDescent="0.25">
      <c r="A131" t="s">
        <v>582</v>
      </c>
      <c r="B131" t="s">
        <v>583</v>
      </c>
      <c r="C131" s="4" t="s">
        <v>584</v>
      </c>
      <c r="D131" t="s">
        <v>572</v>
      </c>
      <c r="E131" t="s">
        <v>14</v>
      </c>
      <c r="F131" t="s">
        <v>85</v>
      </c>
      <c r="G131" t="s">
        <v>111</v>
      </c>
      <c r="H131" t="s">
        <v>78</v>
      </c>
      <c r="I131" t="s">
        <v>102</v>
      </c>
      <c r="J131" t="s">
        <v>537</v>
      </c>
      <c r="K131" t="s">
        <v>585</v>
      </c>
      <c r="L131" t="s">
        <v>89</v>
      </c>
      <c r="M131" t="s">
        <v>318</v>
      </c>
      <c r="N131" t="s">
        <v>586</v>
      </c>
      <c r="O131" t="s">
        <v>587</v>
      </c>
      <c r="P131" t="s">
        <v>587</v>
      </c>
      <c r="Q131" t="s">
        <v>102</v>
      </c>
      <c r="R131" t="s">
        <v>78</v>
      </c>
      <c r="S131" t="s">
        <v>82</v>
      </c>
      <c r="T131" t="s">
        <v>583</v>
      </c>
      <c r="U131" t="s">
        <v>322</v>
      </c>
      <c r="V131" t="s">
        <v>82</v>
      </c>
      <c r="W131" t="s">
        <v>588</v>
      </c>
      <c r="X131" t="s">
        <v>96</v>
      </c>
      <c r="Y131" t="s">
        <v>82</v>
      </c>
      <c r="Z131" t="s">
        <v>111</v>
      </c>
    </row>
    <row r="132" spans="1:26" x14ac:dyDescent="0.25">
      <c r="A132" t="s">
        <v>589</v>
      </c>
      <c r="B132" t="s">
        <v>590</v>
      </c>
      <c r="C132" s="4" t="s">
        <v>584</v>
      </c>
      <c r="D132" t="s">
        <v>572</v>
      </c>
      <c r="E132" t="s">
        <v>14</v>
      </c>
      <c r="F132" t="s">
        <v>85</v>
      </c>
      <c r="G132" t="s">
        <v>111</v>
      </c>
      <c r="H132" t="s">
        <v>78</v>
      </c>
      <c r="I132" t="s">
        <v>102</v>
      </c>
      <c r="J132" t="s">
        <v>37</v>
      </c>
      <c r="K132" t="s">
        <v>585</v>
      </c>
      <c r="L132" t="s">
        <v>89</v>
      </c>
      <c r="M132" t="s">
        <v>318</v>
      </c>
      <c r="N132" t="s">
        <v>586</v>
      </c>
      <c r="O132" t="s">
        <v>591</v>
      </c>
      <c r="P132" t="s">
        <v>591</v>
      </c>
      <c r="Q132" t="s">
        <v>102</v>
      </c>
      <c r="R132" t="s">
        <v>78</v>
      </c>
      <c r="S132" t="s">
        <v>82</v>
      </c>
      <c r="T132" t="s">
        <v>590</v>
      </c>
      <c r="U132" t="s">
        <v>322</v>
      </c>
      <c r="V132" t="s">
        <v>82</v>
      </c>
      <c r="W132" t="s">
        <v>588</v>
      </c>
      <c r="X132" t="s">
        <v>96</v>
      </c>
      <c r="Y132" t="s">
        <v>82</v>
      </c>
      <c r="Z132" t="s">
        <v>111</v>
      </c>
    </row>
    <row r="133" spans="1:26" x14ac:dyDescent="0.25">
      <c r="A133" t="s">
        <v>592</v>
      </c>
      <c r="B133" t="s">
        <v>593</v>
      </c>
      <c r="C133" s="4" t="s">
        <v>584</v>
      </c>
      <c r="D133" t="s">
        <v>572</v>
      </c>
      <c r="E133" t="s">
        <v>14</v>
      </c>
      <c r="F133" t="s">
        <v>85</v>
      </c>
      <c r="G133" t="s">
        <v>111</v>
      </c>
      <c r="H133" t="s">
        <v>78</v>
      </c>
      <c r="I133" t="s">
        <v>102</v>
      </c>
      <c r="J133" t="s">
        <v>31</v>
      </c>
      <c r="K133" t="s">
        <v>585</v>
      </c>
      <c r="L133" t="s">
        <v>89</v>
      </c>
      <c r="M133" t="s">
        <v>318</v>
      </c>
      <c r="N133" t="s">
        <v>586</v>
      </c>
      <c r="O133" t="s">
        <v>594</v>
      </c>
      <c r="P133" t="s">
        <v>594</v>
      </c>
      <c r="Q133" t="s">
        <v>102</v>
      </c>
      <c r="R133" t="s">
        <v>78</v>
      </c>
      <c r="S133" t="s">
        <v>82</v>
      </c>
      <c r="T133" t="s">
        <v>593</v>
      </c>
      <c r="U133" t="s">
        <v>322</v>
      </c>
      <c r="V133" t="s">
        <v>82</v>
      </c>
      <c r="W133" t="s">
        <v>588</v>
      </c>
      <c r="X133" t="s">
        <v>96</v>
      </c>
      <c r="Y133" t="s">
        <v>82</v>
      </c>
      <c r="Z133" t="s">
        <v>111</v>
      </c>
    </row>
    <row r="134" spans="1:26" x14ac:dyDescent="0.25">
      <c r="A134" t="s">
        <v>595</v>
      </c>
      <c r="B134" t="s">
        <v>596</v>
      </c>
      <c r="C134" s="4" t="s">
        <v>584</v>
      </c>
      <c r="D134" t="s">
        <v>572</v>
      </c>
      <c r="E134" t="s">
        <v>14</v>
      </c>
      <c r="F134" t="s">
        <v>85</v>
      </c>
      <c r="G134" t="s">
        <v>111</v>
      </c>
      <c r="H134" t="s">
        <v>78</v>
      </c>
      <c r="I134" t="s">
        <v>102</v>
      </c>
      <c r="J134" t="s">
        <v>130</v>
      </c>
      <c r="K134" t="s">
        <v>585</v>
      </c>
      <c r="L134" t="s">
        <v>89</v>
      </c>
      <c r="M134" t="s">
        <v>318</v>
      </c>
      <c r="N134" t="s">
        <v>586</v>
      </c>
      <c r="O134" t="s">
        <v>597</v>
      </c>
      <c r="P134" t="s">
        <v>597</v>
      </c>
      <c r="Q134" t="s">
        <v>102</v>
      </c>
      <c r="R134" t="s">
        <v>78</v>
      </c>
      <c r="S134" t="s">
        <v>82</v>
      </c>
      <c r="T134" t="s">
        <v>596</v>
      </c>
      <c r="U134" t="s">
        <v>322</v>
      </c>
      <c r="V134" t="s">
        <v>82</v>
      </c>
      <c r="W134" t="s">
        <v>588</v>
      </c>
      <c r="X134" t="s">
        <v>96</v>
      </c>
      <c r="Y134" t="s">
        <v>82</v>
      </c>
      <c r="Z134" t="s">
        <v>111</v>
      </c>
    </row>
    <row r="135" spans="1:26" x14ac:dyDescent="0.25">
      <c r="A135" t="s">
        <v>598</v>
      </c>
      <c r="B135" t="s">
        <v>599</v>
      </c>
      <c r="C135" s="4" t="s">
        <v>316</v>
      </c>
      <c r="D135" t="s">
        <v>600</v>
      </c>
      <c r="E135" t="s">
        <v>14</v>
      </c>
      <c r="F135" t="s">
        <v>85</v>
      </c>
      <c r="G135" t="s">
        <v>111</v>
      </c>
      <c r="H135" t="s">
        <v>78</v>
      </c>
      <c r="I135" t="s">
        <v>102</v>
      </c>
      <c r="J135" t="s">
        <v>340</v>
      </c>
      <c r="K135" t="s">
        <v>139</v>
      </c>
      <c r="L135" t="s">
        <v>89</v>
      </c>
      <c r="M135" t="s">
        <v>318</v>
      </c>
      <c r="N135" t="s">
        <v>319</v>
      </c>
      <c r="O135" t="s">
        <v>601</v>
      </c>
      <c r="P135" t="s">
        <v>602</v>
      </c>
      <c r="Q135" t="s">
        <v>102</v>
      </c>
      <c r="R135" t="s">
        <v>78</v>
      </c>
      <c r="S135" t="s">
        <v>603</v>
      </c>
      <c r="T135" t="s">
        <v>599</v>
      </c>
      <c r="U135" t="s">
        <v>322</v>
      </c>
      <c r="V135" t="s">
        <v>82</v>
      </c>
      <c r="W135" t="s">
        <v>604</v>
      </c>
      <c r="X135" t="s">
        <v>96</v>
      </c>
      <c r="Y135" t="s">
        <v>82</v>
      </c>
      <c r="Z135" t="s">
        <v>111</v>
      </c>
    </row>
    <row r="136" spans="1:26" x14ac:dyDescent="0.25">
      <c r="A136" t="s">
        <v>605</v>
      </c>
      <c r="B136" t="s">
        <v>606</v>
      </c>
      <c r="C136" s="4" t="s">
        <v>316</v>
      </c>
      <c r="D136" t="s">
        <v>600</v>
      </c>
      <c r="E136" t="s">
        <v>14</v>
      </c>
      <c r="F136" t="s">
        <v>85</v>
      </c>
      <c r="G136" t="s">
        <v>111</v>
      </c>
      <c r="H136" t="s">
        <v>78</v>
      </c>
      <c r="I136" t="s">
        <v>102</v>
      </c>
      <c r="J136" t="s">
        <v>607</v>
      </c>
      <c r="K136" t="s">
        <v>139</v>
      </c>
      <c r="L136" t="s">
        <v>89</v>
      </c>
      <c r="M136" t="s">
        <v>318</v>
      </c>
      <c r="N136" t="s">
        <v>319</v>
      </c>
      <c r="O136" t="s">
        <v>608</v>
      </c>
      <c r="P136" t="s">
        <v>609</v>
      </c>
      <c r="Q136" t="s">
        <v>102</v>
      </c>
      <c r="R136" t="s">
        <v>78</v>
      </c>
      <c r="S136" t="s">
        <v>603</v>
      </c>
      <c r="T136" t="s">
        <v>606</v>
      </c>
      <c r="U136" t="s">
        <v>322</v>
      </c>
      <c r="V136" t="s">
        <v>82</v>
      </c>
      <c r="W136" t="s">
        <v>604</v>
      </c>
      <c r="X136" t="s">
        <v>96</v>
      </c>
      <c r="Y136" t="s">
        <v>82</v>
      </c>
      <c r="Z136" t="s">
        <v>111</v>
      </c>
    </row>
    <row r="137" spans="1:26" x14ac:dyDescent="0.25">
      <c r="A137" t="s">
        <v>610</v>
      </c>
      <c r="B137" t="s">
        <v>611</v>
      </c>
      <c r="C137" s="4" t="s">
        <v>316</v>
      </c>
      <c r="D137" t="s">
        <v>600</v>
      </c>
      <c r="E137" t="s">
        <v>14</v>
      </c>
      <c r="F137" t="s">
        <v>85</v>
      </c>
      <c r="G137" t="s">
        <v>111</v>
      </c>
      <c r="H137" t="s">
        <v>78</v>
      </c>
      <c r="I137" t="s">
        <v>102</v>
      </c>
      <c r="J137" t="s">
        <v>15</v>
      </c>
      <c r="K137" t="s">
        <v>139</v>
      </c>
      <c r="L137" t="s">
        <v>89</v>
      </c>
      <c r="M137" t="s">
        <v>318</v>
      </c>
      <c r="N137" t="s">
        <v>319</v>
      </c>
      <c r="O137" t="s">
        <v>612</v>
      </c>
      <c r="P137" t="s">
        <v>613</v>
      </c>
      <c r="Q137" t="s">
        <v>102</v>
      </c>
      <c r="R137" t="s">
        <v>78</v>
      </c>
      <c r="S137" t="s">
        <v>603</v>
      </c>
      <c r="T137" t="s">
        <v>611</v>
      </c>
      <c r="U137" t="s">
        <v>322</v>
      </c>
      <c r="V137" t="s">
        <v>82</v>
      </c>
      <c r="W137" t="s">
        <v>604</v>
      </c>
      <c r="X137" t="s">
        <v>96</v>
      </c>
      <c r="Y137" t="s">
        <v>82</v>
      </c>
      <c r="Z137" t="s">
        <v>111</v>
      </c>
    </row>
    <row r="138" spans="1:26" x14ac:dyDescent="0.25">
      <c r="A138" t="s">
        <v>364</v>
      </c>
      <c r="B138" t="s">
        <v>614</v>
      </c>
      <c r="C138" s="4" t="s">
        <v>316</v>
      </c>
      <c r="D138" t="s">
        <v>600</v>
      </c>
      <c r="E138" t="s">
        <v>14</v>
      </c>
      <c r="F138" t="s">
        <v>85</v>
      </c>
      <c r="G138" t="s">
        <v>111</v>
      </c>
      <c r="H138" t="s">
        <v>78</v>
      </c>
      <c r="I138" t="s">
        <v>102</v>
      </c>
      <c r="J138" t="s">
        <v>37</v>
      </c>
      <c r="K138" t="s">
        <v>139</v>
      </c>
      <c r="L138" t="s">
        <v>89</v>
      </c>
      <c r="M138" t="s">
        <v>318</v>
      </c>
      <c r="N138" t="s">
        <v>319</v>
      </c>
      <c r="O138" t="s">
        <v>615</v>
      </c>
      <c r="P138" t="s">
        <v>616</v>
      </c>
      <c r="Q138" t="s">
        <v>102</v>
      </c>
      <c r="R138" t="s">
        <v>78</v>
      </c>
      <c r="S138" t="s">
        <v>603</v>
      </c>
      <c r="T138" t="s">
        <v>614</v>
      </c>
      <c r="U138" t="s">
        <v>322</v>
      </c>
      <c r="V138" t="s">
        <v>82</v>
      </c>
      <c r="W138" t="s">
        <v>604</v>
      </c>
      <c r="X138" t="s">
        <v>96</v>
      </c>
      <c r="Y138" t="s">
        <v>82</v>
      </c>
      <c r="Z138" t="s">
        <v>111</v>
      </c>
    </row>
    <row r="139" spans="1:26" x14ac:dyDescent="0.25">
      <c r="A139" t="s">
        <v>617</v>
      </c>
      <c r="B139" t="s">
        <v>618</v>
      </c>
      <c r="C139" s="4" t="s">
        <v>334</v>
      </c>
      <c r="D139" t="s">
        <v>335</v>
      </c>
      <c r="E139" t="s">
        <v>14</v>
      </c>
      <c r="F139" t="s">
        <v>85</v>
      </c>
      <c r="G139" t="s">
        <v>111</v>
      </c>
      <c r="H139" t="s">
        <v>78</v>
      </c>
      <c r="I139" t="s">
        <v>102</v>
      </c>
      <c r="J139" t="s">
        <v>37</v>
      </c>
      <c r="K139" t="s">
        <v>139</v>
      </c>
      <c r="L139" t="s">
        <v>89</v>
      </c>
      <c r="M139" t="s">
        <v>318</v>
      </c>
      <c r="N139" t="s">
        <v>319</v>
      </c>
      <c r="O139" t="s">
        <v>619</v>
      </c>
      <c r="P139" t="s">
        <v>620</v>
      </c>
      <c r="Q139" t="s">
        <v>102</v>
      </c>
      <c r="R139" t="s">
        <v>78</v>
      </c>
      <c r="S139" t="s">
        <v>603</v>
      </c>
      <c r="T139" t="s">
        <v>618</v>
      </c>
      <c r="U139" t="s">
        <v>322</v>
      </c>
      <c r="V139" t="s">
        <v>82</v>
      </c>
      <c r="W139" t="s">
        <v>604</v>
      </c>
      <c r="X139" t="s">
        <v>96</v>
      </c>
      <c r="Y139" t="s">
        <v>82</v>
      </c>
      <c r="Z139" t="s">
        <v>111</v>
      </c>
    </row>
    <row r="140" spans="1:26" x14ac:dyDescent="0.25">
      <c r="A140" t="s">
        <v>352</v>
      </c>
      <c r="B140" t="s">
        <v>621</v>
      </c>
      <c r="C140" s="4" t="s">
        <v>334</v>
      </c>
      <c r="D140" t="s">
        <v>335</v>
      </c>
      <c r="E140" t="s">
        <v>14</v>
      </c>
      <c r="F140" t="s">
        <v>85</v>
      </c>
      <c r="G140" t="s">
        <v>111</v>
      </c>
      <c r="H140" t="s">
        <v>78</v>
      </c>
      <c r="I140" t="s">
        <v>102</v>
      </c>
      <c r="J140" t="s">
        <v>15</v>
      </c>
      <c r="K140" t="s">
        <v>139</v>
      </c>
      <c r="L140" t="s">
        <v>89</v>
      </c>
      <c r="M140" t="s">
        <v>318</v>
      </c>
      <c r="N140" t="s">
        <v>319</v>
      </c>
      <c r="O140" t="s">
        <v>622</v>
      </c>
      <c r="P140" t="s">
        <v>623</v>
      </c>
      <c r="Q140" t="s">
        <v>102</v>
      </c>
      <c r="R140" t="s">
        <v>78</v>
      </c>
      <c r="S140" t="s">
        <v>603</v>
      </c>
      <c r="T140" t="s">
        <v>621</v>
      </c>
      <c r="U140" t="s">
        <v>322</v>
      </c>
      <c r="V140" t="s">
        <v>82</v>
      </c>
      <c r="W140" t="s">
        <v>604</v>
      </c>
      <c r="X140" t="s">
        <v>96</v>
      </c>
      <c r="Y140" t="s">
        <v>82</v>
      </c>
      <c r="Z140" t="s">
        <v>111</v>
      </c>
    </row>
    <row r="141" spans="1:26" x14ac:dyDescent="0.25">
      <c r="A141" t="s">
        <v>624</v>
      </c>
      <c r="B141" t="s">
        <v>625</v>
      </c>
      <c r="C141" s="4" t="s">
        <v>334</v>
      </c>
      <c r="D141" t="s">
        <v>335</v>
      </c>
      <c r="E141" t="s">
        <v>14</v>
      </c>
      <c r="F141" t="s">
        <v>85</v>
      </c>
      <c r="G141" t="s">
        <v>111</v>
      </c>
      <c r="H141" t="s">
        <v>78</v>
      </c>
      <c r="I141" t="s">
        <v>102</v>
      </c>
      <c r="J141" t="s">
        <v>32</v>
      </c>
      <c r="K141" t="s">
        <v>139</v>
      </c>
      <c r="L141" t="s">
        <v>89</v>
      </c>
      <c r="M141" t="s">
        <v>318</v>
      </c>
      <c r="N141" t="s">
        <v>319</v>
      </c>
      <c r="O141" t="s">
        <v>626</v>
      </c>
      <c r="P141" t="s">
        <v>627</v>
      </c>
      <c r="Q141" t="s">
        <v>102</v>
      </c>
      <c r="R141" t="s">
        <v>78</v>
      </c>
      <c r="S141" t="s">
        <v>603</v>
      </c>
      <c r="T141" t="s">
        <v>625</v>
      </c>
      <c r="U141" t="s">
        <v>322</v>
      </c>
      <c r="V141" t="s">
        <v>82</v>
      </c>
      <c r="W141" t="s">
        <v>604</v>
      </c>
      <c r="X141" t="s">
        <v>96</v>
      </c>
      <c r="Y141" t="s">
        <v>82</v>
      </c>
      <c r="Z141" t="s">
        <v>111</v>
      </c>
    </row>
    <row r="142" spans="1:26" x14ac:dyDescent="0.25">
      <c r="A142" t="s">
        <v>628</v>
      </c>
      <c r="B142" t="s">
        <v>629</v>
      </c>
      <c r="C142" s="4" t="s">
        <v>334</v>
      </c>
      <c r="D142" t="s">
        <v>335</v>
      </c>
      <c r="E142" t="s">
        <v>14</v>
      </c>
      <c r="F142" t="s">
        <v>85</v>
      </c>
      <c r="G142" t="s">
        <v>111</v>
      </c>
      <c r="H142" t="s">
        <v>78</v>
      </c>
      <c r="I142" t="s">
        <v>102</v>
      </c>
      <c r="J142" t="s">
        <v>130</v>
      </c>
      <c r="K142" t="s">
        <v>139</v>
      </c>
      <c r="L142" t="s">
        <v>89</v>
      </c>
      <c r="M142" t="s">
        <v>318</v>
      </c>
      <c r="N142" t="s">
        <v>319</v>
      </c>
      <c r="O142" t="s">
        <v>630</v>
      </c>
      <c r="P142" t="s">
        <v>631</v>
      </c>
      <c r="Q142" t="s">
        <v>102</v>
      </c>
      <c r="R142" t="s">
        <v>78</v>
      </c>
      <c r="S142" t="s">
        <v>603</v>
      </c>
      <c r="T142" t="s">
        <v>629</v>
      </c>
      <c r="U142" t="s">
        <v>322</v>
      </c>
      <c r="V142" t="s">
        <v>82</v>
      </c>
      <c r="W142" t="s">
        <v>604</v>
      </c>
      <c r="X142" t="s">
        <v>96</v>
      </c>
      <c r="Y142" t="s">
        <v>82</v>
      </c>
      <c r="Z142" t="s">
        <v>111</v>
      </c>
    </row>
    <row r="143" spans="1:26" x14ac:dyDescent="0.25">
      <c r="A143" t="s">
        <v>632</v>
      </c>
      <c r="B143" t="s">
        <v>633</v>
      </c>
      <c r="C143" s="4" t="s">
        <v>634</v>
      </c>
      <c r="D143" t="s">
        <v>635</v>
      </c>
      <c r="E143" t="s">
        <v>14</v>
      </c>
      <c r="F143" t="s">
        <v>111</v>
      </c>
      <c r="G143" t="s">
        <v>84</v>
      </c>
      <c r="H143" t="s">
        <v>85</v>
      </c>
      <c r="I143" t="s">
        <v>102</v>
      </c>
      <c r="J143" t="s">
        <v>537</v>
      </c>
      <c r="K143" t="s">
        <v>636</v>
      </c>
      <c r="L143" t="s">
        <v>89</v>
      </c>
      <c r="M143" t="s">
        <v>318</v>
      </c>
      <c r="N143" t="s">
        <v>555</v>
      </c>
      <c r="O143" t="s">
        <v>637</v>
      </c>
      <c r="P143" t="s">
        <v>637</v>
      </c>
      <c r="Q143" t="s">
        <v>102</v>
      </c>
      <c r="R143" t="s">
        <v>78</v>
      </c>
      <c r="S143" t="s">
        <v>638</v>
      </c>
      <c r="T143" t="s">
        <v>633</v>
      </c>
      <c r="U143" t="s">
        <v>322</v>
      </c>
      <c r="V143" t="s">
        <v>82</v>
      </c>
      <c r="W143" t="s">
        <v>639</v>
      </c>
      <c r="X143" t="s">
        <v>96</v>
      </c>
      <c r="Y143" t="s">
        <v>82</v>
      </c>
      <c r="Z143" t="s">
        <v>111</v>
      </c>
    </row>
    <row r="144" spans="1:26" x14ac:dyDescent="0.25">
      <c r="A144" t="s">
        <v>640</v>
      </c>
      <c r="B144" t="s">
        <v>641</v>
      </c>
      <c r="C144" s="4" t="s">
        <v>634</v>
      </c>
      <c r="D144" t="s">
        <v>635</v>
      </c>
      <c r="E144" t="s">
        <v>14</v>
      </c>
      <c r="F144" t="s">
        <v>111</v>
      </c>
      <c r="G144" t="s">
        <v>84</v>
      </c>
      <c r="H144" t="s">
        <v>85</v>
      </c>
      <c r="I144" t="s">
        <v>102</v>
      </c>
      <c r="J144" t="s">
        <v>265</v>
      </c>
      <c r="K144" t="s">
        <v>636</v>
      </c>
      <c r="L144" t="s">
        <v>89</v>
      </c>
      <c r="M144" t="s">
        <v>318</v>
      </c>
      <c r="N144" t="s">
        <v>555</v>
      </c>
      <c r="O144" t="s">
        <v>642</v>
      </c>
      <c r="P144" t="s">
        <v>643</v>
      </c>
      <c r="Q144" t="s">
        <v>102</v>
      </c>
      <c r="R144" t="s">
        <v>78</v>
      </c>
      <c r="S144" t="s">
        <v>638</v>
      </c>
      <c r="T144" t="s">
        <v>641</v>
      </c>
      <c r="U144" t="s">
        <v>322</v>
      </c>
      <c r="V144" t="s">
        <v>82</v>
      </c>
      <c r="W144" t="s">
        <v>639</v>
      </c>
      <c r="X144" t="s">
        <v>96</v>
      </c>
      <c r="Y144" t="s">
        <v>82</v>
      </c>
      <c r="Z144" t="s">
        <v>111</v>
      </c>
    </row>
    <row r="145" spans="1:26" x14ac:dyDescent="0.25">
      <c r="A145" t="s">
        <v>644</v>
      </c>
      <c r="B145" t="s">
        <v>645</v>
      </c>
      <c r="C145" s="4" t="s">
        <v>634</v>
      </c>
      <c r="D145" t="s">
        <v>635</v>
      </c>
      <c r="E145" t="s">
        <v>14</v>
      </c>
      <c r="F145" t="s">
        <v>111</v>
      </c>
      <c r="G145" t="s">
        <v>84</v>
      </c>
      <c r="H145" t="s">
        <v>85</v>
      </c>
      <c r="I145" t="s">
        <v>102</v>
      </c>
      <c r="J145" t="s">
        <v>31</v>
      </c>
      <c r="K145" t="s">
        <v>636</v>
      </c>
      <c r="L145" t="s">
        <v>89</v>
      </c>
      <c r="M145" t="s">
        <v>318</v>
      </c>
      <c r="N145" t="s">
        <v>555</v>
      </c>
      <c r="O145" t="s">
        <v>646</v>
      </c>
      <c r="P145" t="s">
        <v>646</v>
      </c>
      <c r="Q145" t="s">
        <v>102</v>
      </c>
      <c r="R145" t="s">
        <v>78</v>
      </c>
      <c r="S145" t="s">
        <v>638</v>
      </c>
      <c r="T145" t="s">
        <v>645</v>
      </c>
      <c r="U145" t="s">
        <v>322</v>
      </c>
      <c r="V145" t="s">
        <v>82</v>
      </c>
      <c r="W145" t="s">
        <v>639</v>
      </c>
      <c r="X145" t="s">
        <v>96</v>
      </c>
      <c r="Y145" t="s">
        <v>82</v>
      </c>
      <c r="Z145" t="s">
        <v>111</v>
      </c>
    </row>
    <row r="146" spans="1:26" x14ac:dyDescent="0.25">
      <c r="A146" t="s">
        <v>359</v>
      </c>
      <c r="B146" t="s">
        <v>647</v>
      </c>
      <c r="C146" s="4" t="s">
        <v>634</v>
      </c>
      <c r="D146" t="s">
        <v>635</v>
      </c>
      <c r="E146" t="s">
        <v>14</v>
      </c>
      <c r="F146" t="s">
        <v>111</v>
      </c>
      <c r="G146" t="s">
        <v>84</v>
      </c>
      <c r="H146" t="s">
        <v>85</v>
      </c>
      <c r="I146" t="s">
        <v>102</v>
      </c>
      <c r="J146" t="s">
        <v>30</v>
      </c>
      <c r="K146" t="s">
        <v>636</v>
      </c>
      <c r="L146" t="s">
        <v>89</v>
      </c>
      <c r="M146" t="s">
        <v>318</v>
      </c>
      <c r="N146" t="s">
        <v>555</v>
      </c>
      <c r="O146" t="s">
        <v>648</v>
      </c>
      <c r="P146" t="s">
        <v>648</v>
      </c>
      <c r="Q146" t="s">
        <v>102</v>
      </c>
      <c r="R146" t="s">
        <v>78</v>
      </c>
      <c r="S146" t="s">
        <v>638</v>
      </c>
      <c r="T146" t="s">
        <v>647</v>
      </c>
      <c r="U146" t="s">
        <v>322</v>
      </c>
      <c r="V146" t="s">
        <v>82</v>
      </c>
      <c r="W146" t="s">
        <v>639</v>
      </c>
      <c r="X146" t="s">
        <v>96</v>
      </c>
      <c r="Y146" t="s">
        <v>82</v>
      </c>
      <c r="Z146" t="s">
        <v>111</v>
      </c>
    </row>
    <row r="147" spans="1:26" x14ac:dyDescent="0.25">
      <c r="A147" t="s">
        <v>372</v>
      </c>
      <c r="B147" t="s">
        <v>649</v>
      </c>
      <c r="C147" s="4" t="s">
        <v>634</v>
      </c>
      <c r="D147" t="s">
        <v>635</v>
      </c>
      <c r="E147" t="s">
        <v>14</v>
      </c>
      <c r="F147" t="s">
        <v>111</v>
      </c>
      <c r="G147" t="s">
        <v>84</v>
      </c>
      <c r="H147" t="s">
        <v>85</v>
      </c>
      <c r="I147" t="s">
        <v>102</v>
      </c>
      <c r="J147" t="s">
        <v>340</v>
      </c>
      <c r="K147" t="s">
        <v>636</v>
      </c>
      <c r="L147" t="s">
        <v>89</v>
      </c>
      <c r="M147" t="s">
        <v>318</v>
      </c>
      <c r="N147" t="s">
        <v>555</v>
      </c>
      <c r="O147" t="s">
        <v>650</v>
      </c>
      <c r="P147" t="s">
        <v>650</v>
      </c>
      <c r="Q147" t="s">
        <v>102</v>
      </c>
      <c r="R147" t="s">
        <v>78</v>
      </c>
      <c r="S147" t="s">
        <v>638</v>
      </c>
      <c r="T147" t="s">
        <v>649</v>
      </c>
      <c r="U147" t="s">
        <v>322</v>
      </c>
      <c r="V147" t="s">
        <v>82</v>
      </c>
      <c r="W147" t="s">
        <v>639</v>
      </c>
      <c r="X147" t="s">
        <v>96</v>
      </c>
      <c r="Y147" t="s">
        <v>82</v>
      </c>
      <c r="Z147" t="s">
        <v>111</v>
      </c>
    </row>
    <row r="148" spans="1:26" x14ac:dyDescent="0.25">
      <c r="A148" t="s">
        <v>651</v>
      </c>
      <c r="B148" t="s">
        <v>652</v>
      </c>
      <c r="C148" s="4" t="s">
        <v>634</v>
      </c>
      <c r="D148" t="s">
        <v>635</v>
      </c>
      <c r="E148" t="s">
        <v>14</v>
      </c>
      <c r="F148" t="s">
        <v>111</v>
      </c>
      <c r="G148" t="s">
        <v>84</v>
      </c>
      <c r="H148" t="s">
        <v>85</v>
      </c>
      <c r="I148" t="s">
        <v>102</v>
      </c>
      <c r="J148" t="s">
        <v>17</v>
      </c>
      <c r="K148" t="s">
        <v>636</v>
      </c>
      <c r="L148" t="s">
        <v>89</v>
      </c>
      <c r="M148" t="s">
        <v>318</v>
      </c>
      <c r="N148" t="s">
        <v>555</v>
      </c>
      <c r="O148" t="s">
        <v>653</v>
      </c>
      <c r="P148" t="s">
        <v>653</v>
      </c>
      <c r="Q148" t="s">
        <v>102</v>
      </c>
      <c r="R148" t="s">
        <v>78</v>
      </c>
      <c r="S148" t="s">
        <v>638</v>
      </c>
      <c r="T148" t="s">
        <v>652</v>
      </c>
      <c r="U148" t="s">
        <v>322</v>
      </c>
      <c r="V148" t="s">
        <v>82</v>
      </c>
      <c r="W148" t="s">
        <v>639</v>
      </c>
      <c r="X148" t="s">
        <v>96</v>
      </c>
      <c r="Y148" t="s">
        <v>82</v>
      </c>
      <c r="Z148" t="s">
        <v>111</v>
      </c>
    </row>
    <row r="149" spans="1:26" x14ac:dyDescent="0.25">
      <c r="A149" t="s">
        <v>344</v>
      </c>
      <c r="B149" t="s">
        <v>654</v>
      </c>
      <c r="C149" s="4" t="s">
        <v>634</v>
      </c>
      <c r="D149" t="s">
        <v>635</v>
      </c>
      <c r="E149" t="s">
        <v>14</v>
      </c>
      <c r="F149" t="s">
        <v>111</v>
      </c>
      <c r="G149" t="s">
        <v>84</v>
      </c>
      <c r="H149" t="s">
        <v>85</v>
      </c>
      <c r="I149" t="s">
        <v>102</v>
      </c>
      <c r="J149" t="s">
        <v>33</v>
      </c>
      <c r="K149" t="s">
        <v>636</v>
      </c>
      <c r="L149" t="s">
        <v>89</v>
      </c>
      <c r="M149" t="s">
        <v>318</v>
      </c>
      <c r="N149" t="s">
        <v>555</v>
      </c>
      <c r="O149" t="s">
        <v>655</v>
      </c>
      <c r="P149" t="s">
        <v>655</v>
      </c>
      <c r="Q149" t="s">
        <v>102</v>
      </c>
      <c r="R149" t="s">
        <v>78</v>
      </c>
      <c r="S149" t="s">
        <v>638</v>
      </c>
      <c r="T149" t="s">
        <v>654</v>
      </c>
      <c r="U149" t="s">
        <v>322</v>
      </c>
      <c r="V149" t="s">
        <v>82</v>
      </c>
      <c r="W149" t="s">
        <v>639</v>
      </c>
      <c r="X149" t="s">
        <v>96</v>
      </c>
      <c r="Y149" t="s">
        <v>82</v>
      </c>
      <c r="Z149" t="s">
        <v>111</v>
      </c>
    </row>
    <row r="150" spans="1:26" x14ac:dyDescent="0.25">
      <c r="A150" t="s">
        <v>656</v>
      </c>
      <c r="B150" t="s">
        <v>657</v>
      </c>
      <c r="C150" s="4" t="s">
        <v>658</v>
      </c>
      <c r="D150" t="s">
        <v>659</v>
      </c>
      <c r="E150" t="s">
        <v>14</v>
      </c>
      <c r="F150" t="s">
        <v>78</v>
      </c>
      <c r="G150" t="s">
        <v>102</v>
      </c>
      <c r="H150" t="s">
        <v>78</v>
      </c>
      <c r="I150" t="s">
        <v>102</v>
      </c>
      <c r="J150" t="s">
        <v>265</v>
      </c>
      <c r="K150" t="s">
        <v>532</v>
      </c>
      <c r="L150" t="s">
        <v>89</v>
      </c>
      <c r="M150" t="s">
        <v>318</v>
      </c>
      <c r="N150" t="s">
        <v>533</v>
      </c>
      <c r="O150" t="s">
        <v>660</v>
      </c>
      <c r="P150" t="s">
        <v>660</v>
      </c>
      <c r="Q150" t="s">
        <v>102</v>
      </c>
      <c r="R150" t="s">
        <v>78</v>
      </c>
      <c r="S150" t="s">
        <v>661</v>
      </c>
      <c r="T150" t="s">
        <v>657</v>
      </c>
      <c r="U150" t="s">
        <v>322</v>
      </c>
      <c r="V150" t="s">
        <v>82</v>
      </c>
      <c r="W150" t="s">
        <v>354</v>
      </c>
      <c r="X150" t="s">
        <v>96</v>
      </c>
      <c r="Y150" t="s">
        <v>82</v>
      </c>
      <c r="Z150" t="s">
        <v>111</v>
      </c>
    </row>
    <row r="151" spans="1:26" x14ac:dyDescent="0.25">
      <c r="A151" t="s">
        <v>662</v>
      </c>
      <c r="B151" t="s">
        <v>663</v>
      </c>
      <c r="C151" s="4" t="s">
        <v>658</v>
      </c>
      <c r="D151" t="s">
        <v>659</v>
      </c>
      <c r="E151" t="s">
        <v>14</v>
      </c>
      <c r="F151" t="s">
        <v>78</v>
      </c>
      <c r="G151" t="s">
        <v>102</v>
      </c>
      <c r="H151" t="s">
        <v>78</v>
      </c>
      <c r="I151" t="s">
        <v>102</v>
      </c>
      <c r="J151" t="s">
        <v>537</v>
      </c>
      <c r="K151" t="s">
        <v>532</v>
      </c>
      <c r="L151" t="s">
        <v>89</v>
      </c>
      <c r="M151" t="s">
        <v>318</v>
      </c>
      <c r="N151" t="s">
        <v>533</v>
      </c>
      <c r="O151" t="s">
        <v>664</v>
      </c>
      <c r="P151" t="s">
        <v>664</v>
      </c>
      <c r="Q151" t="s">
        <v>102</v>
      </c>
      <c r="R151" t="s">
        <v>78</v>
      </c>
      <c r="S151" t="s">
        <v>661</v>
      </c>
      <c r="T151" t="s">
        <v>663</v>
      </c>
      <c r="U151" t="s">
        <v>322</v>
      </c>
      <c r="V151" t="s">
        <v>82</v>
      </c>
      <c r="W151" t="s">
        <v>354</v>
      </c>
      <c r="X151" t="s">
        <v>96</v>
      </c>
      <c r="Y151" t="s">
        <v>82</v>
      </c>
      <c r="Z151" t="s">
        <v>111</v>
      </c>
    </row>
    <row r="152" spans="1:26" x14ac:dyDescent="0.25">
      <c r="A152" t="s">
        <v>665</v>
      </c>
      <c r="B152" t="s">
        <v>666</v>
      </c>
      <c r="C152" s="4" t="s">
        <v>658</v>
      </c>
      <c r="D152" t="s">
        <v>659</v>
      </c>
      <c r="E152" t="s">
        <v>14</v>
      </c>
      <c r="F152" t="s">
        <v>78</v>
      </c>
      <c r="G152" t="s">
        <v>102</v>
      </c>
      <c r="H152" t="s">
        <v>78</v>
      </c>
      <c r="I152" t="s">
        <v>102</v>
      </c>
      <c r="J152" t="s">
        <v>33</v>
      </c>
      <c r="K152" t="s">
        <v>532</v>
      </c>
      <c r="L152" t="s">
        <v>89</v>
      </c>
      <c r="M152" t="s">
        <v>318</v>
      </c>
      <c r="N152" t="s">
        <v>533</v>
      </c>
      <c r="O152" t="s">
        <v>667</v>
      </c>
      <c r="P152" t="s">
        <v>668</v>
      </c>
      <c r="Q152" t="s">
        <v>102</v>
      </c>
      <c r="R152" t="s">
        <v>78</v>
      </c>
      <c r="S152" t="s">
        <v>661</v>
      </c>
      <c r="T152" t="s">
        <v>666</v>
      </c>
      <c r="U152" t="s">
        <v>322</v>
      </c>
      <c r="V152" t="s">
        <v>82</v>
      </c>
      <c r="W152" t="s">
        <v>354</v>
      </c>
      <c r="X152" t="s">
        <v>96</v>
      </c>
      <c r="Y152" t="s">
        <v>82</v>
      </c>
      <c r="Z152" t="s">
        <v>111</v>
      </c>
    </row>
    <row r="153" spans="1:26" x14ac:dyDescent="0.25">
      <c r="A153" t="s">
        <v>669</v>
      </c>
      <c r="B153" t="s">
        <v>670</v>
      </c>
      <c r="C153" s="4" t="s">
        <v>658</v>
      </c>
      <c r="D153" t="s">
        <v>659</v>
      </c>
      <c r="E153" t="s">
        <v>14</v>
      </c>
      <c r="F153" t="s">
        <v>78</v>
      </c>
      <c r="G153" t="s">
        <v>102</v>
      </c>
      <c r="H153" t="s">
        <v>78</v>
      </c>
      <c r="I153" t="s">
        <v>102</v>
      </c>
      <c r="J153" t="s">
        <v>17</v>
      </c>
      <c r="K153" t="s">
        <v>532</v>
      </c>
      <c r="L153" t="s">
        <v>89</v>
      </c>
      <c r="M153" t="s">
        <v>318</v>
      </c>
      <c r="N153" t="s">
        <v>533</v>
      </c>
      <c r="O153" t="s">
        <v>671</v>
      </c>
      <c r="P153" t="s">
        <v>671</v>
      </c>
      <c r="Q153" t="s">
        <v>102</v>
      </c>
      <c r="R153" t="s">
        <v>78</v>
      </c>
      <c r="S153" t="s">
        <v>661</v>
      </c>
      <c r="T153" t="s">
        <v>670</v>
      </c>
      <c r="U153" t="s">
        <v>322</v>
      </c>
      <c r="V153" t="s">
        <v>82</v>
      </c>
      <c r="W153" t="s">
        <v>354</v>
      </c>
      <c r="X153" t="s">
        <v>96</v>
      </c>
      <c r="Y153" t="s">
        <v>82</v>
      </c>
      <c r="Z153" t="s">
        <v>111</v>
      </c>
    </row>
    <row r="154" spans="1:26" x14ac:dyDescent="0.25">
      <c r="A154" t="s">
        <v>672</v>
      </c>
      <c r="B154" t="s">
        <v>673</v>
      </c>
      <c r="C154" s="4" t="s">
        <v>674</v>
      </c>
      <c r="D154" t="s">
        <v>675</v>
      </c>
      <c r="E154" t="s">
        <v>14</v>
      </c>
      <c r="F154" t="s">
        <v>85</v>
      </c>
      <c r="G154" t="s">
        <v>111</v>
      </c>
      <c r="H154" t="s">
        <v>78</v>
      </c>
      <c r="I154" t="s">
        <v>102</v>
      </c>
      <c r="J154" t="s">
        <v>17</v>
      </c>
      <c r="K154" t="s">
        <v>676</v>
      </c>
      <c r="L154" t="s">
        <v>89</v>
      </c>
      <c r="M154" t="s">
        <v>318</v>
      </c>
      <c r="N154" t="s">
        <v>493</v>
      </c>
      <c r="O154" t="s">
        <v>677</v>
      </c>
      <c r="P154" t="s">
        <v>678</v>
      </c>
      <c r="Q154" t="s">
        <v>102</v>
      </c>
      <c r="R154" t="s">
        <v>102</v>
      </c>
      <c r="S154" t="s">
        <v>679</v>
      </c>
      <c r="T154" t="s">
        <v>673</v>
      </c>
      <c r="U154" t="s">
        <v>322</v>
      </c>
      <c r="V154" t="s">
        <v>82</v>
      </c>
      <c r="W154" t="s">
        <v>354</v>
      </c>
      <c r="X154" t="s">
        <v>96</v>
      </c>
      <c r="Y154" t="s">
        <v>82</v>
      </c>
      <c r="Z154" t="s">
        <v>78</v>
      </c>
    </row>
    <row r="155" spans="1:26" x14ac:dyDescent="0.25">
      <c r="A155" t="s">
        <v>680</v>
      </c>
      <c r="B155" t="s">
        <v>681</v>
      </c>
      <c r="C155" s="4" t="s">
        <v>674</v>
      </c>
      <c r="D155" t="s">
        <v>675</v>
      </c>
      <c r="E155" t="s">
        <v>14</v>
      </c>
      <c r="F155" t="s">
        <v>85</v>
      </c>
      <c r="G155" t="s">
        <v>111</v>
      </c>
      <c r="H155" t="s">
        <v>78</v>
      </c>
      <c r="I155" t="s">
        <v>102</v>
      </c>
      <c r="J155" t="s">
        <v>15</v>
      </c>
      <c r="K155" t="s">
        <v>676</v>
      </c>
      <c r="L155" t="s">
        <v>89</v>
      </c>
      <c r="M155" t="s">
        <v>318</v>
      </c>
      <c r="N155" t="s">
        <v>493</v>
      </c>
      <c r="O155" t="s">
        <v>682</v>
      </c>
      <c r="P155" t="s">
        <v>683</v>
      </c>
      <c r="Q155" t="s">
        <v>102</v>
      </c>
      <c r="R155" t="s">
        <v>102</v>
      </c>
      <c r="S155" t="s">
        <v>679</v>
      </c>
      <c r="T155" t="s">
        <v>681</v>
      </c>
      <c r="U155" t="s">
        <v>322</v>
      </c>
      <c r="V155" t="s">
        <v>82</v>
      </c>
      <c r="W155" t="s">
        <v>354</v>
      </c>
      <c r="X155" t="s">
        <v>96</v>
      </c>
      <c r="Y155" t="s">
        <v>82</v>
      </c>
      <c r="Z155" t="s">
        <v>78</v>
      </c>
    </row>
    <row r="156" spans="1:26" x14ac:dyDescent="0.25">
      <c r="A156" t="s">
        <v>684</v>
      </c>
      <c r="B156" t="s">
        <v>685</v>
      </c>
      <c r="C156" s="4" t="s">
        <v>674</v>
      </c>
      <c r="D156" t="s">
        <v>675</v>
      </c>
      <c r="E156" t="s">
        <v>14</v>
      </c>
      <c r="F156" t="s">
        <v>85</v>
      </c>
      <c r="G156" t="s">
        <v>111</v>
      </c>
      <c r="H156" t="s">
        <v>78</v>
      </c>
      <c r="I156" t="s">
        <v>102</v>
      </c>
      <c r="J156" t="s">
        <v>18</v>
      </c>
      <c r="K156" t="s">
        <v>676</v>
      </c>
      <c r="L156" t="s">
        <v>89</v>
      </c>
      <c r="M156" t="s">
        <v>318</v>
      </c>
      <c r="N156" t="s">
        <v>493</v>
      </c>
      <c r="O156" t="s">
        <v>686</v>
      </c>
      <c r="P156" t="s">
        <v>687</v>
      </c>
      <c r="Q156" t="s">
        <v>102</v>
      </c>
      <c r="R156" t="s">
        <v>102</v>
      </c>
      <c r="S156" t="s">
        <v>679</v>
      </c>
      <c r="T156" t="s">
        <v>685</v>
      </c>
      <c r="U156" t="s">
        <v>322</v>
      </c>
      <c r="V156" t="s">
        <v>82</v>
      </c>
      <c r="W156" t="s">
        <v>354</v>
      </c>
      <c r="X156" t="s">
        <v>96</v>
      </c>
      <c r="Y156" t="s">
        <v>82</v>
      </c>
      <c r="Z156" t="s">
        <v>78</v>
      </c>
    </row>
    <row r="157" spans="1:26" x14ac:dyDescent="0.25">
      <c r="A157" t="s">
        <v>688</v>
      </c>
      <c r="B157" t="s">
        <v>689</v>
      </c>
      <c r="C157" s="4" t="s">
        <v>674</v>
      </c>
      <c r="D157" t="s">
        <v>675</v>
      </c>
      <c r="E157" t="s">
        <v>14</v>
      </c>
      <c r="F157" t="s">
        <v>83</v>
      </c>
      <c r="G157" t="s">
        <v>84</v>
      </c>
      <c r="H157" t="s">
        <v>78</v>
      </c>
      <c r="I157" t="s">
        <v>111</v>
      </c>
      <c r="J157" t="s">
        <v>17</v>
      </c>
      <c r="K157" t="s">
        <v>690</v>
      </c>
      <c r="L157" t="s">
        <v>89</v>
      </c>
      <c r="M157" t="s">
        <v>318</v>
      </c>
      <c r="N157" t="s">
        <v>691</v>
      </c>
      <c r="O157" t="s">
        <v>692</v>
      </c>
      <c r="P157" t="s">
        <v>692</v>
      </c>
      <c r="Q157" t="s">
        <v>102</v>
      </c>
      <c r="R157" t="s">
        <v>102</v>
      </c>
      <c r="S157" t="s">
        <v>693</v>
      </c>
      <c r="T157" t="s">
        <v>689</v>
      </c>
      <c r="U157" t="s">
        <v>322</v>
      </c>
      <c r="V157" t="s">
        <v>82</v>
      </c>
      <c r="W157" t="s">
        <v>694</v>
      </c>
      <c r="X157" t="s">
        <v>96</v>
      </c>
      <c r="Y157" t="s">
        <v>82</v>
      </c>
      <c r="Z157" t="s">
        <v>78</v>
      </c>
    </row>
    <row r="158" spans="1:26" x14ac:dyDescent="0.25">
      <c r="A158" t="s">
        <v>695</v>
      </c>
      <c r="B158" t="s">
        <v>696</v>
      </c>
      <c r="C158" s="4" t="s">
        <v>674</v>
      </c>
      <c r="D158" t="s">
        <v>675</v>
      </c>
      <c r="E158" t="s">
        <v>14</v>
      </c>
      <c r="F158" t="s">
        <v>83</v>
      </c>
      <c r="G158" t="s">
        <v>84</v>
      </c>
      <c r="H158" t="s">
        <v>78</v>
      </c>
      <c r="I158" t="s">
        <v>111</v>
      </c>
      <c r="J158" t="s">
        <v>15</v>
      </c>
      <c r="K158" t="s">
        <v>690</v>
      </c>
      <c r="L158" t="s">
        <v>89</v>
      </c>
      <c r="M158" t="s">
        <v>318</v>
      </c>
      <c r="N158" t="s">
        <v>691</v>
      </c>
      <c r="O158" t="s">
        <v>697</v>
      </c>
      <c r="P158" t="s">
        <v>697</v>
      </c>
      <c r="Q158" t="s">
        <v>102</v>
      </c>
      <c r="R158" t="s">
        <v>102</v>
      </c>
      <c r="S158" t="s">
        <v>693</v>
      </c>
      <c r="T158" t="s">
        <v>696</v>
      </c>
      <c r="U158" t="s">
        <v>322</v>
      </c>
      <c r="V158" t="s">
        <v>82</v>
      </c>
      <c r="W158" t="s">
        <v>694</v>
      </c>
      <c r="X158" t="s">
        <v>96</v>
      </c>
      <c r="Y158" t="s">
        <v>82</v>
      </c>
      <c r="Z158" t="s">
        <v>78</v>
      </c>
    </row>
    <row r="159" spans="1:26" x14ac:dyDescent="0.25">
      <c r="A159" t="s">
        <v>698</v>
      </c>
      <c r="B159" t="s">
        <v>699</v>
      </c>
      <c r="C159" s="4" t="s">
        <v>674</v>
      </c>
      <c r="D159" t="s">
        <v>675</v>
      </c>
      <c r="E159" t="s">
        <v>14</v>
      </c>
      <c r="F159" t="s">
        <v>83</v>
      </c>
      <c r="G159" t="s">
        <v>84</v>
      </c>
      <c r="H159" t="s">
        <v>78</v>
      </c>
      <c r="I159" t="s">
        <v>111</v>
      </c>
      <c r="J159" t="s">
        <v>18</v>
      </c>
      <c r="K159" t="s">
        <v>690</v>
      </c>
      <c r="L159" t="s">
        <v>89</v>
      </c>
      <c r="M159" t="s">
        <v>318</v>
      </c>
      <c r="N159" t="s">
        <v>691</v>
      </c>
      <c r="O159" t="s">
        <v>700</v>
      </c>
      <c r="P159" t="s">
        <v>700</v>
      </c>
      <c r="Q159" t="s">
        <v>102</v>
      </c>
      <c r="R159" t="s">
        <v>102</v>
      </c>
      <c r="S159" t="s">
        <v>693</v>
      </c>
      <c r="T159" t="s">
        <v>699</v>
      </c>
      <c r="U159" t="s">
        <v>322</v>
      </c>
      <c r="V159" t="s">
        <v>82</v>
      </c>
      <c r="W159" t="s">
        <v>694</v>
      </c>
      <c r="X159" t="s">
        <v>96</v>
      </c>
      <c r="Y159" t="s">
        <v>82</v>
      </c>
      <c r="Z159" t="s">
        <v>78</v>
      </c>
    </row>
    <row r="160" spans="1:26" x14ac:dyDescent="0.25">
      <c r="A160" t="s">
        <v>701</v>
      </c>
      <c r="B160" t="s">
        <v>702</v>
      </c>
      <c r="C160" s="4" t="s">
        <v>232</v>
      </c>
      <c r="D160" t="s">
        <v>703</v>
      </c>
      <c r="E160" t="s">
        <v>14</v>
      </c>
      <c r="F160" t="s">
        <v>83</v>
      </c>
      <c r="G160" t="s">
        <v>84</v>
      </c>
      <c r="H160" t="s">
        <v>85</v>
      </c>
      <c r="I160" t="s">
        <v>86</v>
      </c>
      <c r="J160" t="s">
        <v>607</v>
      </c>
      <c r="K160" t="s">
        <v>186</v>
      </c>
      <c r="L160" t="s">
        <v>89</v>
      </c>
      <c r="M160" t="s">
        <v>318</v>
      </c>
      <c r="N160" t="s">
        <v>704</v>
      </c>
      <c r="O160" t="s">
        <v>705</v>
      </c>
      <c r="P160" t="s">
        <v>705</v>
      </c>
      <c r="Q160" t="s">
        <v>102</v>
      </c>
      <c r="R160" t="s">
        <v>85</v>
      </c>
      <c r="S160" t="s">
        <v>189</v>
      </c>
      <c r="T160" t="s">
        <v>702</v>
      </c>
      <c r="U160" t="s">
        <v>322</v>
      </c>
      <c r="V160" t="s">
        <v>82</v>
      </c>
      <c r="W160" t="s">
        <v>706</v>
      </c>
      <c r="X160" t="s">
        <v>96</v>
      </c>
      <c r="Y160" t="s">
        <v>82</v>
      </c>
      <c r="Z160" t="s">
        <v>85</v>
      </c>
    </row>
    <row r="161" spans="1:26" x14ac:dyDescent="0.25">
      <c r="A161" t="s">
        <v>707</v>
      </c>
      <c r="B161" t="s">
        <v>708</v>
      </c>
      <c r="C161" s="4" t="s">
        <v>232</v>
      </c>
      <c r="D161" t="s">
        <v>703</v>
      </c>
      <c r="E161" t="s">
        <v>14</v>
      </c>
      <c r="F161" t="s">
        <v>83</v>
      </c>
      <c r="G161" t="s">
        <v>84</v>
      </c>
      <c r="H161" t="s">
        <v>85</v>
      </c>
      <c r="I161" t="s">
        <v>86</v>
      </c>
      <c r="J161" t="s">
        <v>340</v>
      </c>
      <c r="K161" t="s">
        <v>186</v>
      </c>
      <c r="L161" t="s">
        <v>89</v>
      </c>
      <c r="M161" t="s">
        <v>318</v>
      </c>
      <c r="N161" t="s">
        <v>704</v>
      </c>
      <c r="O161" t="s">
        <v>709</v>
      </c>
      <c r="P161" t="s">
        <v>709</v>
      </c>
      <c r="Q161" t="s">
        <v>102</v>
      </c>
      <c r="R161" t="s">
        <v>85</v>
      </c>
      <c r="S161" t="s">
        <v>189</v>
      </c>
      <c r="T161" t="s">
        <v>708</v>
      </c>
      <c r="U161" t="s">
        <v>322</v>
      </c>
      <c r="V161" t="s">
        <v>82</v>
      </c>
      <c r="W161" t="s">
        <v>706</v>
      </c>
      <c r="X161" t="s">
        <v>96</v>
      </c>
      <c r="Y161" t="s">
        <v>82</v>
      </c>
      <c r="Z161" t="s">
        <v>85</v>
      </c>
    </row>
    <row r="162" spans="1:26" x14ac:dyDescent="0.25">
      <c r="A162" t="s">
        <v>710</v>
      </c>
      <c r="B162" t="s">
        <v>711</v>
      </c>
      <c r="C162" s="4" t="s">
        <v>232</v>
      </c>
      <c r="D162" t="s">
        <v>703</v>
      </c>
      <c r="E162" t="s">
        <v>14</v>
      </c>
      <c r="F162" t="s">
        <v>83</v>
      </c>
      <c r="G162" t="s">
        <v>84</v>
      </c>
      <c r="H162" t="s">
        <v>85</v>
      </c>
      <c r="I162" t="s">
        <v>86</v>
      </c>
      <c r="J162" t="s">
        <v>87</v>
      </c>
      <c r="K162" t="s">
        <v>186</v>
      </c>
      <c r="L162" t="s">
        <v>89</v>
      </c>
      <c r="M162" t="s">
        <v>318</v>
      </c>
      <c r="N162" t="s">
        <v>704</v>
      </c>
      <c r="O162" t="s">
        <v>712</v>
      </c>
      <c r="P162" t="s">
        <v>712</v>
      </c>
      <c r="Q162" t="s">
        <v>102</v>
      </c>
      <c r="R162" t="s">
        <v>85</v>
      </c>
      <c r="S162" t="s">
        <v>189</v>
      </c>
      <c r="T162" t="s">
        <v>711</v>
      </c>
      <c r="U162" t="s">
        <v>322</v>
      </c>
      <c r="V162" t="s">
        <v>82</v>
      </c>
      <c r="W162" t="s">
        <v>706</v>
      </c>
      <c r="X162" t="s">
        <v>96</v>
      </c>
      <c r="Y162" t="s">
        <v>82</v>
      </c>
      <c r="Z162" t="s">
        <v>85</v>
      </c>
    </row>
    <row r="163" spans="1:26" x14ac:dyDescent="0.25">
      <c r="A163" t="s">
        <v>713</v>
      </c>
      <c r="B163" t="s">
        <v>714</v>
      </c>
      <c r="C163" s="4" t="s">
        <v>235</v>
      </c>
      <c r="D163" t="s">
        <v>715</v>
      </c>
      <c r="E163" t="s">
        <v>14</v>
      </c>
      <c r="F163" t="s">
        <v>105</v>
      </c>
      <c r="G163" t="s">
        <v>106</v>
      </c>
      <c r="H163" t="s">
        <v>85</v>
      </c>
      <c r="I163" t="s">
        <v>86</v>
      </c>
      <c r="J163" t="s">
        <v>607</v>
      </c>
      <c r="K163" t="s">
        <v>107</v>
      </c>
      <c r="L163" t="s">
        <v>89</v>
      </c>
      <c r="M163" t="s">
        <v>318</v>
      </c>
      <c r="N163" t="s">
        <v>716</v>
      </c>
      <c r="O163" t="s">
        <v>717</v>
      </c>
      <c r="P163" t="s">
        <v>717</v>
      </c>
      <c r="Q163" t="s">
        <v>102</v>
      </c>
      <c r="R163" t="s">
        <v>85</v>
      </c>
      <c r="S163" t="s">
        <v>110</v>
      </c>
      <c r="T163" t="s">
        <v>714</v>
      </c>
      <c r="U163" t="s">
        <v>322</v>
      </c>
      <c r="V163" t="s">
        <v>82</v>
      </c>
      <c r="W163" t="s">
        <v>718</v>
      </c>
      <c r="X163" t="s">
        <v>96</v>
      </c>
      <c r="Y163" t="s">
        <v>82</v>
      </c>
      <c r="Z163" t="s">
        <v>85</v>
      </c>
    </row>
    <row r="164" spans="1:26" x14ac:dyDescent="0.25">
      <c r="A164" t="s">
        <v>719</v>
      </c>
      <c r="B164" t="s">
        <v>720</v>
      </c>
      <c r="C164" s="4" t="s">
        <v>235</v>
      </c>
      <c r="D164" t="s">
        <v>715</v>
      </c>
      <c r="E164" t="s">
        <v>14</v>
      </c>
      <c r="F164" t="s">
        <v>105</v>
      </c>
      <c r="G164" t="s">
        <v>106</v>
      </c>
      <c r="H164" t="s">
        <v>85</v>
      </c>
      <c r="I164" t="s">
        <v>86</v>
      </c>
      <c r="J164" t="s">
        <v>340</v>
      </c>
      <c r="K164" t="s">
        <v>107</v>
      </c>
      <c r="L164" t="s">
        <v>89</v>
      </c>
      <c r="M164" t="s">
        <v>318</v>
      </c>
      <c r="N164" t="s">
        <v>716</v>
      </c>
      <c r="O164" t="s">
        <v>721</v>
      </c>
      <c r="P164" t="s">
        <v>721</v>
      </c>
      <c r="Q164" t="s">
        <v>102</v>
      </c>
      <c r="R164" t="s">
        <v>85</v>
      </c>
      <c r="S164" t="s">
        <v>110</v>
      </c>
      <c r="T164" t="s">
        <v>720</v>
      </c>
      <c r="U164" t="s">
        <v>322</v>
      </c>
      <c r="V164" t="s">
        <v>82</v>
      </c>
      <c r="W164" t="s">
        <v>718</v>
      </c>
      <c r="X164" t="s">
        <v>96</v>
      </c>
      <c r="Y164" t="s">
        <v>82</v>
      </c>
      <c r="Z164" t="s">
        <v>85</v>
      </c>
    </row>
    <row r="165" spans="1:26" x14ac:dyDescent="0.25">
      <c r="A165" t="s">
        <v>722</v>
      </c>
      <c r="B165" t="s">
        <v>723</v>
      </c>
      <c r="C165" s="4" t="s">
        <v>235</v>
      </c>
      <c r="D165" t="s">
        <v>715</v>
      </c>
      <c r="E165" t="s">
        <v>14</v>
      </c>
      <c r="F165" t="s">
        <v>105</v>
      </c>
      <c r="G165" t="s">
        <v>106</v>
      </c>
      <c r="H165" t="s">
        <v>85</v>
      </c>
      <c r="I165" t="s">
        <v>86</v>
      </c>
      <c r="J165" t="s">
        <v>87</v>
      </c>
      <c r="K165" t="s">
        <v>107</v>
      </c>
      <c r="L165" t="s">
        <v>89</v>
      </c>
      <c r="M165" t="s">
        <v>318</v>
      </c>
      <c r="N165" t="s">
        <v>716</v>
      </c>
      <c r="O165" t="s">
        <v>724</v>
      </c>
      <c r="P165" t="s">
        <v>724</v>
      </c>
      <c r="Q165" t="s">
        <v>102</v>
      </c>
      <c r="R165" t="s">
        <v>85</v>
      </c>
      <c r="S165" t="s">
        <v>110</v>
      </c>
      <c r="T165" t="s">
        <v>723</v>
      </c>
      <c r="U165" t="s">
        <v>322</v>
      </c>
      <c r="V165" t="s">
        <v>82</v>
      </c>
      <c r="W165" t="s">
        <v>718</v>
      </c>
      <c r="X165" t="s">
        <v>96</v>
      </c>
      <c r="Y165" t="s">
        <v>82</v>
      </c>
      <c r="Z165" t="s">
        <v>85</v>
      </c>
    </row>
    <row r="166" spans="1:26" x14ac:dyDescent="0.25">
      <c r="A166" t="s">
        <v>725</v>
      </c>
      <c r="B166" t="s">
        <v>726</v>
      </c>
      <c r="C166" s="4" t="s">
        <v>727</v>
      </c>
      <c r="D166" t="s">
        <v>675</v>
      </c>
      <c r="E166" t="s">
        <v>14</v>
      </c>
      <c r="F166" t="s">
        <v>111</v>
      </c>
      <c r="G166" t="s">
        <v>124</v>
      </c>
      <c r="H166" t="s">
        <v>78</v>
      </c>
      <c r="I166" t="s">
        <v>102</v>
      </c>
      <c r="J166" t="s">
        <v>18</v>
      </c>
      <c r="K166" t="s">
        <v>728</v>
      </c>
      <c r="L166" t="s">
        <v>89</v>
      </c>
      <c r="M166" t="s">
        <v>318</v>
      </c>
      <c r="N166" t="s">
        <v>729</v>
      </c>
      <c r="O166" t="s">
        <v>730</v>
      </c>
      <c r="P166" t="s">
        <v>731</v>
      </c>
      <c r="Q166" t="s">
        <v>102</v>
      </c>
      <c r="R166" t="s">
        <v>102</v>
      </c>
      <c r="S166" t="s">
        <v>732</v>
      </c>
      <c r="T166" t="s">
        <v>726</v>
      </c>
      <c r="U166" t="s">
        <v>322</v>
      </c>
      <c r="V166" t="s">
        <v>82</v>
      </c>
      <c r="W166" t="s">
        <v>733</v>
      </c>
      <c r="X166" t="s">
        <v>96</v>
      </c>
      <c r="Y166" t="s">
        <v>82</v>
      </c>
      <c r="Z166" t="s">
        <v>78</v>
      </c>
    </row>
    <row r="167" spans="1:26" x14ac:dyDescent="0.25">
      <c r="A167" t="s">
        <v>734</v>
      </c>
      <c r="B167" t="s">
        <v>735</v>
      </c>
      <c r="C167" s="4" t="s">
        <v>727</v>
      </c>
      <c r="D167" t="s">
        <v>675</v>
      </c>
      <c r="E167" t="s">
        <v>14</v>
      </c>
      <c r="F167" t="s">
        <v>111</v>
      </c>
      <c r="G167" t="s">
        <v>124</v>
      </c>
      <c r="H167" t="s">
        <v>78</v>
      </c>
      <c r="I167" t="s">
        <v>102</v>
      </c>
      <c r="J167" t="s">
        <v>15</v>
      </c>
      <c r="K167" t="s">
        <v>728</v>
      </c>
      <c r="L167" t="s">
        <v>89</v>
      </c>
      <c r="M167" t="s">
        <v>318</v>
      </c>
      <c r="N167" t="s">
        <v>729</v>
      </c>
      <c r="O167" t="s">
        <v>730</v>
      </c>
      <c r="P167" t="s">
        <v>736</v>
      </c>
      <c r="Q167" t="s">
        <v>102</v>
      </c>
      <c r="R167" t="s">
        <v>102</v>
      </c>
      <c r="S167" t="s">
        <v>732</v>
      </c>
      <c r="T167" t="s">
        <v>735</v>
      </c>
      <c r="U167" t="s">
        <v>322</v>
      </c>
      <c r="V167" t="s">
        <v>82</v>
      </c>
      <c r="W167" t="s">
        <v>733</v>
      </c>
      <c r="X167" t="s">
        <v>96</v>
      </c>
      <c r="Y167" t="s">
        <v>82</v>
      </c>
      <c r="Z167" t="s">
        <v>78</v>
      </c>
    </row>
    <row r="168" spans="1:26" x14ac:dyDescent="0.25">
      <c r="A168" t="s">
        <v>737</v>
      </c>
      <c r="B168" t="s">
        <v>738</v>
      </c>
      <c r="C168" s="4" t="s">
        <v>727</v>
      </c>
      <c r="D168" t="s">
        <v>675</v>
      </c>
      <c r="E168" t="s">
        <v>14</v>
      </c>
      <c r="F168" t="s">
        <v>128</v>
      </c>
      <c r="G168" t="s">
        <v>105</v>
      </c>
      <c r="H168" t="s">
        <v>78</v>
      </c>
      <c r="I168" t="s">
        <v>102</v>
      </c>
      <c r="J168" t="s">
        <v>15</v>
      </c>
      <c r="K168" t="s">
        <v>690</v>
      </c>
      <c r="L168" t="s">
        <v>89</v>
      </c>
      <c r="M168" t="s">
        <v>318</v>
      </c>
      <c r="N168" t="s">
        <v>739</v>
      </c>
      <c r="O168" t="s">
        <v>740</v>
      </c>
      <c r="P168" t="s">
        <v>741</v>
      </c>
      <c r="Q168" t="s">
        <v>102</v>
      </c>
      <c r="R168" t="s">
        <v>102</v>
      </c>
      <c r="S168" t="s">
        <v>742</v>
      </c>
      <c r="T168" t="s">
        <v>738</v>
      </c>
      <c r="U168" t="s">
        <v>322</v>
      </c>
      <c r="V168" t="s">
        <v>82</v>
      </c>
      <c r="W168" t="s">
        <v>743</v>
      </c>
      <c r="X168" t="s">
        <v>96</v>
      </c>
      <c r="Y168" t="s">
        <v>82</v>
      </c>
      <c r="Z168" t="s">
        <v>78</v>
      </c>
    </row>
    <row r="169" spans="1:26" x14ac:dyDescent="0.25">
      <c r="A169" t="s">
        <v>744</v>
      </c>
      <c r="B169" t="s">
        <v>745</v>
      </c>
      <c r="C169" s="4" t="s">
        <v>727</v>
      </c>
      <c r="D169" t="s">
        <v>675</v>
      </c>
      <c r="E169" t="s">
        <v>14</v>
      </c>
      <c r="F169" t="s">
        <v>128</v>
      </c>
      <c r="G169" t="s">
        <v>105</v>
      </c>
      <c r="H169" t="s">
        <v>78</v>
      </c>
      <c r="I169" t="s">
        <v>102</v>
      </c>
      <c r="J169" t="s">
        <v>18</v>
      </c>
      <c r="K169" t="s">
        <v>690</v>
      </c>
      <c r="L169" t="s">
        <v>89</v>
      </c>
      <c r="M169" t="s">
        <v>318</v>
      </c>
      <c r="N169" t="s">
        <v>739</v>
      </c>
      <c r="O169" t="s">
        <v>746</v>
      </c>
      <c r="P169" t="s">
        <v>747</v>
      </c>
      <c r="Q169" t="s">
        <v>102</v>
      </c>
      <c r="R169" t="s">
        <v>102</v>
      </c>
      <c r="S169" t="s">
        <v>742</v>
      </c>
      <c r="T169" t="s">
        <v>745</v>
      </c>
      <c r="U169" t="s">
        <v>322</v>
      </c>
      <c r="V169" t="s">
        <v>82</v>
      </c>
      <c r="W169" t="s">
        <v>743</v>
      </c>
      <c r="X169" t="s">
        <v>96</v>
      </c>
      <c r="Y169" t="s">
        <v>82</v>
      </c>
      <c r="Z169" t="s">
        <v>78</v>
      </c>
    </row>
    <row r="170" spans="1:26" x14ac:dyDescent="0.25">
      <c r="A170" t="s">
        <v>748</v>
      </c>
      <c r="B170" t="s">
        <v>749</v>
      </c>
      <c r="C170" s="4" t="s">
        <v>727</v>
      </c>
      <c r="D170" t="s">
        <v>675</v>
      </c>
      <c r="E170" t="s">
        <v>14</v>
      </c>
      <c r="F170" t="s">
        <v>143</v>
      </c>
      <c r="G170" t="s">
        <v>106</v>
      </c>
      <c r="H170" t="s">
        <v>78</v>
      </c>
      <c r="I170" t="s">
        <v>102</v>
      </c>
      <c r="J170" t="s">
        <v>18</v>
      </c>
      <c r="K170" t="s">
        <v>750</v>
      </c>
      <c r="L170" t="s">
        <v>89</v>
      </c>
      <c r="M170" t="s">
        <v>318</v>
      </c>
      <c r="N170" t="s">
        <v>751</v>
      </c>
      <c r="O170" t="s">
        <v>752</v>
      </c>
      <c r="P170" t="s">
        <v>753</v>
      </c>
      <c r="Q170" t="s">
        <v>102</v>
      </c>
      <c r="R170" t="s">
        <v>102</v>
      </c>
      <c r="S170" t="s">
        <v>754</v>
      </c>
      <c r="T170" t="s">
        <v>749</v>
      </c>
      <c r="U170" t="s">
        <v>322</v>
      </c>
      <c r="V170" t="s">
        <v>82</v>
      </c>
      <c r="W170" t="s">
        <v>354</v>
      </c>
      <c r="X170" t="s">
        <v>96</v>
      </c>
      <c r="Y170" t="s">
        <v>82</v>
      </c>
      <c r="Z170" t="s">
        <v>78</v>
      </c>
    </row>
    <row r="171" spans="1:26" x14ac:dyDescent="0.25">
      <c r="A171" t="s">
        <v>755</v>
      </c>
      <c r="B171" t="s">
        <v>756</v>
      </c>
      <c r="C171" s="4" t="s">
        <v>727</v>
      </c>
      <c r="D171" t="s">
        <v>675</v>
      </c>
      <c r="E171" t="s">
        <v>14</v>
      </c>
      <c r="F171" t="s">
        <v>143</v>
      </c>
      <c r="G171" t="s">
        <v>106</v>
      </c>
      <c r="H171" t="s">
        <v>78</v>
      </c>
      <c r="I171" t="s">
        <v>102</v>
      </c>
      <c r="J171" t="s">
        <v>15</v>
      </c>
      <c r="K171" t="s">
        <v>750</v>
      </c>
      <c r="L171" t="s">
        <v>89</v>
      </c>
      <c r="M171" t="s">
        <v>318</v>
      </c>
      <c r="N171" t="s">
        <v>751</v>
      </c>
      <c r="O171" t="s">
        <v>757</v>
      </c>
      <c r="P171" t="s">
        <v>758</v>
      </c>
      <c r="Q171" t="s">
        <v>102</v>
      </c>
      <c r="R171" t="s">
        <v>102</v>
      </c>
      <c r="S171" t="s">
        <v>754</v>
      </c>
      <c r="T171" t="s">
        <v>756</v>
      </c>
      <c r="U171" t="s">
        <v>322</v>
      </c>
      <c r="V171" t="s">
        <v>82</v>
      </c>
      <c r="W171" t="s">
        <v>759</v>
      </c>
      <c r="X171" t="s">
        <v>96</v>
      </c>
      <c r="Y171" t="s">
        <v>82</v>
      </c>
      <c r="Z171" t="s">
        <v>78</v>
      </c>
    </row>
    <row r="172" spans="1:26" x14ac:dyDescent="0.25">
      <c r="A172" t="s">
        <v>760</v>
      </c>
      <c r="B172" t="s">
        <v>761</v>
      </c>
      <c r="C172" s="4" t="s">
        <v>762</v>
      </c>
      <c r="D172" t="s">
        <v>381</v>
      </c>
      <c r="E172" t="s">
        <v>14</v>
      </c>
      <c r="F172" t="s">
        <v>78</v>
      </c>
      <c r="G172" t="s">
        <v>102</v>
      </c>
      <c r="H172" t="s">
        <v>78</v>
      </c>
      <c r="I172" t="s">
        <v>102</v>
      </c>
      <c r="J172" t="s">
        <v>17</v>
      </c>
      <c r="K172" t="s">
        <v>763</v>
      </c>
      <c r="L172" t="s">
        <v>89</v>
      </c>
      <c r="M172" t="s">
        <v>318</v>
      </c>
      <c r="N172" t="s">
        <v>764</v>
      </c>
      <c r="O172" t="s">
        <v>765</v>
      </c>
      <c r="P172" t="s">
        <v>765</v>
      </c>
      <c r="Q172" t="s">
        <v>102</v>
      </c>
      <c r="R172" t="s">
        <v>86</v>
      </c>
      <c r="S172" t="s">
        <v>766</v>
      </c>
      <c r="T172" t="s">
        <v>761</v>
      </c>
      <c r="U172" t="s">
        <v>322</v>
      </c>
      <c r="V172" t="s">
        <v>82</v>
      </c>
      <c r="W172" t="s">
        <v>767</v>
      </c>
      <c r="X172" t="s">
        <v>96</v>
      </c>
      <c r="Y172" t="s">
        <v>82</v>
      </c>
      <c r="Z172" t="s">
        <v>78</v>
      </c>
    </row>
    <row r="173" spans="1:26" x14ac:dyDescent="0.25">
      <c r="A173" t="s">
        <v>768</v>
      </c>
      <c r="B173" t="s">
        <v>769</v>
      </c>
      <c r="C173" s="4" t="s">
        <v>762</v>
      </c>
      <c r="D173" t="s">
        <v>381</v>
      </c>
      <c r="E173" t="s">
        <v>14</v>
      </c>
      <c r="F173" t="s">
        <v>78</v>
      </c>
      <c r="G173" t="s">
        <v>102</v>
      </c>
      <c r="H173" t="s">
        <v>78</v>
      </c>
      <c r="I173" t="s">
        <v>102</v>
      </c>
      <c r="J173" t="s">
        <v>15</v>
      </c>
      <c r="K173" t="s">
        <v>763</v>
      </c>
      <c r="L173" t="s">
        <v>89</v>
      </c>
      <c r="M173" t="s">
        <v>318</v>
      </c>
      <c r="N173" t="s">
        <v>764</v>
      </c>
      <c r="O173" t="s">
        <v>765</v>
      </c>
      <c r="P173" t="s">
        <v>765</v>
      </c>
      <c r="Q173" t="s">
        <v>102</v>
      </c>
      <c r="R173" t="s">
        <v>86</v>
      </c>
      <c r="S173" t="s">
        <v>766</v>
      </c>
      <c r="T173" t="s">
        <v>769</v>
      </c>
      <c r="U173" t="s">
        <v>322</v>
      </c>
      <c r="V173" t="s">
        <v>82</v>
      </c>
      <c r="W173" t="s">
        <v>767</v>
      </c>
      <c r="X173" t="s">
        <v>96</v>
      </c>
      <c r="Y173" t="s">
        <v>82</v>
      </c>
      <c r="Z173" t="s">
        <v>78</v>
      </c>
    </row>
    <row r="174" spans="1:26" x14ac:dyDescent="0.25">
      <c r="A174" t="s">
        <v>770</v>
      </c>
      <c r="B174" t="s">
        <v>771</v>
      </c>
      <c r="C174" s="4" t="s">
        <v>762</v>
      </c>
      <c r="D174" t="s">
        <v>381</v>
      </c>
      <c r="E174" t="s">
        <v>14</v>
      </c>
      <c r="F174" t="s">
        <v>78</v>
      </c>
      <c r="G174" t="s">
        <v>102</v>
      </c>
      <c r="H174" t="s">
        <v>78</v>
      </c>
      <c r="I174" t="s">
        <v>102</v>
      </c>
      <c r="J174" t="s">
        <v>18</v>
      </c>
      <c r="K174" t="s">
        <v>763</v>
      </c>
      <c r="L174" t="s">
        <v>89</v>
      </c>
      <c r="M174" t="s">
        <v>318</v>
      </c>
      <c r="N174" t="s">
        <v>764</v>
      </c>
      <c r="O174" t="s">
        <v>772</v>
      </c>
      <c r="P174" t="s">
        <v>772</v>
      </c>
      <c r="Q174" t="s">
        <v>102</v>
      </c>
      <c r="R174" t="s">
        <v>86</v>
      </c>
      <c r="S174" t="s">
        <v>766</v>
      </c>
      <c r="T174" t="s">
        <v>771</v>
      </c>
      <c r="U174" t="s">
        <v>322</v>
      </c>
      <c r="V174" t="s">
        <v>82</v>
      </c>
      <c r="W174" t="s">
        <v>767</v>
      </c>
      <c r="X174" t="s">
        <v>96</v>
      </c>
      <c r="Y174" t="s">
        <v>82</v>
      </c>
      <c r="Z174" t="s">
        <v>78</v>
      </c>
    </row>
    <row r="175" spans="1:26" x14ac:dyDescent="0.25">
      <c r="A175" t="s">
        <v>773</v>
      </c>
      <c r="B175" t="s">
        <v>774</v>
      </c>
      <c r="C175" s="4" t="s">
        <v>762</v>
      </c>
      <c r="D175" t="s">
        <v>381</v>
      </c>
      <c r="E175" t="s">
        <v>14</v>
      </c>
      <c r="F175" t="s">
        <v>111</v>
      </c>
      <c r="G175" t="s">
        <v>124</v>
      </c>
      <c r="H175" t="s">
        <v>78</v>
      </c>
      <c r="I175" t="s">
        <v>102</v>
      </c>
      <c r="J175" t="s">
        <v>15</v>
      </c>
      <c r="K175" t="s">
        <v>775</v>
      </c>
      <c r="L175" t="s">
        <v>89</v>
      </c>
      <c r="M175" t="s">
        <v>318</v>
      </c>
      <c r="N175" t="s">
        <v>776</v>
      </c>
      <c r="O175" t="s">
        <v>777</v>
      </c>
      <c r="P175" t="s">
        <v>777</v>
      </c>
      <c r="Q175" t="s">
        <v>102</v>
      </c>
      <c r="R175" t="s">
        <v>86</v>
      </c>
      <c r="S175" t="s">
        <v>778</v>
      </c>
      <c r="T175" t="s">
        <v>774</v>
      </c>
      <c r="U175" t="s">
        <v>322</v>
      </c>
      <c r="V175" t="s">
        <v>82</v>
      </c>
      <c r="W175" t="s">
        <v>779</v>
      </c>
      <c r="X175" t="s">
        <v>96</v>
      </c>
      <c r="Y175" t="s">
        <v>82</v>
      </c>
      <c r="Z175" t="s">
        <v>78</v>
      </c>
    </row>
    <row r="176" spans="1:26" x14ac:dyDescent="0.25">
      <c r="A176" t="s">
        <v>780</v>
      </c>
      <c r="B176" t="s">
        <v>781</v>
      </c>
      <c r="C176" s="4" t="s">
        <v>762</v>
      </c>
      <c r="D176" t="s">
        <v>381</v>
      </c>
      <c r="E176" t="s">
        <v>14</v>
      </c>
      <c r="F176" t="s">
        <v>111</v>
      </c>
      <c r="G176" t="s">
        <v>124</v>
      </c>
      <c r="H176" t="s">
        <v>78</v>
      </c>
      <c r="I176" t="s">
        <v>102</v>
      </c>
      <c r="J176" t="s">
        <v>18</v>
      </c>
      <c r="K176" t="s">
        <v>775</v>
      </c>
      <c r="L176" t="s">
        <v>89</v>
      </c>
      <c r="M176" t="s">
        <v>318</v>
      </c>
      <c r="N176" t="s">
        <v>776</v>
      </c>
      <c r="O176" t="s">
        <v>782</v>
      </c>
      <c r="P176" t="s">
        <v>782</v>
      </c>
      <c r="Q176" t="s">
        <v>102</v>
      </c>
      <c r="R176" t="s">
        <v>86</v>
      </c>
      <c r="S176" t="s">
        <v>778</v>
      </c>
      <c r="T176" t="s">
        <v>781</v>
      </c>
      <c r="U176" t="s">
        <v>322</v>
      </c>
      <c r="V176" t="s">
        <v>82</v>
      </c>
      <c r="W176" t="s">
        <v>779</v>
      </c>
      <c r="X176" t="s">
        <v>96</v>
      </c>
      <c r="Y176" t="s">
        <v>82</v>
      </c>
      <c r="Z176" t="s">
        <v>78</v>
      </c>
    </row>
    <row r="177" spans="1:26" x14ac:dyDescent="0.25">
      <c r="A177" t="s">
        <v>783</v>
      </c>
      <c r="B177" t="s">
        <v>784</v>
      </c>
      <c r="C177" s="4" t="s">
        <v>762</v>
      </c>
      <c r="D177" t="s">
        <v>381</v>
      </c>
      <c r="E177" t="s">
        <v>14</v>
      </c>
      <c r="F177" t="s">
        <v>111</v>
      </c>
      <c r="G177" t="s">
        <v>124</v>
      </c>
      <c r="H177" t="s">
        <v>78</v>
      </c>
      <c r="I177" t="s">
        <v>102</v>
      </c>
      <c r="J177" t="s">
        <v>17</v>
      </c>
      <c r="K177" t="s">
        <v>775</v>
      </c>
      <c r="L177" t="s">
        <v>89</v>
      </c>
      <c r="M177" t="s">
        <v>318</v>
      </c>
      <c r="N177" t="s">
        <v>776</v>
      </c>
      <c r="O177" t="s">
        <v>782</v>
      </c>
      <c r="P177" t="s">
        <v>782</v>
      </c>
      <c r="Q177" t="s">
        <v>102</v>
      </c>
      <c r="R177" t="s">
        <v>86</v>
      </c>
      <c r="S177" t="s">
        <v>778</v>
      </c>
      <c r="T177" t="s">
        <v>784</v>
      </c>
      <c r="U177" t="s">
        <v>322</v>
      </c>
      <c r="V177" t="s">
        <v>82</v>
      </c>
      <c r="W177" t="s">
        <v>779</v>
      </c>
      <c r="X177" t="s">
        <v>96</v>
      </c>
      <c r="Y177" t="s">
        <v>82</v>
      </c>
      <c r="Z177" t="s">
        <v>78</v>
      </c>
    </row>
    <row r="178" spans="1:26" x14ac:dyDescent="0.25">
      <c r="A178" t="s">
        <v>785</v>
      </c>
      <c r="B178" t="s">
        <v>786</v>
      </c>
      <c r="C178" s="4" t="s">
        <v>762</v>
      </c>
      <c r="D178" t="s">
        <v>381</v>
      </c>
      <c r="E178" t="s">
        <v>14</v>
      </c>
      <c r="F178" t="s">
        <v>128</v>
      </c>
      <c r="G178" t="s">
        <v>105</v>
      </c>
      <c r="H178" t="s">
        <v>78</v>
      </c>
      <c r="I178" t="s">
        <v>102</v>
      </c>
      <c r="J178" t="s">
        <v>17</v>
      </c>
      <c r="K178" t="s">
        <v>787</v>
      </c>
      <c r="L178" t="s">
        <v>89</v>
      </c>
      <c r="M178" t="s">
        <v>318</v>
      </c>
      <c r="N178" t="s">
        <v>788</v>
      </c>
      <c r="O178" t="s">
        <v>789</v>
      </c>
      <c r="P178" t="s">
        <v>789</v>
      </c>
      <c r="Q178" t="s">
        <v>102</v>
      </c>
      <c r="R178" t="s">
        <v>86</v>
      </c>
      <c r="S178" t="s">
        <v>790</v>
      </c>
      <c r="T178" t="s">
        <v>786</v>
      </c>
      <c r="U178" t="s">
        <v>322</v>
      </c>
      <c r="V178" t="s">
        <v>82</v>
      </c>
      <c r="W178" t="s">
        <v>791</v>
      </c>
      <c r="X178" t="s">
        <v>96</v>
      </c>
      <c r="Y178" t="s">
        <v>82</v>
      </c>
      <c r="Z178" t="s">
        <v>78</v>
      </c>
    </row>
    <row r="179" spans="1:26" x14ac:dyDescent="0.25">
      <c r="A179" t="s">
        <v>792</v>
      </c>
      <c r="B179" t="s">
        <v>793</v>
      </c>
      <c r="C179" s="4" t="s">
        <v>762</v>
      </c>
      <c r="D179" t="s">
        <v>381</v>
      </c>
      <c r="E179" t="s">
        <v>14</v>
      </c>
      <c r="F179" t="s">
        <v>128</v>
      </c>
      <c r="G179" t="s">
        <v>105</v>
      </c>
      <c r="H179" t="s">
        <v>78</v>
      </c>
      <c r="I179" t="s">
        <v>102</v>
      </c>
      <c r="J179" t="s">
        <v>15</v>
      </c>
      <c r="K179" t="s">
        <v>787</v>
      </c>
      <c r="L179" t="s">
        <v>89</v>
      </c>
      <c r="M179" t="s">
        <v>318</v>
      </c>
      <c r="N179" t="s">
        <v>788</v>
      </c>
      <c r="O179" t="s">
        <v>794</v>
      </c>
      <c r="P179" t="s">
        <v>794</v>
      </c>
      <c r="Q179" t="s">
        <v>102</v>
      </c>
      <c r="R179" t="s">
        <v>86</v>
      </c>
      <c r="S179" t="s">
        <v>790</v>
      </c>
      <c r="T179" t="s">
        <v>793</v>
      </c>
      <c r="U179" t="s">
        <v>322</v>
      </c>
      <c r="V179" t="s">
        <v>82</v>
      </c>
      <c r="W179" t="s">
        <v>791</v>
      </c>
      <c r="X179" t="s">
        <v>96</v>
      </c>
      <c r="Y179" t="s">
        <v>82</v>
      </c>
      <c r="Z179" t="s">
        <v>78</v>
      </c>
    </row>
    <row r="180" spans="1:26" x14ac:dyDescent="0.25">
      <c r="A180" t="s">
        <v>795</v>
      </c>
      <c r="B180" t="s">
        <v>796</v>
      </c>
      <c r="C180" s="4" t="s">
        <v>762</v>
      </c>
      <c r="D180" t="s">
        <v>381</v>
      </c>
      <c r="E180" t="s">
        <v>14</v>
      </c>
      <c r="F180" t="s">
        <v>128</v>
      </c>
      <c r="G180" t="s">
        <v>105</v>
      </c>
      <c r="H180" t="s">
        <v>78</v>
      </c>
      <c r="I180" t="s">
        <v>102</v>
      </c>
      <c r="J180" t="s">
        <v>18</v>
      </c>
      <c r="K180" t="s">
        <v>787</v>
      </c>
      <c r="L180" t="s">
        <v>89</v>
      </c>
      <c r="M180" t="s">
        <v>318</v>
      </c>
      <c r="N180" t="s">
        <v>788</v>
      </c>
      <c r="O180" t="s">
        <v>794</v>
      </c>
      <c r="P180" t="s">
        <v>794</v>
      </c>
      <c r="Q180" t="s">
        <v>102</v>
      </c>
      <c r="R180" t="s">
        <v>86</v>
      </c>
      <c r="S180" t="s">
        <v>790</v>
      </c>
      <c r="T180" t="s">
        <v>796</v>
      </c>
      <c r="U180" t="s">
        <v>322</v>
      </c>
      <c r="V180" t="s">
        <v>82</v>
      </c>
      <c r="W180" t="s">
        <v>791</v>
      </c>
      <c r="X180" t="s">
        <v>96</v>
      </c>
      <c r="Y180" t="s">
        <v>82</v>
      </c>
      <c r="Z180" t="s">
        <v>78</v>
      </c>
    </row>
    <row r="181" spans="1:26" x14ac:dyDescent="0.25">
      <c r="A181" t="s">
        <v>797</v>
      </c>
      <c r="B181" t="s">
        <v>798</v>
      </c>
      <c r="C181" s="4" t="s">
        <v>762</v>
      </c>
      <c r="D181" t="s">
        <v>381</v>
      </c>
      <c r="E181" t="s">
        <v>14</v>
      </c>
      <c r="F181" t="s">
        <v>143</v>
      </c>
      <c r="G181" t="s">
        <v>106</v>
      </c>
      <c r="H181" t="s">
        <v>78</v>
      </c>
      <c r="I181" t="s">
        <v>102</v>
      </c>
      <c r="J181" t="s">
        <v>18</v>
      </c>
      <c r="K181" t="s">
        <v>799</v>
      </c>
      <c r="L181" t="s">
        <v>89</v>
      </c>
      <c r="M181" t="s">
        <v>318</v>
      </c>
      <c r="N181" t="s">
        <v>800</v>
      </c>
      <c r="O181" t="s">
        <v>801</v>
      </c>
      <c r="P181" t="s">
        <v>801</v>
      </c>
      <c r="Q181" t="s">
        <v>102</v>
      </c>
      <c r="R181" t="s">
        <v>86</v>
      </c>
      <c r="S181" t="s">
        <v>802</v>
      </c>
      <c r="T181" t="s">
        <v>798</v>
      </c>
      <c r="U181" t="s">
        <v>322</v>
      </c>
      <c r="V181" t="s">
        <v>82</v>
      </c>
      <c r="W181" t="s">
        <v>803</v>
      </c>
      <c r="X181" t="s">
        <v>96</v>
      </c>
      <c r="Y181" t="s">
        <v>82</v>
      </c>
      <c r="Z181" t="s">
        <v>78</v>
      </c>
    </row>
    <row r="182" spans="1:26" x14ac:dyDescent="0.25">
      <c r="A182" t="s">
        <v>804</v>
      </c>
      <c r="B182" t="s">
        <v>805</v>
      </c>
      <c r="C182" s="4" t="s">
        <v>762</v>
      </c>
      <c r="D182" t="s">
        <v>381</v>
      </c>
      <c r="E182" t="s">
        <v>14</v>
      </c>
      <c r="F182" t="s">
        <v>143</v>
      </c>
      <c r="G182" t="s">
        <v>106</v>
      </c>
      <c r="H182" t="s">
        <v>78</v>
      </c>
      <c r="I182" t="s">
        <v>102</v>
      </c>
      <c r="J182" t="s">
        <v>15</v>
      </c>
      <c r="K182" t="s">
        <v>799</v>
      </c>
      <c r="L182" t="s">
        <v>89</v>
      </c>
      <c r="M182" t="s">
        <v>318</v>
      </c>
      <c r="N182" t="s">
        <v>800</v>
      </c>
      <c r="O182" t="s">
        <v>806</v>
      </c>
      <c r="P182" t="s">
        <v>806</v>
      </c>
      <c r="Q182" t="s">
        <v>102</v>
      </c>
      <c r="R182" t="s">
        <v>86</v>
      </c>
      <c r="S182" t="s">
        <v>802</v>
      </c>
      <c r="T182" t="s">
        <v>805</v>
      </c>
      <c r="U182" t="s">
        <v>322</v>
      </c>
      <c r="V182" t="s">
        <v>82</v>
      </c>
      <c r="W182" t="s">
        <v>803</v>
      </c>
      <c r="X182" t="s">
        <v>96</v>
      </c>
      <c r="Y182" t="s">
        <v>82</v>
      </c>
      <c r="Z182" t="s">
        <v>78</v>
      </c>
    </row>
    <row r="183" spans="1:26" x14ac:dyDescent="0.25">
      <c r="A183" t="s">
        <v>807</v>
      </c>
      <c r="B183" t="s">
        <v>808</v>
      </c>
      <c r="C183" s="4" t="s">
        <v>762</v>
      </c>
      <c r="D183" t="s">
        <v>381</v>
      </c>
      <c r="E183" t="s">
        <v>14</v>
      </c>
      <c r="F183" t="s">
        <v>143</v>
      </c>
      <c r="G183" t="s">
        <v>106</v>
      </c>
      <c r="H183" t="s">
        <v>78</v>
      </c>
      <c r="I183" t="s">
        <v>102</v>
      </c>
      <c r="J183" t="s">
        <v>17</v>
      </c>
      <c r="K183" t="s">
        <v>799</v>
      </c>
      <c r="L183" t="s">
        <v>89</v>
      </c>
      <c r="M183" t="s">
        <v>318</v>
      </c>
      <c r="N183" t="s">
        <v>800</v>
      </c>
      <c r="O183" t="s">
        <v>809</v>
      </c>
      <c r="P183" t="s">
        <v>809</v>
      </c>
      <c r="Q183" t="s">
        <v>102</v>
      </c>
      <c r="R183" t="s">
        <v>86</v>
      </c>
      <c r="S183" t="s">
        <v>802</v>
      </c>
      <c r="T183" t="s">
        <v>808</v>
      </c>
      <c r="U183" t="s">
        <v>322</v>
      </c>
      <c r="V183" t="s">
        <v>82</v>
      </c>
      <c r="W183" t="s">
        <v>803</v>
      </c>
      <c r="X183" t="s">
        <v>96</v>
      </c>
      <c r="Y183" t="s">
        <v>82</v>
      </c>
      <c r="Z183" t="s">
        <v>78</v>
      </c>
    </row>
    <row r="184" spans="1:26" x14ac:dyDescent="0.25">
      <c r="A184" t="s">
        <v>810</v>
      </c>
      <c r="B184" t="s">
        <v>811</v>
      </c>
      <c r="C184" s="4" t="s">
        <v>812</v>
      </c>
      <c r="D184" t="s">
        <v>813</v>
      </c>
      <c r="E184" t="s">
        <v>14</v>
      </c>
      <c r="F184" t="s">
        <v>85</v>
      </c>
      <c r="G184" t="s">
        <v>111</v>
      </c>
      <c r="H184" t="s">
        <v>78</v>
      </c>
      <c r="I184" t="s">
        <v>102</v>
      </c>
      <c r="J184" t="s">
        <v>30</v>
      </c>
      <c r="K184" t="s">
        <v>814</v>
      </c>
      <c r="L184" t="s">
        <v>89</v>
      </c>
      <c r="M184" t="s">
        <v>815</v>
      </c>
      <c r="N184" t="s">
        <v>816</v>
      </c>
      <c r="O184" t="s">
        <v>817</v>
      </c>
      <c r="P184" t="s">
        <v>818</v>
      </c>
      <c r="Q184" t="s">
        <v>102</v>
      </c>
      <c r="R184" t="s">
        <v>78</v>
      </c>
      <c r="S184" t="s">
        <v>819</v>
      </c>
      <c r="T184" t="s">
        <v>811</v>
      </c>
      <c r="U184" t="s">
        <v>322</v>
      </c>
      <c r="V184" t="s">
        <v>82</v>
      </c>
      <c r="W184" t="s">
        <v>820</v>
      </c>
      <c r="X184" t="s">
        <v>96</v>
      </c>
      <c r="Y184" t="s">
        <v>82</v>
      </c>
      <c r="Z184" t="s">
        <v>111</v>
      </c>
    </row>
    <row r="185" spans="1:26" x14ac:dyDescent="0.25">
      <c r="A185" t="s">
        <v>821</v>
      </c>
      <c r="B185" t="s">
        <v>822</v>
      </c>
      <c r="C185" s="4" t="s">
        <v>812</v>
      </c>
      <c r="D185" t="s">
        <v>813</v>
      </c>
      <c r="E185" t="s">
        <v>14</v>
      </c>
      <c r="F185" t="s">
        <v>85</v>
      </c>
      <c r="G185" t="s">
        <v>111</v>
      </c>
      <c r="H185" t="s">
        <v>78</v>
      </c>
      <c r="I185" t="s">
        <v>102</v>
      </c>
      <c r="J185" t="s">
        <v>17</v>
      </c>
      <c r="K185" t="s">
        <v>814</v>
      </c>
      <c r="L185" t="s">
        <v>89</v>
      </c>
      <c r="M185" t="s">
        <v>815</v>
      </c>
      <c r="N185" t="s">
        <v>816</v>
      </c>
      <c r="O185" t="s">
        <v>823</v>
      </c>
      <c r="P185" t="s">
        <v>824</v>
      </c>
      <c r="Q185" t="s">
        <v>102</v>
      </c>
      <c r="R185" t="s">
        <v>78</v>
      </c>
      <c r="S185" t="s">
        <v>819</v>
      </c>
      <c r="T185" t="s">
        <v>822</v>
      </c>
      <c r="U185" t="s">
        <v>322</v>
      </c>
      <c r="V185" t="s">
        <v>82</v>
      </c>
      <c r="W185" t="s">
        <v>820</v>
      </c>
      <c r="X185" t="s">
        <v>96</v>
      </c>
      <c r="Y185" t="s">
        <v>82</v>
      </c>
      <c r="Z185" t="s">
        <v>111</v>
      </c>
    </row>
    <row r="186" spans="1:26" x14ac:dyDescent="0.25">
      <c r="A186" t="s">
        <v>825</v>
      </c>
      <c r="B186" t="s">
        <v>826</v>
      </c>
      <c r="C186" s="4" t="s">
        <v>827</v>
      </c>
      <c r="D186" t="s">
        <v>828</v>
      </c>
      <c r="E186" t="s">
        <v>14</v>
      </c>
      <c r="F186" t="s">
        <v>78</v>
      </c>
      <c r="G186" t="s">
        <v>102</v>
      </c>
      <c r="H186" t="s">
        <v>78</v>
      </c>
      <c r="I186" t="s">
        <v>102</v>
      </c>
      <c r="J186" t="s">
        <v>32</v>
      </c>
      <c r="K186" t="s">
        <v>829</v>
      </c>
      <c r="L186" t="s">
        <v>89</v>
      </c>
      <c r="M186" t="s">
        <v>815</v>
      </c>
      <c r="N186" t="s">
        <v>830</v>
      </c>
      <c r="O186" t="s">
        <v>831</v>
      </c>
      <c r="P186" t="s">
        <v>832</v>
      </c>
      <c r="Q186" t="s">
        <v>102</v>
      </c>
      <c r="R186" t="s">
        <v>78</v>
      </c>
      <c r="S186" t="s">
        <v>833</v>
      </c>
      <c r="T186" t="s">
        <v>826</v>
      </c>
      <c r="U186" t="s">
        <v>322</v>
      </c>
      <c r="V186" t="s">
        <v>82</v>
      </c>
      <c r="W186" t="s">
        <v>834</v>
      </c>
      <c r="X186" t="s">
        <v>96</v>
      </c>
      <c r="Y186" t="s">
        <v>82</v>
      </c>
      <c r="Z186" t="s">
        <v>111</v>
      </c>
    </row>
    <row r="187" spans="1:26" x14ac:dyDescent="0.25">
      <c r="A187" t="s">
        <v>835</v>
      </c>
      <c r="B187" t="s">
        <v>836</v>
      </c>
      <c r="C187" s="4" t="s">
        <v>827</v>
      </c>
      <c r="D187" t="s">
        <v>828</v>
      </c>
      <c r="E187" t="s">
        <v>14</v>
      </c>
      <c r="F187" t="s">
        <v>78</v>
      </c>
      <c r="G187" t="s">
        <v>102</v>
      </c>
      <c r="H187" t="s">
        <v>78</v>
      </c>
      <c r="I187" t="s">
        <v>102</v>
      </c>
      <c r="J187" t="s">
        <v>17</v>
      </c>
      <c r="K187" t="s">
        <v>829</v>
      </c>
      <c r="L187" t="s">
        <v>89</v>
      </c>
      <c r="M187" t="s">
        <v>815</v>
      </c>
      <c r="N187" t="s">
        <v>830</v>
      </c>
      <c r="O187" t="s">
        <v>837</v>
      </c>
      <c r="P187" t="s">
        <v>838</v>
      </c>
      <c r="Q187" t="s">
        <v>102</v>
      </c>
      <c r="R187" t="s">
        <v>78</v>
      </c>
      <c r="S187" t="s">
        <v>833</v>
      </c>
      <c r="T187" t="s">
        <v>836</v>
      </c>
      <c r="U187" t="s">
        <v>322</v>
      </c>
      <c r="V187" t="s">
        <v>82</v>
      </c>
      <c r="W187" t="s">
        <v>834</v>
      </c>
      <c r="X187" t="s">
        <v>96</v>
      </c>
      <c r="Y187" t="s">
        <v>82</v>
      </c>
      <c r="Z187" t="s">
        <v>111</v>
      </c>
    </row>
    <row r="188" spans="1:26" x14ac:dyDescent="0.25">
      <c r="A188" t="s">
        <v>839</v>
      </c>
      <c r="B188" t="s">
        <v>840</v>
      </c>
      <c r="C188" s="4" t="s">
        <v>827</v>
      </c>
      <c r="D188" t="s">
        <v>828</v>
      </c>
      <c r="E188" t="s">
        <v>14</v>
      </c>
      <c r="F188" t="s">
        <v>78</v>
      </c>
      <c r="G188" t="s">
        <v>102</v>
      </c>
      <c r="H188" t="s">
        <v>78</v>
      </c>
      <c r="I188" t="s">
        <v>102</v>
      </c>
      <c r="J188" t="s">
        <v>30</v>
      </c>
      <c r="K188" t="s">
        <v>829</v>
      </c>
      <c r="L188" t="s">
        <v>89</v>
      </c>
      <c r="M188" t="s">
        <v>815</v>
      </c>
      <c r="N188" t="s">
        <v>830</v>
      </c>
      <c r="O188" t="s">
        <v>837</v>
      </c>
      <c r="P188" t="s">
        <v>841</v>
      </c>
      <c r="Q188" t="s">
        <v>102</v>
      </c>
      <c r="R188" t="s">
        <v>78</v>
      </c>
      <c r="S188" t="s">
        <v>833</v>
      </c>
      <c r="T188" t="s">
        <v>840</v>
      </c>
      <c r="U188" t="s">
        <v>322</v>
      </c>
      <c r="V188" t="s">
        <v>82</v>
      </c>
      <c r="W188" t="s">
        <v>834</v>
      </c>
      <c r="X188" t="s">
        <v>96</v>
      </c>
      <c r="Y188" t="s">
        <v>82</v>
      </c>
      <c r="Z188" t="s">
        <v>111</v>
      </c>
    </row>
    <row r="189" spans="1:26" x14ac:dyDescent="0.25">
      <c r="A189" t="s">
        <v>842</v>
      </c>
      <c r="B189" t="s">
        <v>843</v>
      </c>
      <c r="C189" s="4" t="s">
        <v>827</v>
      </c>
      <c r="D189" t="s">
        <v>828</v>
      </c>
      <c r="E189" t="s">
        <v>14</v>
      </c>
      <c r="F189" t="s">
        <v>78</v>
      </c>
      <c r="G189" t="s">
        <v>102</v>
      </c>
      <c r="H189" t="s">
        <v>78</v>
      </c>
      <c r="I189" t="s">
        <v>102</v>
      </c>
      <c r="J189" t="s">
        <v>537</v>
      </c>
      <c r="K189" t="s">
        <v>829</v>
      </c>
      <c r="L189" t="s">
        <v>89</v>
      </c>
      <c r="M189" t="s">
        <v>815</v>
      </c>
      <c r="N189" t="s">
        <v>830</v>
      </c>
      <c r="O189" t="s">
        <v>844</v>
      </c>
      <c r="P189" t="s">
        <v>845</v>
      </c>
      <c r="Q189" t="s">
        <v>102</v>
      </c>
      <c r="R189" t="s">
        <v>78</v>
      </c>
      <c r="S189" t="s">
        <v>833</v>
      </c>
      <c r="T189" t="s">
        <v>843</v>
      </c>
      <c r="U189" t="s">
        <v>322</v>
      </c>
      <c r="V189" t="s">
        <v>82</v>
      </c>
      <c r="W189" t="s">
        <v>834</v>
      </c>
      <c r="X189" t="s">
        <v>96</v>
      </c>
      <c r="Y189" t="s">
        <v>82</v>
      </c>
      <c r="Z189" t="s">
        <v>111</v>
      </c>
    </row>
    <row r="190" spans="1:26" x14ac:dyDescent="0.25">
      <c r="A190" t="s">
        <v>846</v>
      </c>
      <c r="B190" t="s">
        <v>847</v>
      </c>
      <c r="C190" s="4" t="s">
        <v>827</v>
      </c>
      <c r="D190" t="s">
        <v>828</v>
      </c>
      <c r="E190" t="s">
        <v>14</v>
      </c>
      <c r="F190" t="s">
        <v>78</v>
      </c>
      <c r="G190" t="s">
        <v>102</v>
      </c>
      <c r="H190" t="s">
        <v>78</v>
      </c>
      <c r="I190" t="s">
        <v>102</v>
      </c>
      <c r="J190" t="s">
        <v>265</v>
      </c>
      <c r="K190" t="s">
        <v>829</v>
      </c>
      <c r="L190" t="s">
        <v>89</v>
      </c>
      <c r="M190" t="s">
        <v>815</v>
      </c>
      <c r="N190" t="s">
        <v>830</v>
      </c>
      <c r="O190" t="s">
        <v>848</v>
      </c>
      <c r="P190" t="s">
        <v>849</v>
      </c>
      <c r="Q190" t="s">
        <v>102</v>
      </c>
      <c r="R190" t="s">
        <v>78</v>
      </c>
      <c r="S190" t="s">
        <v>833</v>
      </c>
      <c r="T190" t="s">
        <v>847</v>
      </c>
      <c r="U190" t="s">
        <v>322</v>
      </c>
      <c r="V190" t="s">
        <v>82</v>
      </c>
      <c r="W190" t="s">
        <v>834</v>
      </c>
      <c r="X190" t="s">
        <v>96</v>
      </c>
      <c r="Y190" t="s">
        <v>82</v>
      </c>
      <c r="Z190" t="s">
        <v>111</v>
      </c>
    </row>
    <row r="191" spans="1:26" x14ac:dyDescent="0.25">
      <c r="A191" t="s">
        <v>850</v>
      </c>
      <c r="B191" t="s">
        <v>851</v>
      </c>
      <c r="C191" s="4" t="s">
        <v>827</v>
      </c>
      <c r="D191" t="s">
        <v>828</v>
      </c>
      <c r="E191" t="s">
        <v>14</v>
      </c>
      <c r="F191" t="s">
        <v>78</v>
      </c>
      <c r="G191" t="s">
        <v>102</v>
      </c>
      <c r="H191" t="s">
        <v>78</v>
      </c>
      <c r="I191" t="s">
        <v>102</v>
      </c>
      <c r="J191" t="s">
        <v>531</v>
      </c>
      <c r="K191" t="s">
        <v>829</v>
      </c>
      <c r="L191" t="s">
        <v>89</v>
      </c>
      <c r="M191" t="s">
        <v>815</v>
      </c>
      <c r="N191" t="s">
        <v>830</v>
      </c>
      <c r="O191" t="s">
        <v>852</v>
      </c>
      <c r="P191" t="s">
        <v>853</v>
      </c>
      <c r="Q191" t="s">
        <v>102</v>
      </c>
      <c r="R191" t="s">
        <v>78</v>
      </c>
      <c r="S191" t="s">
        <v>833</v>
      </c>
      <c r="T191" t="s">
        <v>851</v>
      </c>
      <c r="U191" t="s">
        <v>322</v>
      </c>
      <c r="V191" t="s">
        <v>82</v>
      </c>
      <c r="W191" t="s">
        <v>834</v>
      </c>
      <c r="X191" t="s">
        <v>96</v>
      </c>
      <c r="Y191" t="s">
        <v>82</v>
      </c>
      <c r="Z191" t="s">
        <v>111</v>
      </c>
    </row>
    <row r="192" spans="1:26" x14ac:dyDescent="0.25">
      <c r="A192" t="s">
        <v>854</v>
      </c>
      <c r="B192" t="s">
        <v>855</v>
      </c>
      <c r="C192" s="4" t="s">
        <v>316</v>
      </c>
      <c r="D192" t="s">
        <v>856</v>
      </c>
      <c r="E192" t="s">
        <v>14</v>
      </c>
      <c r="F192" t="s">
        <v>78</v>
      </c>
      <c r="G192" t="s">
        <v>102</v>
      </c>
      <c r="H192" t="s">
        <v>78</v>
      </c>
      <c r="I192" t="s">
        <v>102</v>
      </c>
      <c r="J192" t="s">
        <v>340</v>
      </c>
      <c r="K192" t="s">
        <v>186</v>
      </c>
      <c r="L192" t="s">
        <v>89</v>
      </c>
      <c r="M192" t="s">
        <v>318</v>
      </c>
      <c r="N192" t="s">
        <v>857</v>
      </c>
      <c r="O192" t="s">
        <v>858</v>
      </c>
      <c r="P192" t="s">
        <v>858</v>
      </c>
      <c r="Q192" t="s">
        <v>102</v>
      </c>
      <c r="R192" t="s">
        <v>78</v>
      </c>
      <c r="S192" t="s">
        <v>377</v>
      </c>
      <c r="T192" t="s">
        <v>855</v>
      </c>
      <c r="U192" t="s">
        <v>322</v>
      </c>
      <c r="V192" t="s">
        <v>82</v>
      </c>
      <c r="W192" t="s">
        <v>859</v>
      </c>
      <c r="X192" t="s">
        <v>96</v>
      </c>
      <c r="Y192" t="s">
        <v>82</v>
      </c>
      <c r="Z192" t="s">
        <v>111</v>
      </c>
    </row>
    <row r="193" spans="1:26" x14ac:dyDescent="0.25">
      <c r="A193" t="s">
        <v>860</v>
      </c>
      <c r="B193" t="s">
        <v>861</v>
      </c>
      <c r="C193" s="4" t="s">
        <v>316</v>
      </c>
      <c r="D193" t="s">
        <v>856</v>
      </c>
      <c r="E193" t="s">
        <v>14</v>
      </c>
      <c r="F193" t="s">
        <v>78</v>
      </c>
      <c r="G193" t="s">
        <v>102</v>
      </c>
      <c r="H193" t="s">
        <v>78</v>
      </c>
      <c r="I193" t="s">
        <v>102</v>
      </c>
      <c r="J193" t="s">
        <v>15</v>
      </c>
      <c r="K193" t="s">
        <v>186</v>
      </c>
      <c r="L193" t="s">
        <v>89</v>
      </c>
      <c r="M193" t="s">
        <v>318</v>
      </c>
      <c r="N193" t="s">
        <v>857</v>
      </c>
      <c r="O193" t="s">
        <v>862</v>
      </c>
      <c r="P193" t="s">
        <v>862</v>
      </c>
      <c r="Q193" t="s">
        <v>102</v>
      </c>
      <c r="R193" t="s">
        <v>78</v>
      </c>
      <c r="S193" t="s">
        <v>377</v>
      </c>
      <c r="T193" t="s">
        <v>861</v>
      </c>
      <c r="U193" t="s">
        <v>322</v>
      </c>
      <c r="V193" t="s">
        <v>82</v>
      </c>
      <c r="W193" t="s">
        <v>859</v>
      </c>
      <c r="X193" t="s">
        <v>96</v>
      </c>
      <c r="Y193" t="s">
        <v>82</v>
      </c>
      <c r="Z193" t="s">
        <v>111</v>
      </c>
    </row>
    <row r="194" spans="1:26" x14ac:dyDescent="0.25">
      <c r="A194" t="s">
        <v>863</v>
      </c>
      <c r="B194" t="s">
        <v>864</v>
      </c>
      <c r="C194" s="4" t="s">
        <v>316</v>
      </c>
      <c r="D194" t="s">
        <v>856</v>
      </c>
      <c r="E194" t="s">
        <v>14</v>
      </c>
      <c r="F194" t="s">
        <v>78</v>
      </c>
      <c r="G194" t="s">
        <v>102</v>
      </c>
      <c r="H194" t="s">
        <v>78</v>
      </c>
      <c r="I194" t="s">
        <v>102</v>
      </c>
      <c r="J194" t="s">
        <v>37</v>
      </c>
      <c r="K194" t="s">
        <v>186</v>
      </c>
      <c r="L194" t="s">
        <v>89</v>
      </c>
      <c r="M194" t="s">
        <v>318</v>
      </c>
      <c r="N194" t="s">
        <v>857</v>
      </c>
      <c r="O194" t="s">
        <v>865</v>
      </c>
      <c r="P194" t="s">
        <v>865</v>
      </c>
      <c r="Q194" t="s">
        <v>102</v>
      </c>
      <c r="R194" t="s">
        <v>78</v>
      </c>
      <c r="S194" t="s">
        <v>377</v>
      </c>
      <c r="T194" t="s">
        <v>864</v>
      </c>
      <c r="U194" t="s">
        <v>322</v>
      </c>
      <c r="V194" t="s">
        <v>82</v>
      </c>
      <c r="W194" t="s">
        <v>859</v>
      </c>
      <c r="X194" t="s">
        <v>96</v>
      </c>
      <c r="Y194" t="s">
        <v>82</v>
      </c>
      <c r="Z194" t="s">
        <v>111</v>
      </c>
    </row>
    <row r="195" spans="1:26" x14ac:dyDescent="0.25">
      <c r="A195" t="s">
        <v>866</v>
      </c>
      <c r="B195" t="s">
        <v>867</v>
      </c>
      <c r="C195" s="4" t="s">
        <v>316</v>
      </c>
      <c r="D195" t="s">
        <v>856</v>
      </c>
      <c r="E195" t="s">
        <v>14</v>
      </c>
      <c r="F195" t="s">
        <v>78</v>
      </c>
      <c r="G195" t="s">
        <v>102</v>
      </c>
      <c r="H195" t="s">
        <v>78</v>
      </c>
      <c r="I195" t="s">
        <v>102</v>
      </c>
      <c r="J195" t="s">
        <v>607</v>
      </c>
      <c r="K195" t="s">
        <v>186</v>
      </c>
      <c r="L195" t="s">
        <v>89</v>
      </c>
      <c r="M195" t="s">
        <v>318</v>
      </c>
      <c r="N195" t="s">
        <v>857</v>
      </c>
      <c r="O195" t="s">
        <v>865</v>
      </c>
      <c r="P195" t="s">
        <v>865</v>
      </c>
      <c r="Q195" t="s">
        <v>102</v>
      </c>
      <c r="R195" t="s">
        <v>78</v>
      </c>
      <c r="S195" t="s">
        <v>377</v>
      </c>
      <c r="T195" t="s">
        <v>867</v>
      </c>
      <c r="U195" t="s">
        <v>322</v>
      </c>
      <c r="V195" t="s">
        <v>82</v>
      </c>
      <c r="W195" t="s">
        <v>859</v>
      </c>
      <c r="X195" t="s">
        <v>96</v>
      </c>
      <c r="Y195" t="s">
        <v>82</v>
      </c>
      <c r="Z195" t="s">
        <v>111</v>
      </c>
    </row>
    <row r="196" spans="1:26" x14ac:dyDescent="0.25">
      <c r="A196" t="s">
        <v>868</v>
      </c>
      <c r="B196" t="s">
        <v>869</v>
      </c>
      <c r="C196" s="4" t="s">
        <v>658</v>
      </c>
      <c r="D196" t="s">
        <v>870</v>
      </c>
      <c r="E196" t="s">
        <v>14</v>
      </c>
      <c r="F196" t="s">
        <v>78</v>
      </c>
      <c r="G196" t="s">
        <v>102</v>
      </c>
      <c r="H196" t="s">
        <v>78</v>
      </c>
      <c r="I196" t="s">
        <v>102</v>
      </c>
      <c r="J196" t="s">
        <v>31</v>
      </c>
      <c r="K196" t="s">
        <v>532</v>
      </c>
      <c r="L196" t="s">
        <v>89</v>
      </c>
      <c r="M196" t="s">
        <v>326</v>
      </c>
      <c r="N196" t="s">
        <v>533</v>
      </c>
      <c r="O196" t="s">
        <v>871</v>
      </c>
      <c r="P196" t="s">
        <v>872</v>
      </c>
      <c r="Q196" t="s">
        <v>102</v>
      </c>
      <c r="R196" t="s">
        <v>78</v>
      </c>
      <c r="S196" t="s">
        <v>661</v>
      </c>
      <c r="T196" t="s">
        <v>869</v>
      </c>
      <c r="U196" t="s">
        <v>322</v>
      </c>
      <c r="V196" t="s">
        <v>82</v>
      </c>
      <c r="W196" t="s">
        <v>873</v>
      </c>
      <c r="X196" t="s">
        <v>96</v>
      </c>
      <c r="Y196" t="s">
        <v>82</v>
      </c>
      <c r="Z196" t="s">
        <v>111</v>
      </c>
    </row>
    <row r="197" spans="1:26" x14ac:dyDescent="0.25">
      <c r="A197" t="s">
        <v>874</v>
      </c>
      <c r="B197" t="s">
        <v>875</v>
      </c>
      <c r="C197" s="4" t="s">
        <v>658</v>
      </c>
      <c r="D197" t="s">
        <v>870</v>
      </c>
      <c r="E197" t="s">
        <v>14</v>
      </c>
      <c r="F197" t="s">
        <v>78</v>
      </c>
      <c r="G197" t="s">
        <v>102</v>
      </c>
      <c r="H197" t="s">
        <v>78</v>
      </c>
      <c r="I197" t="s">
        <v>102</v>
      </c>
      <c r="J197" t="s">
        <v>340</v>
      </c>
      <c r="K197" t="s">
        <v>876</v>
      </c>
      <c r="L197" t="s">
        <v>89</v>
      </c>
      <c r="M197" t="s">
        <v>318</v>
      </c>
      <c r="N197" t="s">
        <v>533</v>
      </c>
      <c r="O197" t="s">
        <v>877</v>
      </c>
      <c r="P197" t="s">
        <v>878</v>
      </c>
      <c r="Q197" t="s">
        <v>102</v>
      </c>
      <c r="R197" t="s">
        <v>78</v>
      </c>
      <c r="S197" t="s">
        <v>879</v>
      </c>
      <c r="T197" t="s">
        <v>875</v>
      </c>
      <c r="U197" t="s">
        <v>322</v>
      </c>
      <c r="V197" t="s">
        <v>82</v>
      </c>
      <c r="W197" t="s">
        <v>873</v>
      </c>
      <c r="X197" t="s">
        <v>96</v>
      </c>
      <c r="Y197" t="s">
        <v>82</v>
      </c>
      <c r="Z197" t="s">
        <v>111</v>
      </c>
    </row>
    <row r="198" spans="1:26" x14ac:dyDescent="0.25">
      <c r="A198" t="s">
        <v>880</v>
      </c>
      <c r="B198" t="s">
        <v>881</v>
      </c>
      <c r="C198" s="4" t="s">
        <v>812</v>
      </c>
      <c r="D198" t="s">
        <v>813</v>
      </c>
      <c r="E198" t="s">
        <v>14</v>
      </c>
      <c r="F198" t="s">
        <v>85</v>
      </c>
      <c r="G198" t="s">
        <v>111</v>
      </c>
      <c r="H198" t="s">
        <v>78</v>
      </c>
      <c r="I198" t="s">
        <v>102</v>
      </c>
      <c r="J198" t="s">
        <v>537</v>
      </c>
      <c r="K198" t="s">
        <v>814</v>
      </c>
      <c r="L198" t="s">
        <v>89</v>
      </c>
      <c r="M198" t="s">
        <v>815</v>
      </c>
      <c r="N198" t="s">
        <v>816</v>
      </c>
      <c r="O198" t="s">
        <v>882</v>
      </c>
      <c r="P198" t="s">
        <v>883</v>
      </c>
      <c r="Q198" t="s">
        <v>102</v>
      </c>
      <c r="R198" t="s">
        <v>78</v>
      </c>
      <c r="S198" t="s">
        <v>819</v>
      </c>
      <c r="T198" t="s">
        <v>881</v>
      </c>
      <c r="U198" t="s">
        <v>322</v>
      </c>
      <c r="V198" t="s">
        <v>82</v>
      </c>
      <c r="W198" t="s">
        <v>820</v>
      </c>
      <c r="X198" t="s">
        <v>96</v>
      </c>
      <c r="Y198" t="s">
        <v>82</v>
      </c>
      <c r="Z198" t="s">
        <v>111</v>
      </c>
    </row>
    <row r="199" spans="1:26" x14ac:dyDescent="0.25">
      <c r="A199" t="s">
        <v>884</v>
      </c>
      <c r="B199" t="s">
        <v>885</v>
      </c>
      <c r="C199" s="4" t="s">
        <v>812</v>
      </c>
      <c r="D199" t="s">
        <v>813</v>
      </c>
      <c r="E199" t="s">
        <v>14</v>
      </c>
      <c r="F199" t="s">
        <v>85</v>
      </c>
      <c r="G199" t="s">
        <v>111</v>
      </c>
      <c r="H199" t="s">
        <v>78</v>
      </c>
      <c r="I199" t="s">
        <v>102</v>
      </c>
      <c r="J199" t="s">
        <v>130</v>
      </c>
      <c r="K199" t="s">
        <v>814</v>
      </c>
      <c r="L199" t="s">
        <v>89</v>
      </c>
      <c r="M199" t="s">
        <v>815</v>
      </c>
      <c r="N199" t="s">
        <v>816</v>
      </c>
      <c r="O199" t="s">
        <v>886</v>
      </c>
      <c r="P199" t="s">
        <v>887</v>
      </c>
      <c r="Q199" t="s">
        <v>102</v>
      </c>
      <c r="R199" t="s">
        <v>78</v>
      </c>
      <c r="S199" t="s">
        <v>819</v>
      </c>
      <c r="T199" t="s">
        <v>885</v>
      </c>
      <c r="U199" t="s">
        <v>322</v>
      </c>
      <c r="V199" t="s">
        <v>82</v>
      </c>
      <c r="W199" t="s">
        <v>820</v>
      </c>
      <c r="X199" t="s">
        <v>96</v>
      </c>
      <c r="Y199" t="s">
        <v>82</v>
      </c>
      <c r="Z199" t="s">
        <v>111</v>
      </c>
    </row>
    <row r="200" spans="1:26" x14ac:dyDescent="0.25">
      <c r="A200" t="s">
        <v>888</v>
      </c>
      <c r="B200" t="s">
        <v>889</v>
      </c>
      <c r="C200" s="4" t="s">
        <v>812</v>
      </c>
      <c r="D200" t="s">
        <v>890</v>
      </c>
      <c r="E200" t="s">
        <v>14</v>
      </c>
      <c r="F200" t="s">
        <v>78</v>
      </c>
      <c r="G200" t="s">
        <v>102</v>
      </c>
      <c r="H200" t="s">
        <v>78</v>
      </c>
      <c r="I200" t="s">
        <v>102</v>
      </c>
      <c r="J200" t="s">
        <v>537</v>
      </c>
      <c r="K200" t="s">
        <v>532</v>
      </c>
      <c r="L200" t="s">
        <v>89</v>
      </c>
      <c r="M200" t="s">
        <v>318</v>
      </c>
      <c r="N200" t="s">
        <v>891</v>
      </c>
      <c r="O200" t="s">
        <v>892</v>
      </c>
      <c r="P200" t="s">
        <v>892</v>
      </c>
      <c r="Q200" t="s">
        <v>102</v>
      </c>
      <c r="R200" t="s">
        <v>78</v>
      </c>
      <c r="S200" t="s">
        <v>661</v>
      </c>
      <c r="T200" t="s">
        <v>889</v>
      </c>
      <c r="U200" t="s">
        <v>322</v>
      </c>
      <c r="V200" t="s">
        <v>82</v>
      </c>
      <c r="W200" t="s">
        <v>893</v>
      </c>
      <c r="X200" t="s">
        <v>96</v>
      </c>
      <c r="Y200" t="s">
        <v>82</v>
      </c>
      <c r="Z200" t="s">
        <v>111</v>
      </c>
    </row>
    <row r="201" spans="1:26" x14ac:dyDescent="0.25">
      <c r="A201" t="s">
        <v>894</v>
      </c>
      <c r="B201" t="s">
        <v>895</v>
      </c>
      <c r="C201" s="4" t="s">
        <v>163</v>
      </c>
      <c r="D201" t="s">
        <v>249</v>
      </c>
      <c r="E201" t="s">
        <v>14</v>
      </c>
      <c r="F201" t="s">
        <v>83</v>
      </c>
      <c r="G201" t="s">
        <v>84</v>
      </c>
      <c r="H201" t="s">
        <v>78</v>
      </c>
      <c r="I201" t="s">
        <v>86</v>
      </c>
      <c r="J201" t="s">
        <v>537</v>
      </c>
      <c r="K201" t="s">
        <v>636</v>
      </c>
      <c r="L201" t="s">
        <v>89</v>
      </c>
      <c r="M201" t="s">
        <v>318</v>
      </c>
      <c r="N201" t="s">
        <v>121</v>
      </c>
      <c r="O201" t="s">
        <v>896</v>
      </c>
      <c r="P201" t="s">
        <v>896</v>
      </c>
      <c r="Q201" t="s">
        <v>102</v>
      </c>
      <c r="R201" t="s">
        <v>85</v>
      </c>
      <c r="S201" t="s">
        <v>897</v>
      </c>
      <c r="T201" t="s">
        <v>895</v>
      </c>
      <c r="U201" t="s">
        <v>322</v>
      </c>
      <c r="V201" t="s">
        <v>82</v>
      </c>
      <c r="W201" t="s">
        <v>96</v>
      </c>
      <c r="X201" t="s">
        <v>96</v>
      </c>
      <c r="Y201" t="s">
        <v>82</v>
      </c>
      <c r="Z201" t="s">
        <v>82</v>
      </c>
    </row>
    <row r="202" spans="1:26" x14ac:dyDescent="0.25">
      <c r="A202" t="s">
        <v>898</v>
      </c>
      <c r="B202" t="s">
        <v>899</v>
      </c>
      <c r="C202" s="4" t="s">
        <v>900</v>
      </c>
      <c r="D202" t="s">
        <v>40</v>
      </c>
      <c r="E202" t="s">
        <v>14</v>
      </c>
      <c r="F202" t="s">
        <v>111</v>
      </c>
      <c r="G202" t="s">
        <v>124</v>
      </c>
      <c r="H202" t="s">
        <v>78</v>
      </c>
      <c r="I202" t="s">
        <v>102</v>
      </c>
      <c r="J202" t="s">
        <v>15</v>
      </c>
      <c r="K202" t="s">
        <v>901</v>
      </c>
      <c r="L202" t="s">
        <v>89</v>
      </c>
      <c r="M202" t="s">
        <v>318</v>
      </c>
      <c r="N202" t="s">
        <v>494</v>
      </c>
      <c r="O202" t="s">
        <v>902</v>
      </c>
      <c r="P202" t="s">
        <v>902</v>
      </c>
      <c r="Q202" t="s">
        <v>102</v>
      </c>
      <c r="R202" t="s">
        <v>102</v>
      </c>
      <c r="S202" t="s">
        <v>903</v>
      </c>
      <c r="T202" t="s">
        <v>899</v>
      </c>
      <c r="U202" t="s">
        <v>322</v>
      </c>
      <c r="V202" t="s">
        <v>82</v>
      </c>
      <c r="W202" t="s">
        <v>904</v>
      </c>
      <c r="X202" t="s">
        <v>96</v>
      </c>
      <c r="Y202" t="s">
        <v>82</v>
      </c>
      <c r="Z202" t="s">
        <v>78</v>
      </c>
    </row>
    <row r="203" spans="1:26" x14ac:dyDescent="0.25">
      <c r="A203" t="s">
        <v>905</v>
      </c>
      <c r="B203" t="s">
        <v>906</v>
      </c>
      <c r="C203" s="4" t="s">
        <v>900</v>
      </c>
      <c r="D203" t="s">
        <v>40</v>
      </c>
      <c r="E203" t="s">
        <v>14</v>
      </c>
      <c r="F203" t="s">
        <v>111</v>
      </c>
      <c r="G203" t="s">
        <v>124</v>
      </c>
      <c r="H203" t="s">
        <v>78</v>
      </c>
      <c r="I203" t="s">
        <v>102</v>
      </c>
      <c r="J203" t="s">
        <v>18</v>
      </c>
      <c r="K203" t="s">
        <v>901</v>
      </c>
      <c r="L203" t="s">
        <v>89</v>
      </c>
      <c r="M203" t="s">
        <v>318</v>
      </c>
      <c r="N203" t="s">
        <v>494</v>
      </c>
      <c r="O203" t="s">
        <v>907</v>
      </c>
      <c r="P203" t="s">
        <v>907</v>
      </c>
      <c r="Q203" t="s">
        <v>102</v>
      </c>
      <c r="R203" t="s">
        <v>102</v>
      </c>
      <c r="S203" t="s">
        <v>903</v>
      </c>
      <c r="T203" t="s">
        <v>906</v>
      </c>
      <c r="U203" t="s">
        <v>322</v>
      </c>
      <c r="V203" t="s">
        <v>82</v>
      </c>
      <c r="W203" t="s">
        <v>904</v>
      </c>
      <c r="X203" t="s">
        <v>96</v>
      </c>
      <c r="Y203" t="s">
        <v>82</v>
      </c>
      <c r="Z203" t="s">
        <v>78</v>
      </c>
    </row>
    <row r="204" spans="1:26" x14ac:dyDescent="0.25">
      <c r="A204" t="s">
        <v>908</v>
      </c>
      <c r="B204" t="s">
        <v>909</v>
      </c>
      <c r="C204" s="4" t="s">
        <v>900</v>
      </c>
      <c r="D204" t="s">
        <v>40</v>
      </c>
      <c r="E204" t="s">
        <v>14</v>
      </c>
      <c r="F204" t="s">
        <v>111</v>
      </c>
      <c r="G204" t="s">
        <v>124</v>
      </c>
      <c r="H204" t="s">
        <v>78</v>
      </c>
      <c r="I204" t="s">
        <v>102</v>
      </c>
      <c r="J204" t="s">
        <v>17</v>
      </c>
      <c r="K204" t="s">
        <v>901</v>
      </c>
      <c r="L204" t="s">
        <v>89</v>
      </c>
      <c r="M204" t="s">
        <v>318</v>
      </c>
      <c r="N204" t="s">
        <v>494</v>
      </c>
      <c r="O204" t="s">
        <v>910</v>
      </c>
      <c r="P204" t="s">
        <v>910</v>
      </c>
      <c r="Q204" t="s">
        <v>102</v>
      </c>
      <c r="R204" t="s">
        <v>102</v>
      </c>
      <c r="S204" t="s">
        <v>903</v>
      </c>
      <c r="T204" t="s">
        <v>909</v>
      </c>
      <c r="U204" t="s">
        <v>322</v>
      </c>
      <c r="V204" t="s">
        <v>82</v>
      </c>
      <c r="W204" t="s">
        <v>904</v>
      </c>
      <c r="X204" t="s">
        <v>96</v>
      </c>
      <c r="Y204" t="s">
        <v>82</v>
      </c>
      <c r="Z204" t="s">
        <v>78</v>
      </c>
    </row>
    <row r="205" spans="1:26" x14ac:dyDescent="0.25">
      <c r="A205" t="s">
        <v>911</v>
      </c>
      <c r="B205" t="s">
        <v>912</v>
      </c>
      <c r="C205" s="4" t="s">
        <v>900</v>
      </c>
      <c r="D205" t="s">
        <v>40</v>
      </c>
      <c r="E205" t="s">
        <v>14</v>
      </c>
      <c r="F205" t="s">
        <v>128</v>
      </c>
      <c r="G205" t="s">
        <v>105</v>
      </c>
      <c r="H205" t="s">
        <v>78</v>
      </c>
      <c r="I205" t="s">
        <v>102</v>
      </c>
      <c r="J205" t="s">
        <v>17</v>
      </c>
      <c r="K205" t="s">
        <v>913</v>
      </c>
      <c r="L205" t="s">
        <v>89</v>
      </c>
      <c r="M205" t="s">
        <v>318</v>
      </c>
      <c r="N205" t="s">
        <v>506</v>
      </c>
      <c r="O205" t="s">
        <v>914</v>
      </c>
      <c r="P205" t="s">
        <v>914</v>
      </c>
      <c r="Q205" t="s">
        <v>102</v>
      </c>
      <c r="R205" t="s">
        <v>102</v>
      </c>
      <c r="S205" t="s">
        <v>915</v>
      </c>
      <c r="T205" t="s">
        <v>912</v>
      </c>
      <c r="U205" t="s">
        <v>322</v>
      </c>
      <c r="V205" t="s">
        <v>82</v>
      </c>
      <c r="W205" t="s">
        <v>916</v>
      </c>
      <c r="X205" t="s">
        <v>96</v>
      </c>
      <c r="Y205" t="s">
        <v>82</v>
      </c>
      <c r="Z205" t="s">
        <v>78</v>
      </c>
    </row>
    <row r="206" spans="1:26" x14ac:dyDescent="0.25">
      <c r="A206" t="s">
        <v>917</v>
      </c>
      <c r="B206" t="s">
        <v>918</v>
      </c>
      <c r="C206" s="4" t="s">
        <v>900</v>
      </c>
      <c r="D206" t="s">
        <v>40</v>
      </c>
      <c r="E206" t="s">
        <v>14</v>
      </c>
      <c r="F206" t="s">
        <v>128</v>
      </c>
      <c r="G206" t="s">
        <v>105</v>
      </c>
      <c r="H206" t="s">
        <v>78</v>
      </c>
      <c r="I206" t="s">
        <v>102</v>
      </c>
      <c r="J206" t="s">
        <v>15</v>
      </c>
      <c r="K206" t="s">
        <v>913</v>
      </c>
      <c r="L206" t="s">
        <v>89</v>
      </c>
      <c r="M206" t="s">
        <v>318</v>
      </c>
      <c r="N206" t="s">
        <v>506</v>
      </c>
      <c r="O206" t="s">
        <v>919</v>
      </c>
      <c r="P206" t="s">
        <v>919</v>
      </c>
      <c r="Q206" t="s">
        <v>102</v>
      </c>
      <c r="R206" t="s">
        <v>102</v>
      </c>
      <c r="S206" t="s">
        <v>915</v>
      </c>
      <c r="T206" t="s">
        <v>918</v>
      </c>
      <c r="U206" t="s">
        <v>322</v>
      </c>
      <c r="V206" t="s">
        <v>82</v>
      </c>
      <c r="W206" t="s">
        <v>916</v>
      </c>
      <c r="X206" t="s">
        <v>96</v>
      </c>
      <c r="Y206" t="s">
        <v>82</v>
      </c>
      <c r="Z206" t="s">
        <v>78</v>
      </c>
    </row>
    <row r="207" spans="1:26" x14ac:dyDescent="0.25">
      <c r="A207" t="s">
        <v>920</v>
      </c>
      <c r="B207" t="s">
        <v>921</v>
      </c>
      <c r="C207" s="4" t="s">
        <v>900</v>
      </c>
      <c r="D207" t="s">
        <v>40</v>
      </c>
      <c r="E207" t="s">
        <v>14</v>
      </c>
      <c r="F207" t="s">
        <v>128</v>
      </c>
      <c r="G207" t="s">
        <v>105</v>
      </c>
      <c r="H207" t="s">
        <v>78</v>
      </c>
      <c r="I207" t="s">
        <v>102</v>
      </c>
      <c r="J207" t="s">
        <v>18</v>
      </c>
      <c r="K207" t="s">
        <v>913</v>
      </c>
      <c r="L207" t="s">
        <v>89</v>
      </c>
      <c r="M207" t="s">
        <v>318</v>
      </c>
      <c r="N207" t="s">
        <v>506</v>
      </c>
      <c r="O207" t="s">
        <v>922</v>
      </c>
      <c r="P207" t="s">
        <v>922</v>
      </c>
      <c r="Q207" t="s">
        <v>102</v>
      </c>
      <c r="R207" t="s">
        <v>102</v>
      </c>
      <c r="S207" t="s">
        <v>915</v>
      </c>
      <c r="T207" t="s">
        <v>921</v>
      </c>
      <c r="U207" t="s">
        <v>322</v>
      </c>
      <c r="V207" t="s">
        <v>82</v>
      </c>
      <c r="W207" t="s">
        <v>916</v>
      </c>
      <c r="X207" t="s">
        <v>96</v>
      </c>
      <c r="Y207" t="s">
        <v>82</v>
      </c>
      <c r="Z207" t="s">
        <v>78</v>
      </c>
    </row>
    <row r="208" spans="1:26" x14ac:dyDescent="0.25">
      <c r="A208" t="s">
        <v>923</v>
      </c>
      <c r="B208" t="s">
        <v>924</v>
      </c>
      <c r="C208" s="4" t="s">
        <v>900</v>
      </c>
      <c r="D208" t="s">
        <v>40</v>
      </c>
      <c r="E208" t="s">
        <v>14</v>
      </c>
      <c r="F208" t="s">
        <v>143</v>
      </c>
      <c r="G208" t="s">
        <v>106</v>
      </c>
      <c r="H208" t="s">
        <v>78</v>
      </c>
      <c r="I208" t="s">
        <v>102</v>
      </c>
      <c r="J208" t="s">
        <v>18</v>
      </c>
      <c r="K208" t="s">
        <v>517</v>
      </c>
      <c r="L208" t="s">
        <v>89</v>
      </c>
      <c r="M208" t="s">
        <v>318</v>
      </c>
      <c r="N208" t="s">
        <v>518</v>
      </c>
      <c r="O208" t="s">
        <v>925</v>
      </c>
      <c r="P208" t="s">
        <v>925</v>
      </c>
      <c r="Q208" t="s">
        <v>102</v>
      </c>
      <c r="R208" t="s">
        <v>102</v>
      </c>
      <c r="S208" t="s">
        <v>520</v>
      </c>
      <c r="T208" t="s">
        <v>924</v>
      </c>
      <c r="U208" t="s">
        <v>322</v>
      </c>
      <c r="V208" t="s">
        <v>82</v>
      </c>
      <c r="W208" t="s">
        <v>926</v>
      </c>
      <c r="X208" t="s">
        <v>96</v>
      </c>
      <c r="Y208" t="s">
        <v>82</v>
      </c>
      <c r="Z208" t="s">
        <v>78</v>
      </c>
    </row>
    <row r="209" spans="1:26" x14ac:dyDescent="0.25">
      <c r="A209" t="s">
        <v>927</v>
      </c>
      <c r="B209" t="s">
        <v>928</v>
      </c>
      <c r="C209" s="4" t="s">
        <v>900</v>
      </c>
      <c r="D209" t="s">
        <v>40</v>
      </c>
      <c r="E209" t="s">
        <v>14</v>
      </c>
      <c r="F209" t="s">
        <v>143</v>
      </c>
      <c r="G209" t="s">
        <v>106</v>
      </c>
      <c r="H209" t="s">
        <v>78</v>
      </c>
      <c r="I209" t="s">
        <v>102</v>
      </c>
      <c r="J209" t="s">
        <v>15</v>
      </c>
      <c r="K209" t="s">
        <v>517</v>
      </c>
      <c r="L209" t="s">
        <v>89</v>
      </c>
      <c r="M209" t="s">
        <v>318</v>
      </c>
      <c r="N209" t="s">
        <v>518</v>
      </c>
      <c r="O209" t="s">
        <v>929</v>
      </c>
      <c r="P209" t="s">
        <v>929</v>
      </c>
      <c r="Q209" t="s">
        <v>102</v>
      </c>
      <c r="R209" t="s">
        <v>102</v>
      </c>
      <c r="S209" t="s">
        <v>520</v>
      </c>
      <c r="T209" t="s">
        <v>928</v>
      </c>
      <c r="U209" t="s">
        <v>322</v>
      </c>
      <c r="V209" t="s">
        <v>82</v>
      </c>
      <c r="W209" t="s">
        <v>926</v>
      </c>
      <c r="X209" t="s">
        <v>96</v>
      </c>
      <c r="Y209" t="s">
        <v>82</v>
      </c>
      <c r="Z209" t="s">
        <v>78</v>
      </c>
    </row>
    <row r="210" spans="1:26" x14ac:dyDescent="0.25">
      <c r="A210" t="s">
        <v>930</v>
      </c>
      <c r="B210" t="s">
        <v>931</v>
      </c>
      <c r="C210" s="4" t="s">
        <v>900</v>
      </c>
      <c r="D210" t="s">
        <v>40</v>
      </c>
      <c r="E210" t="s">
        <v>14</v>
      </c>
      <c r="F210" t="s">
        <v>143</v>
      </c>
      <c r="G210" t="s">
        <v>106</v>
      </c>
      <c r="H210" t="s">
        <v>78</v>
      </c>
      <c r="I210" t="s">
        <v>102</v>
      </c>
      <c r="J210" t="s">
        <v>17</v>
      </c>
      <c r="K210" t="s">
        <v>517</v>
      </c>
      <c r="L210" t="s">
        <v>89</v>
      </c>
      <c r="M210" t="s">
        <v>318</v>
      </c>
      <c r="N210" t="s">
        <v>518</v>
      </c>
      <c r="O210" t="s">
        <v>929</v>
      </c>
      <c r="P210" t="s">
        <v>929</v>
      </c>
      <c r="Q210" t="s">
        <v>102</v>
      </c>
      <c r="R210" t="s">
        <v>102</v>
      </c>
      <c r="S210" t="s">
        <v>520</v>
      </c>
      <c r="T210" t="s">
        <v>931</v>
      </c>
      <c r="U210" t="s">
        <v>322</v>
      </c>
      <c r="V210" t="s">
        <v>82</v>
      </c>
      <c r="W210" t="s">
        <v>926</v>
      </c>
      <c r="X210" t="s">
        <v>96</v>
      </c>
      <c r="Y210" t="s">
        <v>82</v>
      </c>
      <c r="Z210" t="s">
        <v>78</v>
      </c>
    </row>
    <row r="211" spans="1:26" x14ac:dyDescent="0.25">
      <c r="A211" t="s">
        <v>932</v>
      </c>
      <c r="B211" t="s">
        <v>933</v>
      </c>
      <c r="C211" s="4" t="s">
        <v>934</v>
      </c>
      <c r="D211" t="s">
        <v>935</v>
      </c>
      <c r="E211" t="s">
        <v>14</v>
      </c>
      <c r="F211" t="s">
        <v>78</v>
      </c>
      <c r="G211" t="s">
        <v>102</v>
      </c>
      <c r="H211" t="s">
        <v>78</v>
      </c>
      <c r="I211" t="s">
        <v>102</v>
      </c>
      <c r="J211" t="s">
        <v>17</v>
      </c>
      <c r="K211" t="s">
        <v>936</v>
      </c>
      <c r="L211" t="s">
        <v>89</v>
      </c>
      <c r="M211" t="s">
        <v>318</v>
      </c>
      <c r="N211" t="s">
        <v>937</v>
      </c>
      <c r="O211" t="s">
        <v>938</v>
      </c>
      <c r="P211" t="s">
        <v>939</v>
      </c>
      <c r="Q211" t="s">
        <v>102</v>
      </c>
      <c r="R211" t="s">
        <v>86</v>
      </c>
      <c r="S211" t="s">
        <v>940</v>
      </c>
      <c r="T211" t="s">
        <v>933</v>
      </c>
      <c r="U211" t="s">
        <v>322</v>
      </c>
      <c r="V211" t="s">
        <v>82</v>
      </c>
      <c r="W211" t="s">
        <v>941</v>
      </c>
      <c r="X211" t="s">
        <v>96</v>
      </c>
      <c r="Y211" t="s">
        <v>82</v>
      </c>
      <c r="Z211" t="s">
        <v>78</v>
      </c>
    </row>
    <row r="212" spans="1:26" x14ac:dyDescent="0.25">
      <c r="A212" t="s">
        <v>942</v>
      </c>
      <c r="B212" t="s">
        <v>943</v>
      </c>
      <c r="C212" s="4" t="s">
        <v>934</v>
      </c>
      <c r="D212" t="s">
        <v>935</v>
      </c>
      <c r="E212" t="s">
        <v>14</v>
      </c>
      <c r="F212" t="s">
        <v>78</v>
      </c>
      <c r="G212" t="s">
        <v>102</v>
      </c>
      <c r="H212" t="s">
        <v>78</v>
      </c>
      <c r="I212" t="s">
        <v>102</v>
      </c>
      <c r="J212" t="s">
        <v>15</v>
      </c>
      <c r="K212" t="s">
        <v>936</v>
      </c>
      <c r="L212" t="s">
        <v>89</v>
      </c>
      <c r="M212" t="s">
        <v>318</v>
      </c>
      <c r="N212" t="s">
        <v>937</v>
      </c>
      <c r="O212" t="s">
        <v>944</v>
      </c>
      <c r="P212" t="s">
        <v>945</v>
      </c>
      <c r="Q212" t="s">
        <v>102</v>
      </c>
      <c r="R212" t="s">
        <v>86</v>
      </c>
      <c r="S212" t="s">
        <v>940</v>
      </c>
      <c r="T212" t="s">
        <v>943</v>
      </c>
      <c r="U212" t="s">
        <v>322</v>
      </c>
      <c r="V212" t="s">
        <v>82</v>
      </c>
      <c r="W212" t="s">
        <v>941</v>
      </c>
      <c r="X212" t="s">
        <v>96</v>
      </c>
      <c r="Y212" t="s">
        <v>82</v>
      </c>
      <c r="Z212" t="s">
        <v>78</v>
      </c>
    </row>
    <row r="213" spans="1:26" x14ac:dyDescent="0.25">
      <c r="A213" t="s">
        <v>946</v>
      </c>
      <c r="B213" t="s">
        <v>947</v>
      </c>
      <c r="C213" s="4" t="s">
        <v>934</v>
      </c>
      <c r="D213" t="s">
        <v>935</v>
      </c>
      <c r="E213" t="s">
        <v>14</v>
      </c>
      <c r="F213" t="s">
        <v>78</v>
      </c>
      <c r="G213" t="s">
        <v>102</v>
      </c>
      <c r="H213" t="s">
        <v>78</v>
      </c>
      <c r="I213" t="s">
        <v>102</v>
      </c>
      <c r="J213" t="s">
        <v>18</v>
      </c>
      <c r="K213" t="s">
        <v>936</v>
      </c>
      <c r="L213" t="s">
        <v>89</v>
      </c>
      <c r="M213" t="s">
        <v>318</v>
      </c>
      <c r="N213" t="s">
        <v>937</v>
      </c>
      <c r="O213" t="s">
        <v>948</v>
      </c>
      <c r="P213" t="s">
        <v>949</v>
      </c>
      <c r="Q213" t="s">
        <v>102</v>
      </c>
      <c r="R213" t="s">
        <v>86</v>
      </c>
      <c r="S213" t="s">
        <v>940</v>
      </c>
      <c r="T213" t="s">
        <v>947</v>
      </c>
      <c r="U213" t="s">
        <v>322</v>
      </c>
      <c r="V213" t="s">
        <v>82</v>
      </c>
      <c r="W213" t="s">
        <v>941</v>
      </c>
      <c r="X213" t="s">
        <v>96</v>
      </c>
      <c r="Y213" t="s">
        <v>82</v>
      </c>
      <c r="Z213" t="s">
        <v>78</v>
      </c>
    </row>
    <row r="214" spans="1:26" x14ac:dyDescent="0.25">
      <c r="A214" t="s">
        <v>950</v>
      </c>
      <c r="B214" t="s">
        <v>951</v>
      </c>
      <c r="C214" s="4" t="s">
        <v>934</v>
      </c>
      <c r="D214" t="s">
        <v>935</v>
      </c>
      <c r="E214" t="s">
        <v>14</v>
      </c>
      <c r="F214" t="s">
        <v>111</v>
      </c>
      <c r="G214" t="s">
        <v>124</v>
      </c>
      <c r="H214" t="s">
        <v>78</v>
      </c>
      <c r="I214" t="s">
        <v>102</v>
      </c>
      <c r="J214" t="s">
        <v>18</v>
      </c>
      <c r="K214" t="s">
        <v>676</v>
      </c>
      <c r="L214" t="s">
        <v>89</v>
      </c>
      <c r="M214" t="s">
        <v>318</v>
      </c>
      <c r="N214" t="s">
        <v>409</v>
      </c>
      <c r="O214" t="s">
        <v>952</v>
      </c>
      <c r="P214" t="s">
        <v>953</v>
      </c>
      <c r="Q214" t="s">
        <v>102</v>
      </c>
      <c r="R214" t="s">
        <v>86</v>
      </c>
      <c r="S214" t="s">
        <v>679</v>
      </c>
      <c r="T214" t="s">
        <v>951</v>
      </c>
      <c r="U214" t="s">
        <v>322</v>
      </c>
      <c r="V214" t="s">
        <v>82</v>
      </c>
      <c r="W214" t="s">
        <v>954</v>
      </c>
      <c r="X214" t="s">
        <v>96</v>
      </c>
      <c r="Y214" t="s">
        <v>82</v>
      </c>
      <c r="Z214" t="s">
        <v>78</v>
      </c>
    </row>
    <row r="215" spans="1:26" x14ac:dyDescent="0.25">
      <c r="A215" t="s">
        <v>955</v>
      </c>
      <c r="B215" t="s">
        <v>956</v>
      </c>
      <c r="C215" s="4" t="s">
        <v>934</v>
      </c>
      <c r="D215" t="s">
        <v>935</v>
      </c>
      <c r="E215" t="s">
        <v>14</v>
      </c>
      <c r="F215" t="s">
        <v>111</v>
      </c>
      <c r="G215" t="s">
        <v>124</v>
      </c>
      <c r="H215" t="s">
        <v>78</v>
      </c>
      <c r="I215" t="s">
        <v>102</v>
      </c>
      <c r="J215" t="s">
        <v>17</v>
      </c>
      <c r="K215" t="s">
        <v>676</v>
      </c>
      <c r="L215" t="s">
        <v>89</v>
      </c>
      <c r="M215" t="s">
        <v>318</v>
      </c>
      <c r="N215" t="s">
        <v>409</v>
      </c>
      <c r="O215" t="s">
        <v>957</v>
      </c>
      <c r="P215" t="s">
        <v>958</v>
      </c>
      <c r="Q215" t="s">
        <v>102</v>
      </c>
      <c r="R215" t="s">
        <v>86</v>
      </c>
      <c r="S215" t="s">
        <v>679</v>
      </c>
      <c r="T215" t="s">
        <v>956</v>
      </c>
      <c r="U215" t="s">
        <v>322</v>
      </c>
      <c r="V215" t="s">
        <v>82</v>
      </c>
      <c r="W215" t="s">
        <v>954</v>
      </c>
      <c r="X215" t="s">
        <v>96</v>
      </c>
      <c r="Y215" t="s">
        <v>82</v>
      </c>
      <c r="Z215" t="s">
        <v>78</v>
      </c>
    </row>
    <row r="216" spans="1:26" x14ac:dyDescent="0.25">
      <c r="A216" t="s">
        <v>959</v>
      </c>
      <c r="B216" t="s">
        <v>960</v>
      </c>
      <c r="C216" s="4" t="s">
        <v>934</v>
      </c>
      <c r="D216" t="s">
        <v>935</v>
      </c>
      <c r="E216" t="s">
        <v>14</v>
      </c>
      <c r="F216" t="s">
        <v>111</v>
      </c>
      <c r="G216" t="s">
        <v>124</v>
      </c>
      <c r="H216" t="s">
        <v>78</v>
      </c>
      <c r="I216" t="s">
        <v>102</v>
      </c>
      <c r="J216" t="s">
        <v>15</v>
      </c>
      <c r="K216" t="s">
        <v>676</v>
      </c>
      <c r="L216" t="s">
        <v>89</v>
      </c>
      <c r="M216" t="s">
        <v>318</v>
      </c>
      <c r="N216" t="s">
        <v>409</v>
      </c>
      <c r="O216" t="s">
        <v>961</v>
      </c>
      <c r="P216" t="s">
        <v>962</v>
      </c>
      <c r="Q216" t="s">
        <v>102</v>
      </c>
      <c r="R216" t="s">
        <v>86</v>
      </c>
      <c r="S216" t="s">
        <v>679</v>
      </c>
      <c r="T216" t="s">
        <v>960</v>
      </c>
      <c r="U216" t="s">
        <v>322</v>
      </c>
      <c r="V216" t="s">
        <v>82</v>
      </c>
      <c r="W216" t="s">
        <v>954</v>
      </c>
      <c r="X216" t="s">
        <v>96</v>
      </c>
      <c r="Y216" t="s">
        <v>82</v>
      </c>
      <c r="Z216" t="s">
        <v>78</v>
      </c>
    </row>
    <row r="217" spans="1:26" x14ac:dyDescent="0.25">
      <c r="A217" t="s">
        <v>963</v>
      </c>
      <c r="B217" t="s">
        <v>964</v>
      </c>
      <c r="C217" s="4" t="s">
        <v>934</v>
      </c>
      <c r="D217" t="s">
        <v>935</v>
      </c>
      <c r="E217" t="s">
        <v>14</v>
      </c>
      <c r="F217" t="s">
        <v>128</v>
      </c>
      <c r="G217" t="s">
        <v>105</v>
      </c>
      <c r="H217" t="s">
        <v>78</v>
      </c>
      <c r="I217" t="s">
        <v>102</v>
      </c>
      <c r="J217" t="s">
        <v>15</v>
      </c>
      <c r="K217" t="s">
        <v>690</v>
      </c>
      <c r="L217" t="s">
        <v>89</v>
      </c>
      <c r="M217" t="s">
        <v>318</v>
      </c>
      <c r="N217" t="s">
        <v>965</v>
      </c>
      <c r="O217" t="s">
        <v>966</v>
      </c>
      <c r="P217" t="s">
        <v>967</v>
      </c>
      <c r="Q217" t="s">
        <v>102</v>
      </c>
      <c r="R217" t="s">
        <v>86</v>
      </c>
      <c r="S217" t="s">
        <v>742</v>
      </c>
      <c r="T217" t="s">
        <v>964</v>
      </c>
      <c r="U217" t="s">
        <v>322</v>
      </c>
      <c r="V217" t="s">
        <v>82</v>
      </c>
      <c r="W217" t="s">
        <v>968</v>
      </c>
      <c r="X217" t="s">
        <v>96</v>
      </c>
      <c r="Y217" t="s">
        <v>82</v>
      </c>
      <c r="Z217" t="s">
        <v>78</v>
      </c>
    </row>
    <row r="218" spans="1:26" x14ac:dyDescent="0.25">
      <c r="A218" t="s">
        <v>969</v>
      </c>
      <c r="B218" t="s">
        <v>970</v>
      </c>
      <c r="C218" s="4" t="s">
        <v>934</v>
      </c>
      <c r="D218" t="s">
        <v>935</v>
      </c>
      <c r="E218" t="s">
        <v>14</v>
      </c>
      <c r="F218" t="s">
        <v>128</v>
      </c>
      <c r="G218" t="s">
        <v>105</v>
      </c>
      <c r="H218" t="s">
        <v>78</v>
      </c>
      <c r="I218" t="s">
        <v>102</v>
      </c>
      <c r="J218" t="s">
        <v>17</v>
      </c>
      <c r="K218" t="s">
        <v>690</v>
      </c>
      <c r="L218" t="s">
        <v>89</v>
      </c>
      <c r="M218" t="s">
        <v>318</v>
      </c>
      <c r="N218" t="s">
        <v>965</v>
      </c>
      <c r="O218" t="s">
        <v>971</v>
      </c>
      <c r="P218" t="s">
        <v>972</v>
      </c>
      <c r="Q218" t="s">
        <v>102</v>
      </c>
      <c r="R218" t="s">
        <v>86</v>
      </c>
      <c r="S218" t="s">
        <v>742</v>
      </c>
      <c r="T218" t="s">
        <v>970</v>
      </c>
      <c r="U218" t="s">
        <v>322</v>
      </c>
      <c r="V218" t="s">
        <v>82</v>
      </c>
      <c r="W218" t="s">
        <v>968</v>
      </c>
      <c r="X218" t="s">
        <v>96</v>
      </c>
      <c r="Y218" t="s">
        <v>82</v>
      </c>
      <c r="Z218" t="s">
        <v>78</v>
      </c>
    </row>
    <row r="219" spans="1:26" x14ac:dyDescent="0.25">
      <c r="A219" t="s">
        <v>973</v>
      </c>
      <c r="B219" t="s">
        <v>974</v>
      </c>
      <c r="C219" s="4" t="s">
        <v>934</v>
      </c>
      <c r="D219" t="s">
        <v>935</v>
      </c>
      <c r="E219" t="s">
        <v>14</v>
      </c>
      <c r="F219" t="s">
        <v>128</v>
      </c>
      <c r="G219" t="s">
        <v>105</v>
      </c>
      <c r="H219" t="s">
        <v>78</v>
      </c>
      <c r="I219" t="s">
        <v>102</v>
      </c>
      <c r="J219" t="s">
        <v>18</v>
      </c>
      <c r="K219" t="s">
        <v>690</v>
      </c>
      <c r="L219" t="s">
        <v>89</v>
      </c>
      <c r="M219" t="s">
        <v>318</v>
      </c>
      <c r="N219" t="s">
        <v>965</v>
      </c>
      <c r="O219" t="s">
        <v>975</v>
      </c>
      <c r="P219" t="s">
        <v>976</v>
      </c>
      <c r="Q219" t="s">
        <v>102</v>
      </c>
      <c r="R219" t="s">
        <v>86</v>
      </c>
      <c r="S219" t="s">
        <v>742</v>
      </c>
      <c r="T219" t="s">
        <v>974</v>
      </c>
      <c r="U219" t="s">
        <v>322</v>
      </c>
      <c r="V219" t="s">
        <v>82</v>
      </c>
      <c r="W219" t="s">
        <v>968</v>
      </c>
      <c r="X219" t="s">
        <v>96</v>
      </c>
      <c r="Y219" t="s">
        <v>82</v>
      </c>
      <c r="Z219" t="s">
        <v>78</v>
      </c>
    </row>
    <row r="220" spans="1:26" x14ac:dyDescent="0.25">
      <c r="A220" t="s">
        <v>977</v>
      </c>
      <c r="B220" t="s">
        <v>978</v>
      </c>
      <c r="C220" s="4" t="s">
        <v>934</v>
      </c>
      <c r="D220" t="s">
        <v>935</v>
      </c>
      <c r="E220" t="s">
        <v>14</v>
      </c>
      <c r="F220" t="s">
        <v>143</v>
      </c>
      <c r="G220" t="s">
        <v>106</v>
      </c>
      <c r="H220" t="s">
        <v>78</v>
      </c>
      <c r="I220" t="s">
        <v>102</v>
      </c>
      <c r="J220" t="s">
        <v>18</v>
      </c>
      <c r="K220" t="s">
        <v>979</v>
      </c>
      <c r="L220" t="s">
        <v>89</v>
      </c>
      <c r="M220" t="s">
        <v>318</v>
      </c>
      <c r="N220" t="s">
        <v>980</v>
      </c>
      <c r="O220" t="s">
        <v>981</v>
      </c>
      <c r="P220" t="s">
        <v>982</v>
      </c>
      <c r="Q220" t="s">
        <v>102</v>
      </c>
      <c r="R220" t="s">
        <v>86</v>
      </c>
      <c r="S220" t="s">
        <v>983</v>
      </c>
      <c r="T220" t="s">
        <v>978</v>
      </c>
      <c r="U220" t="s">
        <v>322</v>
      </c>
      <c r="V220" t="s">
        <v>82</v>
      </c>
      <c r="W220" t="s">
        <v>984</v>
      </c>
      <c r="X220" t="s">
        <v>96</v>
      </c>
      <c r="Y220" t="s">
        <v>82</v>
      </c>
      <c r="Z220" t="s">
        <v>78</v>
      </c>
    </row>
    <row r="221" spans="1:26" x14ac:dyDescent="0.25">
      <c r="A221" t="s">
        <v>985</v>
      </c>
      <c r="B221" t="s">
        <v>986</v>
      </c>
      <c r="C221" s="4" t="s">
        <v>934</v>
      </c>
      <c r="D221" t="s">
        <v>935</v>
      </c>
      <c r="E221" t="s">
        <v>14</v>
      </c>
      <c r="F221" t="s">
        <v>143</v>
      </c>
      <c r="G221" t="s">
        <v>106</v>
      </c>
      <c r="H221" t="s">
        <v>78</v>
      </c>
      <c r="I221" t="s">
        <v>102</v>
      </c>
      <c r="J221" t="s">
        <v>17</v>
      </c>
      <c r="K221" t="s">
        <v>979</v>
      </c>
      <c r="L221" t="s">
        <v>89</v>
      </c>
      <c r="M221" t="s">
        <v>318</v>
      </c>
      <c r="N221" t="s">
        <v>980</v>
      </c>
      <c r="O221" t="s">
        <v>987</v>
      </c>
      <c r="P221" t="s">
        <v>988</v>
      </c>
      <c r="Q221" t="s">
        <v>102</v>
      </c>
      <c r="R221" t="s">
        <v>86</v>
      </c>
      <c r="S221" t="s">
        <v>983</v>
      </c>
      <c r="T221" t="s">
        <v>986</v>
      </c>
      <c r="U221" t="s">
        <v>322</v>
      </c>
      <c r="V221" t="s">
        <v>82</v>
      </c>
      <c r="W221" t="s">
        <v>984</v>
      </c>
      <c r="X221" t="s">
        <v>96</v>
      </c>
      <c r="Y221" t="s">
        <v>82</v>
      </c>
      <c r="Z221" t="s">
        <v>78</v>
      </c>
    </row>
    <row r="222" spans="1:26" x14ac:dyDescent="0.25">
      <c r="A222" t="s">
        <v>989</v>
      </c>
      <c r="B222" t="s">
        <v>990</v>
      </c>
      <c r="C222" s="4" t="s">
        <v>934</v>
      </c>
      <c r="D222" t="s">
        <v>935</v>
      </c>
      <c r="E222" t="s">
        <v>14</v>
      </c>
      <c r="F222" t="s">
        <v>143</v>
      </c>
      <c r="G222" t="s">
        <v>106</v>
      </c>
      <c r="H222" t="s">
        <v>78</v>
      </c>
      <c r="I222" t="s">
        <v>102</v>
      </c>
      <c r="J222" t="s">
        <v>15</v>
      </c>
      <c r="K222" t="s">
        <v>979</v>
      </c>
      <c r="L222" t="s">
        <v>89</v>
      </c>
      <c r="M222" t="s">
        <v>318</v>
      </c>
      <c r="N222" t="s">
        <v>980</v>
      </c>
      <c r="O222" t="s">
        <v>991</v>
      </c>
      <c r="P222" t="s">
        <v>992</v>
      </c>
      <c r="Q222" t="s">
        <v>102</v>
      </c>
      <c r="R222" t="s">
        <v>86</v>
      </c>
      <c r="S222" t="s">
        <v>983</v>
      </c>
      <c r="T222" t="s">
        <v>990</v>
      </c>
      <c r="U222" t="s">
        <v>322</v>
      </c>
      <c r="V222" t="s">
        <v>82</v>
      </c>
      <c r="W222" t="s">
        <v>984</v>
      </c>
      <c r="X222" t="s">
        <v>96</v>
      </c>
      <c r="Y222" t="s">
        <v>82</v>
      </c>
      <c r="Z222" t="s">
        <v>78</v>
      </c>
    </row>
    <row r="223" spans="1:26" x14ac:dyDescent="0.25">
      <c r="A223" t="s">
        <v>993</v>
      </c>
      <c r="B223" t="s">
        <v>994</v>
      </c>
      <c r="C223" s="4" t="s">
        <v>900</v>
      </c>
      <c r="D223" t="s">
        <v>40</v>
      </c>
      <c r="E223" t="s">
        <v>14</v>
      </c>
      <c r="F223" t="s">
        <v>111</v>
      </c>
      <c r="G223" t="s">
        <v>124</v>
      </c>
      <c r="H223" t="s">
        <v>78</v>
      </c>
      <c r="I223" t="s">
        <v>102</v>
      </c>
      <c r="J223" t="s">
        <v>20</v>
      </c>
      <c r="K223" t="s">
        <v>995</v>
      </c>
      <c r="L223" t="s">
        <v>89</v>
      </c>
      <c r="M223" t="s">
        <v>318</v>
      </c>
      <c r="N223" t="s">
        <v>494</v>
      </c>
      <c r="O223" t="s">
        <v>996</v>
      </c>
      <c r="P223" t="s">
        <v>996</v>
      </c>
      <c r="Q223" t="s">
        <v>102</v>
      </c>
      <c r="R223" t="s">
        <v>102</v>
      </c>
      <c r="S223" t="s">
        <v>997</v>
      </c>
      <c r="T223" t="s">
        <v>994</v>
      </c>
      <c r="U223" t="s">
        <v>322</v>
      </c>
      <c r="V223" t="s">
        <v>82</v>
      </c>
      <c r="W223" t="s">
        <v>354</v>
      </c>
      <c r="X223" t="s">
        <v>96</v>
      </c>
      <c r="Y223" t="s">
        <v>82</v>
      </c>
      <c r="Z223" t="s">
        <v>78</v>
      </c>
    </row>
    <row r="224" spans="1:26" x14ac:dyDescent="0.25">
      <c r="A224" t="s">
        <v>998</v>
      </c>
      <c r="B224" t="s">
        <v>999</v>
      </c>
      <c r="C224" s="4" t="s">
        <v>1000</v>
      </c>
      <c r="D224" t="s">
        <v>1001</v>
      </c>
      <c r="E224" t="s">
        <v>14</v>
      </c>
      <c r="F224" t="s">
        <v>105</v>
      </c>
      <c r="G224" t="s">
        <v>106</v>
      </c>
      <c r="H224" t="s">
        <v>78</v>
      </c>
      <c r="I224" t="s">
        <v>86</v>
      </c>
      <c r="J224" t="s">
        <v>1002</v>
      </c>
      <c r="K224" t="s">
        <v>1003</v>
      </c>
      <c r="L224" t="s">
        <v>89</v>
      </c>
      <c r="M224" t="s">
        <v>318</v>
      </c>
      <c r="N224" t="s">
        <v>1004</v>
      </c>
      <c r="O224" t="s">
        <v>1005</v>
      </c>
      <c r="P224" t="s">
        <v>1006</v>
      </c>
      <c r="Q224" t="s">
        <v>102</v>
      </c>
      <c r="R224" t="s">
        <v>111</v>
      </c>
      <c r="S224" t="s">
        <v>1007</v>
      </c>
      <c r="T224" t="s">
        <v>999</v>
      </c>
      <c r="U224" t="s">
        <v>322</v>
      </c>
      <c r="V224" t="s">
        <v>82</v>
      </c>
      <c r="W224" t="s">
        <v>1008</v>
      </c>
      <c r="X224" t="s">
        <v>96</v>
      </c>
      <c r="Y224" t="s">
        <v>82</v>
      </c>
      <c r="Z224" t="s">
        <v>102</v>
      </c>
    </row>
    <row r="225" spans="1:26" x14ac:dyDescent="0.25">
      <c r="A225" t="s">
        <v>1009</v>
      </c>
      <c r="B225" t="s">
        <v>1010</v>
      </c>
      <c r="C225" s="4" t="s">
        <v>1000</v>
      </c>
      <c r="D225" t="s">
        <v>1001</v>
      </c>
      <c r="E225" t="s">
        <v>14</v>
      </c>
      <c r="F225" t="s">
        <v>105</v>
      </c>
      <c r="G225" t="s">
        <v>106</v>
      </c>
      <c r="H225" t="s">
        <v>78</v>
      </c>
      <c r="I225" t="s">
        <v>86</v>
      </c>
      <c r="J225" t="s">
        <v>30</v>
      </c>
      <c r="K225" t="s">
        <v>1003</v>
      </c>
      <c r="L225" t="s">
        <v>89</v>
      </c>
      <c r="M225" t="s">
        <v>318</v>
      </c>
      <c r="N225" t="s">
        <v>1004</v>
      </c>
      <c r="O225" t="s">
        <v>1005</v>
      </c>
      <c r="P225" t="s">
        <v>1011</v>
      </c>
      <c r="Q225" t="s">
        <v>102</v>
      </c>
      <c r="R225" t="s">
        <v>111</v>
      </c>
      <c r="S225" t="s">
        <v>1007</v>
      </c>
      <c r="T225" t="s">
        <v>1010</v>
      </c>
      <c r="U225" t="s">
        <v>322</v>
      </c>
      <c r="V225" t="s">
        <v>82</v>
      </c>
      <c r="W225" t="s">
        <v>1008</v>
      </c>
      <c r="X225" t="s">
        <v>96</v>
      </c>
      <c r="Y225" t="s">
        <v>82</v>
      </c>
      <c r="Z225" t="s">
        <v>102</v>
      </c>
    </row>
    <row r="226" spans="1:26" x14ac:dyDescent="0.25">
      <c r="A226" t="s">
        <v>1012</v>
      </c>
      <c r="B226" t="s">
        <v>1013</v>
      </c>
      <c r="C226" s="4" t="s">
        <v>1000</v>
      </c>
      <c r="D226" t="s">
        <v>1001</v>
      </c>
      <c r="E226" t="s">
        <v>14</v>
      </c>
      <c r="F226" t="s">
        <v>105</v>
      </c>
      <c r="G226" t="s">
        <v>106</v>
      </c>
      <c r="H226" t="s">
        <v>78</v>
      </c>
      <c r="I226" t="s">
        <v>86</v>
      </c>
      <c r="J226" t="s">
        <v>1014</v>
      </c>
      <c r="K226" t="s">
        <v>1003</v>
      </c>
      <c r="L226" t="s">
        <v>89</v>
      </c>
      <c r="M226" t="s">
        <v>318</v>
      </c>
      <c r="N226" t="s">
        <v>1004</v>
      </c>
      <c r="O226" t="s">
        <v>1005</v>
      </c>
      <c r="P226" t="s">
        <v>1015</v>
      </c>
      <c r="Q226" t="s">
        <v>102</v>
      </c>
      <c r="R226" t="s">
        <v>111</v>
      </c>
      <c r="S226" t="s">
        <v>1007</v>
      </c>
      <c r="T226" t="s">
        <v>1013</v>
      </c>
      <c r="U226" t="s">
        <v>322</v>
      </c>
      <c r="V226" t="s">
        <v>82</v>
      </c>
      <c r="W226" t="s">
        <v>1008</v>
      </c>
      <c r="X226" t="s">
        <v>96</v>
      </c>
      <c r="Y226" t="s">
        <v>82</v>
      </c>
      <c r="Z226" t="s">
        <v>102</v>
      </c>
    </row>
    <row r="227" spans="1:26" x14ac:dyDescent="0.25">
      <c r="A227" t="s">
        <v>1016</v>
      </c>
      <c r="B227" t="s">
        <v>1017</v>
      </c>
      <c r="C227" s="4" t="s">
        <v>1000</v>
      </c>
      <c r="D227" t="s">
        <v>1001</v>
      </c>
      <c r="E227" t="s">
        <v>14</v>
      </c>
      <c r="F227" t="s">
        <v>105</v>
      </c>
      <c r="G227" t="s">
        <v>106</v>
      </c>
      <c r="H227" t="s">
        <v>78</v>
      </c>
      <c r="I227" t="s">
        <v>86</v>
      </c>
      <c r="J227" t="s">
        <v>17</v>
      </c>
      <c r="K227" t="s">
        <v>1003</v>
      </c>
      <c r="L227" t="s">
        <v>89</v>
      </c>
      <c r="M227" t="s">
        <v>318</v>
      </c>
      <c r="N227" t="s">
        <v>1004</v>
      </c>
      <c r="O227" t="s">
        <v>1005</v>
      </c>
      <c r="P227" t="s">
        <v>1018</v>
      </c>
      <c r="Q227" t="s">
        <v>102</v>
      </c>
      <c r="R227" t="s">
        <v>111</v>
      </c>
      <c r="S227" t="s">
        <v>1007</v>
      </c>
      <c r="T227" t="s">
        <v>1017</v>
      </c>
      <c r="U227" t="s">
        <v>322</v>
      </c>
      <c r="V227" t="s">
        <v>82</v>
      </c>
      <c r="W227" t="s">
        <v>1008</v>
      </c>
      <c r="X227" t="s">
        <v>96</v>
      </c>
      <c r="Y227" t="s">
        <v>82</v>
      </c>
      <c r="Z227" t="s">
        <v>102</v>
      </c>
    </row>
    <row r="228" spans="1:26" x14ac:dyDescent="0.25">
      <c r="A228" t="s">
        <v>1019</v>
      </c>
      <c r="B228" t="s">
        <v>1020</v>
      </c>
      <c r="C228" s="4" t="s">
        <v>1000</v>
      </c>
      <c r="D228" t="s">
        <v>1001</v>
      </c>
      <c r="E228" t="s">
        <v>14</v>
      </c>
      <c r="F228" t="s">
        <v>105</v>
      </c>
      <c r="G228" t="s">
        <v>106</v>
      </c>
      <c r="H228" t="s">
        <v>78</v>
      </c>
      <c r="I228" t="s">
        <v>86</v>
      </c>
      <c r="J228" t="s">
        <v>29</v>
      </c>
      <c r="K228" t="s">
        <v>1003</v>
      </c>
      <c r="L228" t="s">
        <v>89</v>
      </c>
      <c r="M228" t="s">
        <v>318</v>
      </c>
      <c r="N228" t="s">
        <v>1004</v>
      </c>
      <c r="O228" t="s">
        <v>1005</v>
      </c>
      <c r="P228" t="s">
        <v>1021</v>
      </c>
      <c r="Q228" t="s">
        <v>102</v>
      </c>
      <c r="R228" t="s">
        <v>111</v>
      </c>
      <c r="S228" t="s">
        <v>1007</v>
      </c>
      <c r="T228" t="s">
        <v>1020</v>
      </c>
      <c r="U228" t="s">
        <v>322</v>
      </c>
      <c r="V228" t="s">
        <v>82</v>
      </c>
      <c r="W228" t="s">
        <v>1008</v>
      </c>
      <c r="X228" t="s">
        <v>96</v>
      </c>
      <c r="Y228" t="s">
        <v>82</v>
      </c>
      <c r="Z228" t="s">
        <v>102</v>
      </c>
    </row>
    <row r="229" spans="1:26" x14ac:dyDescent="0.25">
      <c r="A229" t="s">
        <v>1022</v>
      </c>
      <c r="B229" t="s">
        <v>1023</v>
      </c>
      <c r="C229" s="4" t="s">
        <v>1000</v>
      </c>
      <c r="D229" t="s">
        <v>1001</v>
      </c>
      <c r="E229" t="s">
        <v>14</v>
      </c>
      <c r="F229" t="s">
        <v>83</v>
      </c>
      <c r="G229" t="s">
        <v>84</v>
      </c>
      <c r="H229" t="s">
        <v>78</v>
      </c>
      <c r="I229" t="s">
        <v>86</v>
      </c>
      <c r="J229" t="s">
        <v>29</v>
      </c>
      <c r="K229" t="s">
        <v>1024</v>
      </c>
      <c r="L229" t="s">
        <v>89</v>
      </c>
      <c r="M229" t="s">
        <v>318</v>
      </c>
      <c r="N229" t="s">
        <v>1025</v>
      </c>
      <c r="O229" t="s">
        <v>1026</v>
      </c>
      <c r="P229" t="s">
        <v>1027</v>
      </c>
      <c r="Q229" t="s">
        <v>102</v>
      </c>
      <c r="R229" t="s">
        <v>111</v>
      </c>
      <c r="S229" t="s">
        <v>1028</v>
      </c>
      <c r="T229" t="s">
        <v>1023</v>
      </c>
      <c r="U229" t="s">
        <v>322</v>
      </c>
      <c r="V229" t="s">
        <v>82</v>
      </c>
      <c r="W229" t="s">
        <v>1029</v>
      </c>
      <c r="X229" t="s">
        <v>96</v>
      </c>
      <c r="Y229" t="s">
        <v>82</v>
      </c>
      <c r="Z229" t="s">
        <v>102</v>
      </c>
    </row>
    <row r="230" spans="1:26" x14ac:dyDescent="0.25">
      <c r="A230" t="s">
        <v>1030</v>
      </c>
      <c r="B230" t="s">
        <v>1031</v>
      </c>
      <c r="C230" s="4" t="s">
        <v>1000</v>
      </c>
      <c r="D230" t="s">
        <v>1001</v>
      </c>
      <c r="E230" t="s">
        <v>14</v>
      </c>
      <c r="F230" t="s">
        <v>83</v>
      </c>
      <c r="G230" t="s">
        <v>84</v>
      </c>
      <c r="H230" t="s">
        <v>78</v>
      </c>
      <c r="I230" t="s">
        <v>86</v>
      </c>
      <c r="J230" t="s">
        <v>30</v>
      </c>
      <c r="K230" t="s">
        <v>1024</v>
      </c>
      <c r="L230" t="s">
        <v>89</v>
      </c>
      <c r="M230" t="s">
        <v>318</v>
      </c>
      <c r="N230" t="s">
        <v>1025</v>
      </c>
      <c r="O230" t="s">
        <v>1026</v>
      </c>
      <c r="P230" t="s">
        <v>1032</v>
      </c>
      <c r="Q230" t="s">
        <v>102</v>
      </c>
      <c r="R230" t="s">
        <v>111</v>
      </c>
      <c r="S230" t="s">
        <v>1028</v>
      </c>
      <c r="T230" t="s">
        <v>1031</v>
      </c>
      <c r="U230" t="s">
        <v>322</v>
      </c>
      <c r="V230" t="s">
        <v>82</v>
      </c>
      <c r="W230" t="s">
        <v>1029</v>
      </c>
      <c r="X230" t="s">
        <v>96</v>
      </c>
      <c r="Y230" t="s">
        <v>82</v>
      </c>
      <c r="Z230" t="s">
        <v>102</v>
      </c>
    </row>
    <row r="231" spans="1:26" x14ac:dyDescent="0.25">
      <c r="A231" t="s">
        <v>1033</v>
      </c>
      <c r="B231" t="s">
        <v>1034</v>
      </c>
      <c r="C231" s="4" t="s">
        <v>1000</v>
      </c>
      <c r="D231" t="s">
        <v>1001</v>
      </c>
      <c r="E231" t="s">
        <v>14</v>
      </c>
      <c r="F231" t="s">
        <v>83</v>
      </c>
      <c r="G231" t="s">
        <v>84</v>
      </c>
      <c r="H231" t="s">
        <v>78</v>
      </c>
      <c r="I231" t="s">
        <v>86</v>
      </c>
      <c r="J231" t="s">
        <v>1002</v>
      </c>
      <c r="K231" t="s">
        <v>1024</v>
      </c>
      <c r="L231" t="s">
        <v>89</v>
      </c>
      <c r="M231" t="s">
        <v>318</v>
      </c>
      <c r="N231" t="s">
        <v>1025</v>
      </c>
      <c r="O231" t="s">
        <v>1026</v>
      </c>
      <c r="P231" t="s">
        <v>1035</v>
      </c>
      <c r="Q231" t="s">
        <v>102</v>
      </c>
      <c r="R231" t="s">
        <v>111</v>
      </c>
      <c r="S231" t="s">
        <v>1028</v>
      </c>
      <c r="T231" t="s">
        <v>1034</v>
      </c>
      <c r="U231" t="s">
        <v>322</v>
      </c>
      <c r="V231" t="s">
        <v>82</v>
      </c>
      <c r="W231" t="s">
        <v>1029</v>
      </c>
      <c r="X231" t="s">
        <v>96</v>
      </c>
      <c r="Y231" t="s">
        <v>82</v>
      </c>
      <c r="Z231" t="s">
        <v>102</v>
      </c>
    </row>
    <row r="232" spans="1:26" x14ac:dyDescent="0.25">
      <c r="A232" t="s">
        <v>1036</v>
      </c>
      <c r="B232" t="s">
        <v>1037</v>
      </c>
      <c r="C232" s="4" t="s">
        <v>1000</v>
      </c>
      <c r="D232" t="s">
        <v>1001</v>
      </c>
      <c r="E232" t="s">
        <v>14</v>
      </c>
      <c r="F232" t="s">
        <v>83</v>
      </c>
      <c r="G232" t="s">
        <v>84</v>
      </c>
      <c r="H232" t="s">
        <v>78</v>
      </c>
      <c r="I232" t="s">
        <v>86</v>
      </c>
      <c r="J232" t="s">
        <v>1014</v>
      </c>
      <c r="K232" t="s">
        <v>1024</v>
      </c>
      <c r="L232" t="s">
        <v>89</v>
      </c>
      <c r="M232" t="s">
        <v>318</v>
      </c>
      <c r="N232" t="s">
        <v>1025</v>
      </c>
      <c r="O232" t="s">
        <v>1026</v>
      </c>
      <c r="P232" t="s">
        <v>1038</v>
      </c>
      <c r="Q232" t="s">
        <v>102</v>
      </c>
      <c r="R232" t="s">
        <v>111</v>
      </c>
      <c r="S232" t="s">
        <v>1028</v>
      </c>
      <c r="T232" t="s">
        <v>1037</v>
      </c>
      <c r="U232" t="s">
        <v>322</v>
      </c>
      <c r="V232" t="s">
        <v>82</v>
      </c>
      <c r="W232" t="s">
        <v>1029</v>
      </c>
      <c r="X232" t="s">
        <v>96</v>
      </c>
      <c r="Y232" t="s">
        <v>82</v>
      </c>
      <c r="Z232" t="s">
        <v>102</v>
      </c>
    </row>
    <row r="233" spans="1:26" x14ac:dyDescent="0.25">
      <c r="A233" t="s">
        <v>1039</v>
      </c>
      <c r="B233" t="s">
        <v>1040</v>
      </c>
      <c r="C233" s="4" t="s">
        <v>1000</v>
      </c>
      <c r="D233" t="s">
        <v>1001</v>
      </c>
      <c r="E233" t="s">
        <v>14</v>
      </c>
      <c r="F233" t="s">
        <v>83</v>
      </c>
      <c r="G233" t="s">
        <v>84</v>
      </c>
      <c r="H233" t="s">
        <v>78</v>
      </c>
      <c r="I233" t="s">
        <v>86</v>
      </c>
      <c r="J233" t="s">
        <v>17</v>
      </c>
      <c r="K233" t="s">
        <v>1024</v>
      </c>
      <c r="L233" t="s">
        <v>89</v>
      </c>
      <c r="M233" t="s">
        <v>318</v>
      </c>
      <c r="N233" t="s">
        <v>1025</v>
      </c>
      <c r="O233" t="s">
        <v>1041</v>
      </c>
      <c r="P233" t="s">
        <v>1042</v>
      </c>
      <c r="Q233" t="s">
        <v>102</v>
      </c>
      <c r="R233" t="s">
        <v>111</v>
      </c>
      <c r="S233" t="s">
        <v>1028</v>
      </c>
      <c r="T233" t="s">
        <v>1040</v>
      </c>
      <c r="U233" t="s">
        <v>322</v>
      </c>
      <c r="V233" t="s">
        <v>82</v>
      </c>
      <c r="W233" t="s">
        <v>1029</v>
      </c>
      <c r="X233" t="s">
        <v>96</v>
      </c>
      <c r="Y233" t="s">
        <v>82</v>
      </c>
      <c r="Z233" t="s">
        <v>102</v>
      </c>
    </row>
    <row r="234" spans="1:26" x14ac:dyDescent="0.25">
      <c r="A234" t="s">
        <v>1043</v>
      </c>
      <c r="B234" t="s">
        <v>1044</v>
      </c>
      <c r="C234" s="4" t="s">
        <v>334</v>
      </c>
      <c r="D234" t="s">
        <v>1045</v>
      </c>
      <c r="E234" t="s">
        <v>14</v>
      </c>
      <c r="F234" t="s">
        <v>83</v>
      </c>
      <c r="G234" t="s">
        <v>84</v>
      </c>
      <c r="H234" t="s">
        <v>78</v>
      </c>
      <c r="I234" t="s">
        <v>86</v>
      </c>
      <c r="J234" t="s">
        <v>87</v>
      </c>
      <c r="K234" t="s">
        <v>1046</v>
      </c>
      <c r="L234" t="s">
        <v>89</v>
      </c>
      <c r="M234" t="s">
        <v>318</v>
      </c>
      <c r="N234" t="s">
        <v>1047</v>
      </c>
      <c r="O234" t="s">
        <v>1048</v>
      </c>
      <c r="P234" t="s">
        <v>1049</v>
      </c>
      <c r="Q234" t="s">
        <v>102</v>
      </c>
      <c r="R234" t="s">
        <v>83</v>
      </c>
      <c r="S234" t="s">
        <v>1050</v>
      </c>
      <c r="T234" t="s">
        <v>1044</v>
      </c>
      <c r="U234" t="s">
        <v>322</v>
      </c>
      <c r="V234" t="s">
        <v>82</v>
      </c>
      <c r="W234" t="s">
        <v>96</v>
      </c>
      <c r="X234" t="s">
        <v>96</v>
      </c>
      <c r="Y234" t="s">
        <v>82</v>
      </c>
      <c r="Z234" t="s">
        <v>102</v>
      </c>
    </row>
    <row r="235" spans="1:26" x14ac:dyDescent="0.25">
      <c r="A235" t="s">
        <v>1051</v>
      </c>
      <c r="B235" t="s">
        <v>1052</v>
      </c>
      <c r="C235" s="4" t="s">
        <v>334</v>
      </c>
      <c r="D235" t="s">
        <v>1045</v>
      </c>
      <c r="E235" t="s">
        <v>14</v>
      </c>
      <c r="F235" t="s">
        <v>83</v>
      </c>
      <c r="G235" t="s">
        <v>84</v>
      </c>
      <c r="H235" t="s">
        <v>78</v>
      </c>
      <c r="I235" t="s">
        <v>86</v>
      </c>
      <c r="J235" t="s">
        <v>1053</v>
      </c>
      <c r="K235" t="s">
        <v>1046</v>
      </c>
      <c r="L235" t="s">
        <v>89</v>
      </c>
      <c r="M235" t="s">
        <v>318</v>
      </c>
      <c r="N235" t="s">
        <v>1047</v>
      </c>
      <c r="O235" t="s">
        <v>1048</v>
      </c>
      <c r="P235" t="s">
        <v>1054</v>
      </c>
      <c r="Q235" t="s">
        <v>102</v>
      </c>
      <c r="R235" t="s">
        <v>83</v>
      </c>
      <c r="S235" t="s">
        <v>1050</v>
      </c>
      <c r="T235" t="s">
        <v>1052</v>
      </c>
      <c r="U235" t="s">
        <v>322</v>
      </c>
      <c r="V235" t="s">
        <v>82</v>
      </c>
      <c r="W235" t="s">
        <v>96</v>
      </c>
      <c r="X235" t="s">
        <v>96</v>
      </c>
      <c r="Y235" t="s">
        <v>82</v>
      </c>
      <c r="Z235" t="s">
        <v>102</v>
      </c>
    </row>
    <row r="236" spans="1:26" x14ac:dyDescent="0.25">
      <c r="A236" t="s">
        <v>1055</v>
      </c>
      <c r="B236" t="s">
        <v>1056</v>
      </c>
      <c r="C236" s="4" t="s">
        <v>334</v>
      </c>
      <c r="D236" t="s">
        <v>1045</v>
      </c>
      <c r="E236" t="s">
        <v>14</v>
      </c>
      <c r="F236" t="s">
        <v>83</v>
      </c>
      <c r="G236" t="s">
        <v>84</v>
      </c>
      <c r="H236" t="s">
        <v>78</v>
      </c>
      <c r="I236" t="s">
        <v>86</v>
      </c>
      <c r="J236" t="s">
        <v>1002</v>
      </c>
      <c r="K236" t="s">
        <v>1046</v>
      </c>
      <c r="L236" t="s">
        <v>89</v>
      </c>
      <c r="M236" t="s">
        <v>318</v>
      </c>
      <c r="N236" t="s">
        <v>1047</v>
      </c>
      <c r="O236" t="s">
        <v>1048</v>
      </c>
      <c r="P236" t="s">
        <v>1057</v>
      </c>
      <c r="Q236" t="s">
        <v>102</v>
      </c>
      <c r="R236" t="s">
        <v>83</v>
      </c>
      <c r="S236" t="s">
        <v>1050</v>
      </c>
      <c r="T236" t="s">
        <v>1056</v>
      </c>
      <c r="U236" t="s">
        <v>322</v>
      </c>
      <c r="V236" t="s">
        <v>82</v>
      </c>
      <c r="W236" t="s">
        <v>96</v>
      </c>
      <c r="X236" t="s">
        <v>96</v>
      </c>
      <c r="Y236" t="s">
        <v>82</v>
      </c>
      <c r="Z236" t="s">
        <v>102</v>
      </c>
    </row>
    <row r="237" spans="1:26" x14ac:dyDescent="0.25">
      <c r="A237" t="s">
        <v>1058</v>
      </c>
      <c r="B237" t="s">
        <v>1059</v>
      </c>
      <c r="C237" s="4" t="s">
        <v>1060</v>
      </c>
      <c r="D237" t="s">
        <v>54</v>
      </c>
      <c r="E237" t="s">
        <v>14</v>
      </c>
      <c r="F237" t="s">
        <v>105</v>
      </c>
      <c r="G237" t="s">
        <v>106</v>
      </c>
      <c r="H237" t="s">
        <v>78</v>
      </c>
      <c r="I237" t="s">
        <v>86</v>
      </c>
      <c r="J237" t="s">
        <v>37</v>
      </c>
      <c r="K237" t="s">
        <v>1061</v>
      </c>
      <c r="L237" t="s">
        <v>89</v>
      </c>
      <c r="M237" t="s">
        <v>318</v>
      </c>
      <c r="N237" t="s">
        <v>1062</v>
      </c>
      <c r="O237" t="s">
        <v>1063</v>
      </c>
      <c r="P237" t="s">
        <v>1064</v>
      </c>
      <c r="Q237" t="s">
        <v>102</v>
      </c>
      <c r="R237" t="s">
        <v>128</v>
      </c>
      <c r="S237" t="s">
        <v>1065</v>
      </c>
      <c r="T237" t="s">
        <v>1059</v>
      </c>
      <c r="U237" t="s">
        <v>322</v>
      </c>
      <c r="V237" t="s">
        <v>82</v>
      </c>
      <c r="W237" t="s">
        <v>1046</v>
      </c>
      <c r="X237" t="s">
        <v>96</v>
      </c>
      <c r="Y237" t="s">
        <v>82</v>
      </c>
      <c r="Z237" t="s">
        <v>102</v>
      </c>
    </row>
    <row r="238" spans="1:26" x14ac:dyDescent="0.25">
      <c r="A238" t="s">
        <v>1066</v>
      </c>
      <c r="B238" t="s">
        <v>1067</v>
      </c>
      <c r="C238" s="4" t="s">
        <v>1060</v>
      </c>
      <c r="D238" t="s">
        <v>54</v>
      </c>
      <c r="E238" t="s">
        <v>14</v>
      </c>
      <c r="F238" t="s">
        <v>105</v>
      </c>
      <c r="G238" t="s">
        <v>106</v>
      </c>
      <c r="H238" t="s">
        <v>78</v>
      </c>
      <c r="I238" t="s">
        <v>86</v>
      </c>
      <c r="J238" t="s">
        <v>33</v>
      </c>
      <c r="K238" t="s">
        <v>1061</v>
      </c>
      <c r="L238" t="s">
        <v>89</v>
      </c>
      <c r="M238" t="s">
        <v>318</v>
      </c>
      <c r="N238" t="s">
        <v>1062</v>
      </c>
      <c r="O238" t="s">
        <v>1063</v>
      </c>
      <c r="P238" t="s">
        <v>1068</v>
      </c>
      <c r="Q238" t="s">
        <v>102</v>
      </c>
      <c r="R238" t="s">
        <v>128</v>
      </c>
      <c r="S238" t="s">
        <v>1065</v>
      </c>
      <c r="T238" t="s">
        <v>1067</v>
      </c>
      <c r="U238" t="s">
        <v>322</v>
      </c>
      <c r="V238" t="s">
        <v>82</v>
      </c>
      <c r="W238" t="s">
        <v>1046</v>
      </c>
      <c r="X238" t="s">
        <v>96</v>
      </c>
      <c r="Y238" t="s">
        <v>82</v>
      </c>
      <c r="Z238" t="s">
        <v>102</v>
      </c>
    </row>
    <row r="239" spans="1:26" x14ac:dyDescent="0.25">
      <c r="A239" t="s">
        <v>1069</v>
      </c>
      <c r="B239" t="s">
        <v>1070</v>
      </c>
      <c r="C239" s="4" t="s">
        <v>1060</v>
      </c>
      <c r="D239" t="s">
        <v>54</v>
      </c>
      <c r="E239" t="s">
        <v>14</v>
      </c>
      <c r="F239" t="s">
        <v>105</v>
      </c>
      <c r="G239" t="s">
        <v>106</v>
      </c>
      <c r="H239" t="s">
        <v>78</v>
      </c>
      <c r="I239" t="s">
        <v>86</v>
      </c>
      <c r="J239" t="s">
        <v>546</v>
      </c>
      <c r="K239" t="s">
        <v>1061</v>
      </c>
      <c r="L239" t="s">
        <v>89</v>
      </c>
      <c r="M239" t="s">
        <v>318</v>
      </c>
      <c r="N239" t="s">
        <v>1062</v>
      </c>
      <c r="O239" t="s">
        <v>1063</v>
      </c>
      <c r="P239" t="s">
        <v>1071</v>
      </c>
      <c r="Q239" t="s">
        <v>102</v>
      </c>
      <c r="R239" t="s">
        <v>128</v>
      </c>
      <c r="S239" t="s">
        <v>1065</v>
      </c>
      <c r="T239" t="s">
        <v>1070</v>
      </c>
      <c r="U239" t="s">
        <v>322</v>
      </c>
      <c r="V239" t="s">
        <v>82</v>
      </c>
      <c r="W239" t="s">
        <v>1046</v>
      </c>
      <c r="X239" t="s">
        <v>96</v>
      </c>
      <c r="Y239" t="s">
        <v>82</v>
      </c>
      <c r="Z239" t="s">
        <v>102</v>
      </c>
    </row>
    <row r="240" spans="1:26" x14ac:dyDescent="0.25">
      <c r="A240" t="s">
        <v>1072</v>
      </c>
      <c r="B240" t="s">
        <v>1073</v>
      </c>
      <c r="C240" s="4" t="s">
        <v>1060</v>
      </c>
      <c r="D240" t="s">
        <v>54</v>
      </c>
      <c r="E240" t="s">
        <v>14</v>
      </c>
      <c r="F240" t="s">
        <v>83</v>
      </c>
      <c r="G240" t="s">
        <v>84</v>
      </c>
      <c r="H240" t="s">
        <v>78</v>
      </c>
      <c r="I240" t="s">
        <v>86</v>
      </c>
      <c r="J240" t="s">
        <v>37</v>
      </c>
      <c r="K240" t="s">
        <v>1074</v>
      </c>
      <c r="L240" t="s">
        <v>89</v>
      </c>
      <c r="M240" t="s">
        <v>318</v>
      </c>
      <c r="N240" t="s">
        <v>1075</v>
      </c>
      <c r="O240" t="s">
        <v>1076</v>
      </c>
      <c r="P240" t="s">
        <v>1077</v>
      </c>
      <c r="Q240" t="s">
        <v>102</v>
      </c>
      <c r="R240" t="s">
        <v>128</v>
      </c>
      <c r="S240" t="s">
        <v>1078</v>
      </c>
      <c r="T240" t="s">
        <v>1073</v>
      </c>
      <c r="U240" t="s">
        <v>322</v>
      </c>
      <c r="V240" t="s">
        <v>82</v>
      </c>
      <c r="W240" t="s">
        <v>1079</v>
      </c>
      <c r="X240" t="s">
        <v>96</v>
      </c>
      <c r="Y240" t="s">
        <v>82</v>
      </c>
      <c r="Z240" t="s">
        <v>102</v>
      </c>
    </row>
    <row r="241" spans="1:26" x14ac:dyDescent="0.25">
      <c r="A241" t="s">
        <v>1080</v>
      </c>
      <c r="B241" t="s">
        <v>1081</v>
      </c>
      <c r="C241" s="4" t="s">
        <v>1060</v>
      </c>
      <c r="D241" t="s">
        <v>54</v>
      </c>
      <c r="E241" t="s">
        <v>14</v>
      </c>
      <c r="F241" t="s">
        <v>83</v>
      </c>
      <c r="G241" t="s">
        <v>84</v>
      </c>
      <c r="H241" t="s">
        <v>78</v>
      </c>
      <c r="I241" t="s">
        <v>86</v>
      </c>
      <c r="J241" t="s">
        <v>546</v>
      </c>
      <c r="K241" t="s">
        <v>1074</v>
      </c>
      <c r="L241" t="s">
        <v>89</v>
      </c>
      <c r="M241" t="s">
        <v>318</v>
      </c>
      <c r="N241" t="s">
        <v>1075</v>
      </c>
      <c r="O241" t="s">
        <v>1082</v>
      </c>
      <c r="P241" t="s">
        <v>1083</v>
      </c>
      <c r="Q241" t="s">
        <v>102</v>
      </c>
      <c r="R241" t="s">
        <v>128</v>
      </c>
      <c r="S241" t="s">
        <v>1078</v>
      </c>
      <c r="T241" t="s">
        <v>1081</v>
      </c>
      <c r="U241" t="s">
        <v>322</v>
      </c>
      <c r="V241" t="s">
        <v>82</v>
      </c>
      <c r="W241" t="s">
        <v>1079</v>
      </c>
      <c r="X241" t="s">
        <v>96</v>
      </c>
      <c r="Y241" t="s">
        <v>82</v>
      </c>
      <c r="Z241" t="s">
        <v>102</v>
      </c>
    </row>
    <row r="242" spans="1:26" x14ac:dyDescent="0.25">
      <c r="A242" t="s">
        <v>1084</v>
      </c>
      <c r="B242" t="s">
        <v>1085</v>
      </c>
      <c r="C242" s="4" t="s">
        <v>1060</v>
      </c>
      <c r="D242" t="s">
        <v>54</v>
      </c>
      <c r="E242" t="s">
        <v>14</v>
      </c>
      <c r="F242" t="s">
        <v>83</v>
      </c>
      <c r="G242" t="s">
        <v>84</v>
      </c>
      <c r="H242" t="s">
        <v>78</v>
      </c>
      <c r="I242" t="s">
        <v>86</v>
      </c>
      <c r="J242" t="s">
        <v>33</v>
      </c>
      <c r="K242" t="s">
        <v>1074</v>
      </c>
      <c r="L242" t="s">
        <v>89</v>
      </c>
      <c r="M242" t="s">
        <v>318</v>
      </c>
      <c r="N242" t="s">
        <v>1075</v>
      </c>
      <c r="O242" t="s">
        <v>1082</v>
      </c>
      <c r="P242" t="s">
        <v>1086</v>
      </c>
      <c r="Q242" t="s">
        <v>102</v>
      </c>
      <c r="R242" t="s">
        <v>128</v>
      </c>
      <c r="S242" t="s">
        <v>1078</v>
      </c>
      <c r="T242" t="s">
        <v>1085</v>
      </c>
      <c r="U242" t="s">
        <v>322</v>
      </c>
      <c r="V242" t="s">
        <v>82</v>
      </c>
      <c r="W242" t="s">
        <v>1079</v>
      </c>
      <c r="X242" t="s">
        <v>96</v>
      </c>
      <c r="Y242" t="s">
        <v>82</v>
      </c>
      <c r="Z242" t="s">
        <v>102</v>
      </c>
    </row>
    <row r="243" spans="1:26" x14ac:dyDescent="0.25">
      <c r="A243" t="s">
        <v>1087</v>
      </c>
      <c r="B243" t="s">
        <v>1088</v>
      </c>
      <c r="C243" s="4" t="s">
        <v>713</v>
      </c>
      <c r="D243" t="s">
        <v>1089</v>
      </c>
      <c r="E243" t="s">
        <v>14</v>
      </c>
      <c r="F243" t="s">
        <v>85</v>
      </c>
      <c r="G243" t="s">
        <v>111</v>
      </c>
      <c r="H243" t="s">
        <v>78</v>
      </c>
      <c r="I243" t="s">
        <v>102</v>
      </c>
      <c r="J243" t="s">
        <v>1090</v>
      </c>
      <c r="K243" t="s">
        <v>1091</v>
      </c>
      <c r="L243" t="s">
        <v>89</v>
      </c>
      <c r="M243" t="s">
        <v>318</v>
      </c>
      <c r="N243" t="s">
        <v>1092</v>
      </c>
      <c r="O243" t="s">
        <v>1093</v>
      </c>
      <c r="P243" t="s">
        <v>1094</v>
      </c>
      <c r="Q243" t="s">
        <v>102</v>
      </c>
      <c r="R243" t="s">
        <v>111</v>
      </c>
      <c r="S243" t="s">
        <v>585</v>
      </c>
      <c r="T243" t="s">
        <v>1088</v>
      </c>
      <c r="U243" t="s">
        <v>322</v>
      </c>
      <c r="V243" t="s">
        <v>82</v>
      </c>
      <c r="W243" t="s">
        <v>1095</v>
      </c>
      <c r="X243" t="s">
        <v>96</v>
      </c>
      <c r="Y243" t="s">
        <v>82</v>
      </c>
      <c r="Z243" t="s">
        <v>102</v>
      </c>
    </row>
    <row r="244" spans="1:26" x14ac:dyDescent="0.25">
      <c r="A244" t="s">
        <v>1096</v>
      </c>
      <c r="B244" t="s">
        <v>1097</v>
      </c>
      <c r="C244" s="4" t="s">
        <v>713</v>
      </c>
      <c r="D244" t="s">
        <v>1089</v>
      </c>
      <c r="E244" t="s">
        <v>14</v>
      </c>
      <c r="F244" t="s">
        <v>85</v>
      </c>
      <c r="G244" t="s">
        <v>111</v>
      </c>
      <c r="H244" t="s">
        <v>78</v>
      </c>
      <c r="I244" t="s">
        <v>102</v>
      </c>
      <c r="J244" t="s">
        <v>546</v>
      </c>
      <c r="K244" t="s">
        <v>1091</v>
      </c>
      <c r="L244" t="s">
        <v>89</v>
      </c>
      <c r="M244" t="s">
        <v>318</v>
      </c>
      <c r="N244" t="s">
        <v>1092</v>
      </c>
      <c r="O244" t="s">
        <v>1093</v>
      </c>
      <c r="P244" t="s">
        <v>1098</v>
      </c>
      <c r="Q244" t="s">
        <v>102</v>
      </c>
      <c r="R244" t="s">
        <v>111</v>
      </c>
      <c r="S244" t="s">
        <v>585</v>
      </c>
      <c r="T244" t="s">
        <v>1097</v>
      </c>
      <c r="U244" t="s">
        <v>322</v>
      </c>
      <c r="V244" t="s">
        <v>82</v>
      </c>
      <c r="W244" t="s">
        <v>1095</v>
      </c>
      <c r="X244" t="s">
        <v>96</v>
      </c>
      <c r="Y244" t="s">
        <v>82</v>
      </c>
      <c r="Z244" t="s">
        <v>102</v>
      </c>
    </row>
    <row r="245" spans="1:26" x14ac:dyDescent="0.25">
      <c r="A245" t="s">
        <v>1099</v>
      </c>
      <c r="B245" t="s">
        <v>1100</v>
      </c>
      <c r="C245" s="4" t="s">
        <v>713</v>
      </c>
      <c r="D245" t="s">
        <v>1089</v>
      </c>
      <c r="E245" t="s">
        <v>14</v>
      </c>
      <c r="F245" t="s">
        <v>85</v>
      </c>
      <c r="G245" t="s">
        <v>111</v>
      </c>
      <c r="H245" t="s">
        <v>78</v>
      </c>
      <c r="I245" t="s">
        <v>102</v>
      </c>
      <c r="J245" t="s">
        <v>37</v>
      </c>
      <c r="K245" t="s">
        <v>1091</v>
      </c>
      <c r="L245" t="s">
        <v>89</v>
      </c>
      <c r="M245" t="s">
        <v>318</v>
      </c>
      <c r="N245" t="s">
        <v>1092</v>
      </c>
      <c r="O245" t="s">
        <v>1093</v>
      </c>
      <c r="P245" t="s">
        <v>1101</v>
      </c>
      <c r="Q245" t="s">
        <v>102</v>
      </c>
      <c r="R245" t="s">
        <v>111</v>
      </c>
      <c r="S245" t="s">
        <v>585</v>
      </c>
      <c r="T245" t="s">
        <v>1100</v>
      </c>
      <c r="U245" t="s">
        <v>322</v>
      </c>
      <c r="V245" t="s">
        <v>82</v>
      </c>
      <c r="W245" t="s">
        <v>1095</v>
      </c>
      <c r="X245" t="s">
        <v>96</v>
      </c>
      <c r="Y245" t="s">
        <v>82</v>
      </c>
      <c r="Z245" t="s">
        <v>102</v>
      </c>
    </row>
    <row r="246" spans="1:26" x14ac:dyDescent="0.25">
      <c r="A246" t="s">
        <v>1102</v>
      </c>
      <c r="B246" t="s">
        <v>1103</v>
      </c>
      <c r="C246" s="4" t="s">
        <v>719</v>
      </c>
      <c r="D246" t="s">
        <v>1104</v>
      </c>
      <c r="E246" t="s">
        <v>14</v>
      </c>
      <c r="F246" t="s">
        <v>85</v>
      </c>
      <c r="G246" t="s">
        <v>111</v>
      </c>
      <c r="H246" t="s">
        <v>78</v>
      </c>
      <c r="I246" t="s">
        <v>102</v>
      </c>
      <c r="J246" t="s">
        <v>37</v>
      </c>
      <c r="K246" t="s">
        <v>1105</v>
      </c>
      <c r="L246" t="s">
        <v>89</v>
      </c>
      <c r="M246" t="s">
        <v>318</v>
      </c>
      <c r="N246" t="s">
        <v>383</v>
      </c>
      <c r="O246" t="s">
        <v>1106</v>
      </c>
      <c r="P246" t="s">
        <v>1107</v>
      </c>
      <c r="Q246" t="s">
        <v>102</v>
      </c>
      <c r="R246" t="s">
        <v>128</v>
      </c>
      <c r="S246" t="s">
        <v>1024</v>
      </c>
      <c r="T246" t="s">
        <v>1103</v>
      </c>
      <c r="U246" t="s">
        <v>322</v>
      </c>
      <c r="V246" t="s">
        <v>82</v>
      </c>
      <c r="W246" t="s">
        <v>1108</v>
      </c>
      <c r="X246" t="s">
        <v>96</v>
      </c>
      <c r="Y246" t="s">
        <v>82</v>
      </c>
      <c r="Z246" t="s">
        <v>102</v>
      </c>
    </row>
    <row r="247" spans="1:26" x14ac:dyDescent="0.25">
      <c r="A247" t="s">
        <v>1109</v>
      </c>
      <c r="B247" t="s">
        <v>1110</v>
      </c>
      <c r="C247" s="4" t="s">
        <v>719</v>
      </c>
      <c r="D247" t="s">
        <v>1104</v>
      </c>
      <c r="E247" t="s">
        <v>14</v>
      </c>
      <c r="F247" t="s">
        <v>85</v>
      </c>
      <c r="G247" t="s">
        <v>111</v>
      </c>
      <c r="H247" t="s">
        <v>78</v>
      </c>
      <c r="I247" t="s">
        <v>102</v>
      </c>
      <c r="J247" t="s">
        <v>32</v>
      </c>
      <c r="K247" t="s">
        <v>1105</v>
      </c>
      <c r="L247" t="s">
        <v>89</v>
      </c>
      <c r="M247" t="s">
        <v>318</v>
      </c>
      <c r="N247" t="s">
        <v>383</v>
      </c>
      <c r="O247" t="s">
        <v>1106</v>
      </c>
      <c r="P247" t="s">
        <v>1111</v>
      </c>
      <c r="Q247" t="s">
        <v>102</v>
      </c>
      <c r="R247" t="s">
        <v>128</v>
      </c>
      <c r="S247" t="s">
        <v>1024</v>
      </c>
      <c r="T247" t="s">
        <v>1110</v>
      </c>
      <c r="U247" t="s">
        <v>322</v>
      </c>
      <c r="V247" t="s">
        <v>82</v>
      </c>
      <c r="W247" t="s">
        <v>1108</v>
      </c>
      <c r="X247" t="s">
        <v>96</v>
      </c>
      <c r="Y247" t="s">
        <v>82</v>
      </c>
      <c r="Z247" t="s">
        <v>102</v>
      </c>
    </row>
    <row r="248" spans="1:26" x14ac:dyDescent="0.25">
      <c r="A248" t="s">
        <v>1112</v>
      </c>
      <c r="B248" t="s">
        <v>1113</v>
      </c>
      <c r="C248" s="4" t="s">
        <v>719</v>
      </c>
      <c r="D248" t="s">
        <v>1104</v>
      </c>
      <c r="E248" t="s">
        <v>14</v>
      </c>
      <c r="F248" t="s">
        <v>85</v>
      </c>
      <c r="G248" t="s">
        <v>111</v>
      </c>
      <c r="H248" t="s">
        <v>78</v>
      </c>
      <c r="I248" t="s">
        <v>102</v>
      </c>
      <c r="J248" t="s">
        <v>1114</v>
      </c>
      <c r="K248" t="s">
        <v>1105</v>
      </c>
      <c r="L248" t="s">
        <v>89</v>
      </c>
      <c r="M248" t="s">
        <v>318</v>
      </c>
      <c r="N248" t="s">
        <v>383</v>
      </c>
      <c r="O248" t="s">
        <v>1115</v>
      </c>
      <c r="P248" t="s">
        <v>1116</v>
      </c>
      <c r="Q248" t="s">
        <v>102</v>
      </c>
      <c r="R248" t="s">
        <v>128</v>
      </c>
      <c r="S248" t="s">
        <v>1024</v>
      </c>
      <c r="T248" t="s">
        <v>1113</v>
      </c>
      <c r="U248" t="s">
        <v>322</v>
      </c>
      <c r="V248" t="s">
        <v>82</v>
      </c>
      <c r="W248" t="s">
        <v>1108</v>
      </c>
      <c r="X248" t="s">
        <v>96</v>
      </c>
      <c r="Y248" t="s">
        <v>82</v>
      </c>
      <c r="Z248" t="s">
        <v>102</v>
      </c>
    </row>
    <row r="249" spans="1:26" x14ac:dyDescent="0.25">
      <c r="A249" t="s">
        <v>1117</v>
      </c>
      <c r="B249" t="s">
        <v>1118</v>
      </c>
      <c r="C249" s="4" t="s">
        <v>722</v>
      </c>
      <c r="D249" t="s">
        <v>1104</v>
      </c>
      <c r="E249" t="s">
        <v>14</v>
      </c>
      <c r="F249" t="s">
        <v>85</v>
      </c>
      <c r="G249" t="s">
        <v>111</v>
      </c>
      <c r="H249" t="s">
        <v>78</v>
      </c>
      <c r="I249" t="s">
        <v>102</v>
      </c>
      <c r="J249" t="s">
        <v>32</v>
      </c>
      <c r="K249" t="s">
        <v>1105</v>
      </c>
      <c r="L249" t="s">
        <v>89</v>
      </c>
      <c r="M249" t="s">
        <v>318</v>
      </c>
      <c r="N249" t="s">
        <v>383</v>
      </c>
      <c r="O249" t="s">
        <v>1119</v>
      </c>
      <c r="P249" t="s">
        <v>1120</v>
      </c>
      <c r="Q249" t="s">
        <v>102</v>
      </c>
      <c r="R249" t="s">
        <v>128</v>
      </c>
      <c r="S249" t="s">
        <v>1024</v>
      </c>
      <c r="T249" t="s">
        <v>1118</v>
      </c>
      <c r="U249" t="s">
        <v>322</v>
      </c>
      <c r="V249" t="s">
        <v>82</v>
      </c>
      <c r="W249" t="s">
        <v>1108</v>
      </c>
      <c r="X249" t="s">
        <v>96</v>
      </c>
      <c r="Y249" t="s">
        <v>82</v>
      </c>
      <c r="Z249" t="s">
        <v>102</v>
      </c>
    </row>
    <row r="250" spans="1:26" x14ac:dyDescent="0.25">
      <c r="A250" t="s">
        <v>1121</v>
      </c>
      <c r="B250" t="s">
        <v>1122</v>
      </c>
      <c r="C250" s="4" t="s">
        <v>722</v>
      </c>
      <c r="D250" t="s">
        <v>1104</v>
      </c>
      <c r="E250" t="s">
        <v>14</v>
      </c>
      <c r="F250" t="s">
        <v>85</v>
      </c>
      <c r="G250" t="s">
        <v>111</v>
      </c>
      <c r="H250" t="s">
        <v>78</v>
      </c>
      <c r="I250" t="s">
        <v>102</v>
      </c>
      <c r="J250" t="s">
        <v>30</v>
      </c>
      <c r="K250" t="s">
        <v>1105</v>
      </c>
      <c r="L250" t="s">
        <v>89</v>
      </c>
      <c r="M250" t="s">
        <v>318</v>
      </c>
      <c r="N250" t="s">
        <v>383</v>
      </c>
      <c r="O250" t="s">
        <v>1119</v>
      </c>
      <c r="P250" t="s">
        <v>1123</v>
      </c>
      <c r="Q250" t="s">
        <v>102</v>
      </c>
      <c r="R250" t="s">
        <v>128</v>
      </c>
      <c r="S250" t="s">
        <v>1024</v>
      </c>
      <c r="T250" t="s">
        <v>1122</v>
      </c>
      <c r="U250" t="s">
        <v>322</v>
      </c>
      <c r="V250" t="s">
        <v>82</v>
      </c>
      <c r="W250" t="s">
        <v>1108</v>
      </c>
      <c r="X250" t="s">
        <v>96</v>
      </c>
      <c r="Y250" t="s">
        <v>82</v>
      </c>
      <c r="Z250" t="s">
        <v>102</v>
      </c>
    </row>
    <row r="251" spans="1:26" x14ac:dyDescent="0.25">
      <c r="A251" t="s">
        <v>1124</v>
      </c>
      <c r="B251" t="s">
        <v>1125</v>
      </c>
      <c r="C251" s="4" t="s">
        <v>722</v>
      </c>
      <c r="D251" t="s">
        <v>1104</v>
      </c>
      <c r="E251" t="s">
        <v>14</v>
      </c>
      <c r="F251" t="s">
        <v>85</v>
      </c>
      <c r="G251" t="s">
        <v>111</v>
      </c>
      <c r="H251" t="s">
        <v>78</v>
      </c>
      <c r="I251" t="s">
        <v>102</v>
      </c>
      <c r="J251" t="s">
        <v>126</v>
      </c>
      <c r="K251" t="s">
        <v>1105</v>
      </c>
      <c r="L251" t="s">
        <v>89</v>
      </c>
      <c r="M251" t="s">
        <v>318</v>
      </c>
      <c r="N251" t="s">
        <v>383</v>
      </c>
      <c r="O251" t="s">
        <v>1119</v>
      </c>
      <c r="P251" t="s">
        <v>1126</v>
      </c>
      <c r="Q251" t="s">
        <v>102</v>
      </c>
      <c r="R251" t="s">
        <v>128</v>
      </c>
      <c r="S251" t="s">
        <v>1024</v>
      </c>
      <c r="T251" t="s">
        <v>1125</v>
      </c>
      <c r="U251" t="s">
        <v>322</v>
      </c>
      <c r="V251" t="s">
        <v>82</v>
      </c>
      <c r="W251" t="s">
        <v>1108</v>
      </c>
      <c r="X251" t="s">
        <v>96</v>
      </c>
      <c r="Y251" t="s">
        <v>82</v>
      </c>
      <c r="Z251" t="s">
        <v>102</v>
      </c>
    </row>
    <row r="252" spans="1:26" x14ac:dyDescent="0.25">
      <c r="A252" t="s">
        <v>1127</v>
      </c>
      <c r="B252" t="s">
        <v>1128</v>
      </c>
      <c r="C252" s="4" t="s">
        <v>1000</v>
      </c>
      <c r="D252" t="s">
        <v>1001</v>
      </c>
      <c r="E252" t="s">
        <v>14</v>
      </c>
      <c r="F252" t="s">
        <v>105</v>
      </c>
      <c r="G252" t="s">
        <v>106</v>
      </c>
      <c r="H252" t="s">
        <v>78</v>
      </c>
      <c r="I252" t="s">
        <v>86</v>
      </c>
      <c r="J252" t="s">
        <v>531</v>
      </c>
      <c r="K252" t="s">
        <v>1003</v>
      </c>
      <c r="L252" t="s">
        <v>89</v>
      </c>
      <c r="M252" t="s">
        <v>318</v>
      </c>
      <c r="N252" t="s">
        <v>1004</v>
      </c>
      <c r="O252" t="s">
        <v>1129</v>
      </c>
      <c r="P252" t="s">
        <v>1130</v>
      </c>
      <c r="Q252" t="s">
        <v>102</v>
      </c>
      <c r="R252" t="s">
        <v>111</v>
      </c>
      <c r="S252" t="s">
        <v>1007</v>
      </c>
      <c r="T252" t="s">
        <v>1128</v>
      </c>
      <c r="U252" t="s">
        <v>322</v>
      </c>
      <c r="V252" t="s">
        <v>82</v>
      </c>
      <c r="W252" t="s">
        <v>1008</v>
      </c>
      <c r="X252" t="s">
        <v>96</v>
      </c>
      <c r="Y252" t="s">
        <v>82</v>
      </c>
      <c r="Z252" t="s">
        <v>102</v>
      </c>
    </row>
    <row r="253" spans="1:26" x14ac:dyDescent="0.25">
      <c r="A253" t="s">
        <v>1131</v>
      </c>
      <c r="B253" t="s">
        <v>1132</v>
      </c>
      <c r="C253" s="4" t="s">
        <v>1133</v>
      </c>
      <c r="D253" t="s">
        <v>1134</v>
      </c>
      <c r="E253" t="s">
        <v>14</v>
      </c>
      <c r="F253" t="s">
        <v>83</v>
      </c>
      <c r="G253" t="s">
        <v>84</v>
      </c>
      <c r="H253" t="s">
        <v>78</v>
      </c>
      <c r="I253" t="s">
        <v>86</v>
      </c>
      <c r="J253" t="s">
        <v>32</v>
      </c>
      <c r="K253" t="s">
        <v>1135</v>
      </c>
      <c r="L253" t="s">
        <v>89</v>
      </c>
      <c r="M253" t="s">
        <v>318</v>
      </c>
      <c r="N253" t="s">
        <v>1136</v>
      </c>
      <c r="O253" t="s">
        <v>1137</v>
      </c>
      <c r="P253" t="s">
        <v>1137</v>
      </c>
      <c r="Q253" t="s">
        <v>102</v>
      </c>
      <c r="R253" t="s">
        <v>111</v>
      </c>
      <c r="S253" t="s">
        <v>1138</v>
      </c>
      <c r="T253" t="s">
        <v>1132</v>
      </c>
      <c r="U253" t="s">
        <v>322</v>
      </c>
      <c r="V253" t="s">
        <v>82</v>
      </c>
      <c r="W253" t="s">
        <v>1139</v>
      </c>
      <c r="X253" t="s">
        <v>96</v>
      </c>
      <c r="Y253" t="s">
        <v>82</v>
      </c>
      <c r="Z253" t="s">
        <v>102</v>
      </c>
    </row>
    <row r="254" spans="1:26" x14ac:dyDescent="0.25">
      <c r="A254" t="s">
        <v>1140</v>
      </c>
      <c r="B254" t="s">
        <v>1141</v>
      </c>
      <c r="C254" s="4" t="s">
        <v>1133</v>
      </c>
      <c r="D254" t="s">
        <v>1134</v>
      </c>
      <c r="E254" t="s">
        <v>14</v>
      </c>
      <c r="F254" t="s">
        <v>83</v>
      </c>
      <c r="G254" t="s">
        <v>84</v>
      </c>
      <c r="H254" t="s">
        <v>78</v>
      </c>
      <c r="I254" t="s">
        <v>86</v>
      </c>
      <c r="J254" t="s">
        <v>30</v>
      </c>
      <c r="K254" t="s">
        <v>1135</v>
      </c>
      <c r="L254" t="s">
        <v>89</v>
      </c>
      <c r="M254" t="s">
        <v>318</v>
      </c>
      <c r="N254" t="s">
        <v>1136</v>
      </c>
      <c r="O254" t="s">
        <v>1142</v>
      </c>
      <c r="P254" t="s">
        <v>1142</v>
      </c>
      <c r="Q254" t="s">
        <v>102</v>
      </c>
      <c r="R254" t="s">
        <v>111</v>
      </c>
      <c r="S254" t="s">
        <v>1138</v>
      </c>
      <c r="T254" t="s">
        <v>1141</v>
      </c>
      <c r="U254" t="s">
        <v>322</v>
      </c>
      <c r="V254" t="s">
        <v>82</v>
      </c>
      <c r="W254" t="s">
        <v>1139</v>
      </c>
      <c r="X254" t="s">
        <v>96</v>
      </c>
      <c r="Y254" t="s">
        <v>82</v>
      </c>
      <c r="Z254" t="s">
        <v>102</v>
      </c>
    </row>
    <row r="255" spans="1:26" x14ac:dyDescent="0.25">
      <c r="A255" t="s">
        <v>1143</v>
      </c>
      <c r="B255" t="s">
        <v>1144</v>
      </c>
      <c r="C255" s="4" t="s">
        <v>1133</v>
      </c>
      <c r="D255" t="s">
        <v>1134</v>
      </c>
      <c r="E255" t="s">
        <v>14</v>
      </c>
      <c r="F255" t="s">
        <v>83</v>
      </c>
      <c r="G255" t="s">
        <v>84</v>
      </c>
      <c r="H255" t="s">
        <v>78</v>
      </c>
      <c r="I255" t="s">
        <v>86</v>
      </c>
      <c r="J255" t="s">
        <v>1002</v>
      </c>
      <c r="K255" t="s">
        <v>1135</v>
      </c>
      <c r="L255" t="s">
        <v>89</v>
      </c>
      <c r="M255" t="s">
        <v>318</v>
      </c>
      <c r="N255" t="s">
        <v>1136</v>
      </c>
      <c r="O255" t="s">
        <v>1142</v>
      </c>
      <c r="P255" t="s">
        <v>1142</v>
      </c>
      <c r="Q255" t="s">
        <v>102</v>
      </c>
      <c r="R255" t="s">
        <v>111</v>
      </c>
      <c r="S255" t="s">
        <v>1138</v>
      </c>
      <c r="T255" t="s">
        <v>1144</v>
      </c>
      <c r="U255" t="s">
        <v>322</v>
      </c>
      <c r="V255" t="s">
        <v>82</v>
      </c>
      <c r="W255" t="s">
        <v>1139</v>
      </c>
      <c r="X255" t="s">
        <v>96</v>
      </c>
      <c r="Y255" t="s">
        <v>82</v>
      </c>
      <c r="Z255" t="s">
        <v>102</v>
      </c>
    </row>
    <row r="256" spans="1:26" x14ac:dyDescent="0.25">
      <c r="A256" t="s">
        <v>1145</v>
      </c>
      <c r="B256" t="s">
        <v>1146</v>
      </c>
      <c r="C256" s="4" t="s">
        <v>1133</v>
      </c>
      <c r="D256" t="s">
        <v>1134</v>
      </c>
      <c r="E256" t="s">
        <v>14</v>
      </c>
      <c r="F256" t="s">
        <v>105</v>
      </c>
      <c r="G256" t="s">
        <v>106</v>
      </c>
      <c r="H256" t="s">
        <v>78</v>
      </c>
      <c r="I256" t="s">
        <v>86</v>
      </c>
      <c r="J256" t="s">
        <v>1002</v>
      </c>
      <c r="K256" t="s">
        <v>1147</v>
      </c>
      <c r="L256" t="s">
        <v>89</v>
      </c>
      <c r="M256" t="s">
        <v>318</v>
      </c>
      <c r="N256" t="s">
        <v>1148</v>
      </c>
      <c r="O256" t="s">
        <v>1149</v>
      </c>
      <c r="P256" t="s">
        <v>1149</v>
      </c>
      <c r="Q256" t="s">
        <v>102</v>
      </c>
      <c r="R256" t="s">
        <v>111</v>
      </c>
      <c r="S256" t="s">
        <v>1150</v>
      </c>
      <c r="T256" t="s">
        <v>1146</v>
      </c>
      <c r="U256" t="s">
        <v>322</v>
      </c>
      <c r="V256" t="s">
        <v>82</v>
      </c>
      <c r="W256" t="s">
        <v>1151</v>
      </c>
      <c r="X256" t="s">
        <v>96</v>
      </c>
      <c r="Y256" t="s">
        <v>82</v>
      </c>
      <c r="Z256" t="s">
        <v>102</v>
      </c>
    </row>
    <row r="257" spans="1:26" x14ac:dyDescent="0.25">
      <c r="A257" t="s">
        <v>1152</v>
      </c>
      <c r="B257" t="s">
        <v>1153</v>
      </c>
      <c r="C257" s="4" t="s">
        <v>1133</v>
      </c>
      <c r="D257" t="s">
        <v>1134</v>
      </c>
      <c r="E257" t="s">
        <v>14</v>
      </c>
      <c r="F257" t="s">
        <v>105</v>
      </c>
      <c r="G257" t="s">
        <v>106</v>
      </c>
      <c r="H257" t="s">
        <v>78</v>
      </c>
      <c r="I257" t="s">
        <v>86</v>
      </c>
      <c r="J257" t="s">
        <v>32</v>
      </c>
      <c r="K257" t="s">
        <v>1147</v>
      </c>
      <c r="L257" t="s">
        <v>89</v>
      </c>
      <c r="M257" t="s">
        <v>318</v>
      </c>
      <c r="N257" t="s">
        <v>1148</v>
      </c>
      <c r="O257" t="s">
        <v>1154</v>
      </c>
      <c r="P257" t="s">
        <v>1154</v>
      </c>
      <c r="Q257" t="s">
        <v>102</v>
      </c>
      <c r="R257" t="s">
        <v>111</v>
      </c>
      <c r="S257" t="s">
        <v>1150</v>
      </c>
      <c r="T257" t="s">
        <v>1153</v>
      </c>
      <c r="U257" t="s">
        <v>322</v>
      </c>
      <c r="V257" t="s">
        <v>82</v>
      </c>
      <c r="W257" t="s">
        <v>1151</v>
      </c>
      <c r="X257" t="s">
        <v>96</v>
      </c>
      <c r="Y257" t="s">
        <v>82</v>
      </c>
      <c r="Z257" t="s">
        <v>102</v>
      </c>
    </row>
    <row r="258" spans="1:26" x14ac:dyDescent="0.25">
      <c r="A258" t="s">
        <v>1155</v>
      </c>
      <c r="B258" t="s">
        <v>1156</v>
      </c>
      <c r="C258" s="4" t="s">
        <v>1133</v>
      </c>
      <c r="D258" t="s">
        <v>1134</v>
      </c>
      <c r="E258" t="s">
        <v>14</v>
      </c>
      <c r="F258" t="s">
        <v>105</v>
      </c>
      <c r="G258" t="s">
        <v>106</v>
      </c>
      <c r="H258" t="s">
        <v>78</v>
      </c>
      <c r="I258" t="s">
        <v>86</v>
      </c>
      <c r="J258" t="s">
        <v>30</v>
      </c>
      <c r="K258" t="s">
        <v>1147</v>
      </c>
      <c r="L258" t="s">
        <v>89</v>
      </c>
      <c r="M258" t="s">
        <v>318</v>
      </c>
      <c r="N258" t="s">
        <v>1148</v>
      </c>
      <c r="O258" t="s">
        <v>1154</v>
      </c>
      <c r="P258" t="s">
        <v>1154</v>
      </c>
      <c r="Q258" t="s">
        <v>102</v>
      </c>
      <c r="R258" t="s">
        <v>111</v>
      </c>
      <c r="S258" t="s">
        <v>1150</v>
      </c>
      <c r="T258" t="s">
        <v>1156</v>
      </c>
      <c r="U258" t="s">
        <v>322</v>
      </c>
      <c r="V258" t="s">
        <v>82</v>
      </c>
      <c r="W258" t="s">
        <v>1151</v>
      </c>
      <c r="X258" t="s">
        <v>96</v>
      </c>
      <c r="Y258" t="s">
        <v>82</v>
      </c>
      <c r="Z258" t="s">
        <v>102</v>
      </c>
    </row>
    <row r="259" spans="1:26" x14ac:dyDescent="0.25">
      <c r="A259" t="s">
        <v>1157</v>
      </c>
      <c r="B259" t="s">
        <v>1158</v>
      </c>
      <c r="C259" s="4" t="s">
        <v>1159</v>
      </c>
      <c r="D259" t="s">
        <v>1160</v>
      </c>
      <c r="E259" t="s">
        <v>14</v>
      </c>
      <c r="F259" t="s">
        <v>85</v>
      </c>
      <c r="G259" t="s">
        <v>111</v>
      </c>
      <c r="H259" t="s">
        <v>78</v>
      </c>
      <c r="I259" t="s">
        <v>102</v>
      </c>
      <c r="J259" t="s">
        <v>24</v>
      </c>
      <c r="K259" t="s">
        <v>676</v>
      </c>
      <c r="L259" t="s">
        <v>89</v>
      </c>
      <c r="M259" t="s">
        <v>318</v>
      </c>
      <c r="N259" t="s">
        <v>1161</v>
      </c>
      <c r="O259" t="s">
        <v>1162</v>
      </c>
      <c r="P259" t="s">
        <v>1163</v>
      </c>
      <c r="Q259" t="s">
        <v>102</v>
      </c>
      <c r="R259" t="s">
        <v>102</v>
      </c>
      <c r="S259" t="s">
        <v>679</v>
      </c>
      <c r="T259" t="s">
        <v>1158</v>
      </c>
      <c r="U259" t="s">
        <v>322</v>
      </c>
      <c r="V259" t="s">
        <v>82</v>
      </c>
      <c r="W259" t="s">
        <v>968</v>
      </c>
      <c r="X259" t="s">
        <v>96</v>
      </c>
      <c r="Y259" t="s">
        <v>82</v>
      </c>
      <c r="Z259" t="s">
        <v>78</v>
      </c>
    </row>
    <row r="260" spans="1:26" x14ac:dyDescent="0.25">
      <c r="A260" t="s">
        <v>1164</v>
      </c>
      <c r="B260" t="s">
        <v>1165</v>
      </c>
      <c r="C260" s="4" t="s">
        <v>1159</v>
      </c>
      <c r="D260" t="s">
        <v>1160</v>
      </c>
      <c r="E260" t="s">
        <v>14</v>
      </c>
      <c r="F260" t="s">
        <v>85</v>
      </c>
      <c r="G260" t="s">
        <v>111</v>
      </c>
      <c r="H260" t="s">
        <v>78</v>
      </c>
      <c r="I260" t="s">
        <v>102</v>
      </c>
      <c r="J260" t="s">
        <v>20</v>
      </c>
      <c r="K260" t="s">
        <v>676</v>
      </c>
      <c r="L260" t="s">
        <v>89</v>
      </c>
      <c r="M260" t="s">
        <v>318</v>
      </c>
      <c r="N260" t="s">
        <v>1161</v>
      </c>
      <c r="O260" t="s">
        <v>1166</v>
      </c>
      <c r="P260" t="s">
        <v>1167</v>
      </c>
      <c r="Q260" t="s">
        <v>102</v>
      </c>
      <c r="R260" t="s">
        <v>102</v>
      </c>
      <c r="S260" t="s">
        <v>679</v>
      </c>
      <c r="T260" t="s">
        <v>1165</v>
      </c>
      <c r="U260" t="s">
        <v>322</v>
      </c>
      <c r="V260" t="s">
        <v>82</v>
      </c>
      <c r="W260" t="s">
        <v>968</v>
      </c>
      <c r="X260" t="s">
        <v>96</v>
      </c>
      <c r="Y260" t="s">
        <v>82</v>
      </c>
      <c r="Z260" t="s">
        <v>78</v>
      </c>
    </row>
    <row r="261" spans="1:26" x14ac:dyDescent="0.25">
      <c r="A261" t="s">
        <v>1168</v>
      </c>
      <c r="B261" t="s">
        <v>1169</v>
      </c>
      <c r="C261" s="4" t="s">
        <v>1159</v>
      </c>
      <c r="D261" t="s">
        <v>1160</v>
      </c>
      <c r="E261" t="s">
        <v>14</v>
      </c>
      <c r="F261" t="s">
        <v>85</v>
      </c>
      <c r="G261" t="s">
        <v>111</v>
      </c>
      <c r="H261" t="s">
        <v>78</v>
      </c>
      <c r="I261" t="s">
        <v>102</v>
      </c>
      <c r="J261" t="s">
        <v>15</v>
      </c>
      <c r="K261" t="s">
        <v>676</v>
      </c>
      <c r="L261" t="s">
        <v>89</v>
      </c>
      <c r="M261" t="s">
        <v>318</v>
      </c>
      <c r="N261" t="s">
        <v>1161</v>
      </c>
      <c r="O261" t="s">
        <v>1170</v>
      </c>
      <c r="P261" t="s">
        <v>1171</v>
      </c>
      <c r="Q261" t="s">
        <v>102</v>
      </c>
      <c r="R261" t="s">
        <v>102</v>
      </c>
      <c r="S261" t="s">
        <v>679</v>
      </c>
      <c r="T261" t="s">
        <v>1169</v>
      </c>
      <c r="U261" t="s">
        <v>322</v>
      </c>
      <c r="V261" t="s">
        <v>82</v>
      </c>
      <c r="W261" t="s">
        <v>968</v>
      </c>
      <c r="X261" t="s">
        <v>96</v>
      </c>
      <c r="Y261" t="s">
        <v>82</v>
      </c>
      <c r="Z261" t="s">
        <v>78</v>
      </c>
    </row>
    <row r="262" spans="1:26" x14ac:dyDescent="0.25">
      <c r="A262" t="s">
        <v>1172</v>
      </c>
      <c r="B262" t="s">
        <v>1173</v>
      </c>
      <c r="C262" s="4" t="s">
        <v>1159</v>
      </c>
      <c r="D262" t="s">
        <v>1160</v>
      </c>
      <c r="E262" t="s">
        <v>14</v>
      </c>
      <c r="F262" t="s">
        <v>83</v>
      </c>
      <c r="G262" t="s">
        <v>84</v>
      </c>
      <c r="H262" t="s">
        <v>78</v>
      </c>
      <c r="I262" t="s">
        <v>111</v>
      </c>
      <c r="J262" t="s">
        <v>15</v>
      </c>
      <c r="K262" t="s">
        <v>690</v>
      </c>
      <c r="L262" t="s">
        <v>89</v>
      </c>
      <c r="M262" t="s">
        <v>318</v>
      </c>
      <c r="N262" t="s">
        <v>1174</v>
      </c>
      <c r="O262" t="s">
        <v>1175</v>
      </c>
      <c r="P262" t="s">
        <v>1175</v>
      </c>
      <c r="Q262" t="s">
        <v>102</v>
      </c>
      <c r="R262" t="s">
        <v>102</v>
      </c>
      <c r="S262" t="s">
        <v>693</v>
      </c>
      <c r="T262" t="s">
        <v>1173</v>
      </c>
      <c r="U262" t="s">
        <v>322</v>
      </c>
      <c r="V262" t="s">
        <v>82</v>
      </c>
      <c r="W262" t="s">
        <v>1176</v>
      </c>
      <c r="X262" t="s">
        <v>96</v>
      </c>
      <c r="Y262" t="s">
        <v>82</v>
      </c>
      <c r="Z262" t="s">
        <v>78</v>
      </c>
    </row>
    <row r="263" spans="1:26" x14ac:dyDescent="0.25">
      <c r="A263" t="s">
        <v>1177</v>
      </c>
      <c r="B263" t="s">
        <v>1178</v>
      </c>
      <c r="C263" s="4" t="s">
        <v>1159</v>
      </c>
      <c r="D263" t="s">
        <v>1160</v>
      </c>
      <c r="E263" t="s">
        <v>14</v>
      </c>
      <c r="F263" t="s">
        <v>83</v>
      </c>
      <c r="G263" t="s">
        <v>84</v>
      </c>
      <c r="H263" t="s">
        <v>78</v>
      </c>
      <c r="I263" t="s">
        <v>111</v>
      </c>
      <c r="J263" t="s">
        <v>20</v>
      </c>
      <c r="K263" t="s">
        <v>690</v>
      </c>
      <c r="L263" t="s">
        <v>89</v>
      </c>
      <c r="M263" t="s">
        <v>318</v>
      </c>
      <c r="N263" t="s">
        <v>1174</v>
      </c>
      <c r="O263" t="s">
        <v>1179</v>
      </c>
      <c r="P263" t="s">
        <v>1179</v>
      </c>
      <c r="Q263" t="s">
        <v>102</v>
      </c>
      <c r="R263" t="s">
        <v>102</v>
      </c>
      <c r="S263" t="s">
        <v>693</v>
      </c>
      <c r="T263" t="s">
        <v>1178</v>
      </c>
      <c r="U263" t="s">
        <v>322</v>
      </c>
      <c r="V263" t="s">
        <v>82</v>
      </c>
      <c r="W263" t="s">
        <v>1176</v>
      </c>
      <c r="X263" t="s">
        <v>96</v>
      </c>
      <c r="Y263" t="s">
        <v>82</v>
      </c>
      <c r="Z263" t="s">
        <v>78</v>
      </c>
    </row>
    <row r="264" spans="1:26" x14ac:dyDescent="0.25">
      <c r="A264" t="s">
        <v>1180</v>
      </c>
      <c r="B264" t="s">
        <v>1181</v>
      </c>
      <c r="C264" s="4" t="s">
        <v>1159</v>
      </c>
      <c r="D264" t="s">
        <v>1160</v>
      </c>
      <c r="E264" t="s">
        <v>14</v>
      </c>
      <c r="F264" t="s">
        <v>83</v>
      </c>
      <c r="G264" t="s">
        <v>84</v>
      </c>
      <c r="H264" t="s">
        <v>78</v>
      </c>
      <c r="I264" t="s">
        <v>111</v>
      </c>
      <c r="J264" t="s">
        <v>24</v>
      </c>
      <c r="K264" t="s">
        <v>690</v>
      </c>
      <c r="L264" t="s">
        <v>89</v>
      </c>
      <c r="M264" t="s">
        <v>318</v>
      </c>
      <c r="N264" t="s">
        <v>1174</v>
      </c>
      <c r="O264" t="s">
        <v>1179</v>
      </c>
      <c r="P264" t="s">
        <v>1179</v>
      </c>
      <c r="Q264" t="s">
        <v>102</v>
      </c>
      <c r="R264" t="s">
        <v>102</v>
      </c>
      <c r="S264" t="s">
        <v>693</v>
      </c>
      <c r="T264" t="s">
        <v>1181</v>
      </c>
      <c r="U264" t="s">
        <v>322</v>
      </c>
      <c r="V264" t="s">
        <v>82</v>
      </c>
      <c r="W264" t="s">
        <v>1176</v>
      </c>
      <c r="X264" t="s">
        <v>96</v>
      </c>
      <c r="Y264" t="s">
        <v>82</v>
      </c>
      <c r="Z264" t="s">
        <v>78</v>
      </c>
    </row>
    <row r="265" spans="1:26" x14ac:dyDescent="0.25">
      <c r="A265" t="s">
        <v>1182</v>
      </c>
      <c r="B265" t="s">
        <v>1183</v>
      </c>
      <c r="C265" s="4" t="s">
        <v>1159</v>
      </c>
      <c r="D265" t="s">
        <v>1160</v>
      </c>
      <c r="E265" t="s">
        <v>14</v>
      </c>
      <c r="F265" t="s">
        <v>83</v>
      </c>
      <c r="G265" t="s">
        <v>84</v>
      </c>
      <c r="H265" t="s">
        <v>78</v>
      </c>
      <c r="I265" t="s">
        <v>111</v>
      </c>
      <c r="J265" t="s">
        <v>17</v>
      </c>
      <c r="K265" t="s">
        <v>690</v>
      </c>
      <c r="L265" t="s">
        <v>89</v>
      </c>
      <c r="M265" t="s">
        <v>318</v>
      </c>
      <c r="N265" t="s">
        <v>1174</v>
      </c>
      <c r="O265" t="s">
        <v>1179</v>
      </c>
      <c r="P265" t="s">
        <v>1179</v>
      </c>
      <c r="Q265" t="s">
        <v>102</v>
      </c>
      <c r="R265" t="s">
        <v>102</v>
      </c>
      <c r="S265" t="s">
        <v>693</v>
      </c>
      <c r="T265" t="s">
        <v>1183</v>
      </c>
      <c r="U265" t="s">
        <v>322</v>
      </c>
      <c r="V265" t="s">
        <v>82</v>
      </c>
      <c r="W265" t="s">
        <v>1176</v>
      </c>
      <c r="X265" t="s">
        <v>96</v>
      </c>
      <c r="Y265" t="s">
        <v>82</v>
      </c>
      <c r="Z265" t="s">
        <v>78</v>
      </c>
    </row>
    <row r="266" spans="1:26" x14ac:dyDescent="0.25">
      <c r="A266" t="s">
        <v>1184</v>
      </c>
      <c r="B266" t="s">
        <v>1185</v>
      </c>
      <c r="C266" s="4" t="s">
        <v>1159</v>
      </c>
      <c r="D266" t="s">
        <v>1160</v>
      </c>
      <c r="E266" t="s">
        <v>14</v>
      </c>
      <c r="F266" t="s">
        <v>134</v>
      </c>
      <c r="G266" t="s">
        <v>149</v>
      </c>
      <c r="H266" t="s">
        <v>78</v>
      </c>
      <c r="I266" t="s">
        <v>111</v>
      </c>
      <c r="J266" t="s">
        <v>17</v>
      </c>
      <c r="K266" t="s">
        <v>901</v>
      </c>
      <c r="L266" t="s">
        <v>89</v>
      </c>
      <c r="M266" t="s">
        <v>318</v>
      </c>
      <c r="N266" t="s">
        <v>1186</v>
      </c>
      <c r="O266" t="s">
        <v>1187</v>
      </c>
      <c r="P266" t="s">
        <v>1187</v>
      </c>
      <c r="Q266" t="s">
        <v>102</v>
      </c>
      <c r="R266" t="s">
        <v>102</v>
      </c>
      <c r="S266" t="s">
        <v>107</v>
      </c>
      <c r="T266" t="s">
        <v>1185</v>
      </c>
      <c r="U266" t="s">
        <v>322</v>
      </c>
      <c r="V266" t="s">
        <v>82</v>
      </c>
      <c r="W266" t="s">
        <v>1188</v>
      </c>
      <c r="X266" t="s">
        <v>96</v>
      </c>
      <c r="Y266" t="s">
        <v>82</v>
      </c>
      <c r="Z266" t="s">
        <v>78</v>
      </c>
    </row>
    <row r="267" spans="1:26" x14ac:dyDescent="0.25">
      <c r="A267" t="s">
        <v>1189</v>
      </c>
      <c r="B267" t="s">
        <v>1190</v>
      </c>
      <c r="C267" s="4" t="s">
        <v>1159</v>
      </c>
      <c r="D267" t="s">
        <v>1160</v>
      </c>
      <c r="E267" t="s">
        <v>14</v>
      </c>
      <c r="F267" t="s">
        <v>134</v>
      </c>
      <c r="G267" t="s">
        <v>149</v>
      </c>
      <c r="H267" t="s">
        <v>78</v>
      </c>
      <c r="I267" t="s">
        <v>111</v>
      </c>
      <c r="J267" t="s">
        <v>20</v>
      </c>
      <c r="K267" t="s">
        <v>901</v>
      </c>
      <c r="L267" t="s">
        <v>89</v>
      </c>
      <c r="M267" t="s">
        <v>318</v>
      </c>
      <c r="N267" t="s">
        <v>1186</v>
      </c>
      <c r="O267" t="s">
        <v>1187</v>
      </c>
      <c r="P267" t="s">
        <v>1187</v>
      </c>
      <c r="Q267" t="s">
        <v>102</v>
      </c>
      <c r="R267" t="s">
        <v>102</v>
      </c>
      <c r="S267" t="s">
        <v>107</v>
      </c>
      <c r="T267" t="s">
        <v>1190</v>
      </c>
      <c r="U267" t="s">
        <v>322</v>
      </c>
      <c r="V267" t="s">
        <v>82</v>
      </c>
      <c r="W267" t="s">
        <v>1188</v>
      </c>
      <c r="X267" t="s">
        <v>96</v>
      </c>
      <c r="Y267" t="s">
        <v>82</v>
      </c>
      <c r="Z267" t="s">
        <v>78</v>
      </c>
    </row>
    <row r="268" spans="1:26" x14ac:dyDescent="0.25">
      <c r="A268" t="s">
        <v>1191</v>
      </c>
      <c r="B268" t="s">
        <v>1192</v>
      </c>
      <c r="C268" s="4" t="s">
        <v>1159</v>
      </c>
      <c r="D268" t="s">
        <v>1160</v>
      </c>
      <c r="E268" t="s">
        <v>14</v>
      </c>
      <c r="F268" t="s">
        <v>134</v>
      </c>
      <c r="G268" t="s">
        <v>149</v>
      </c>
      <c r="H268" t="s">
        <v>78</v>
      </c>
      <c r="I268" t="s">
        <v>111</v>
      </c>
      <c r="J268" t="s">
        <v>15</v>
      </c>
      <c r="K268" t="s">
        <v>901</v>
      </c>
      <c r="L268" t="s">
        <v>89</v>
      </c>
      <c r="M268" t="s">
        <v>318</v>
      </c>
      <c r="N268" t="s">
        <v>1186</v>
      </c>
      <c r="O268" t="s">
        <v>1187</v>
      </c>
      <c r="P268" t="s">
        <v>1187</v>
      </c>
      <c r="Q268" t="s">
        <v>102</v>
      </c>
      <c r="R268" t="s">
        <v>102</v>
      </c>
      <c r="S268" t="s">
        <v>107</v>
      </c>
      <c r="T268" t="s">
        <v>1192</v>
      </c>
      <c r="U268" t="s">
        <v>322</v>
      </c>
      <c r="V268" t="s">
        <v>82</v>
      </c>
      <c r="W268" t="s">
        <v>1188</v>
      </c>
      <c r="X268" t="s">
        <v>96</v>
      </c>
      <c r="Y268" t="s">
        <v>82</v>
      </c>
      <c r="Z268" t="s">
        <v>78</v>
      </c>
    </row>
    <row r="269" spans="1:26" x14ac:dyDescent="0.25">
      <c r="A269" t="s">
        <v>1193</v>
      </c>
      <c r="B269" t="s">
        <v>1194</v>
      </c>
      <c r="C269" s="4" t="s">
        <v>1159</v>
      </c>
      <c r="D269" t="s">
        <v>1160</v>
      </c>
      <c r="E269" t="s">
        <v>14</v>
      </c>
      <c r="F269" t="s">
        <v>134</v>
      </c>
      <c r="G269" t="s">
        <v>149</v>
      </c>
      <c r="H269" t="s">
        <v>78</v>
      </c>
      <c r="I269" t="s">
        <v>111</v>
      </c>
      <c r="J269" t="s">
        <v>24</v>
      </c>
      <c r="K269" t="s">
        <v>901</v>
      </c>
      <c r="L269" t="s">
        <v>89</v>
      </c>
      <c r="M269" t="s">
        <v>318</v>
      </c>
      <c r="N269" t="s">
        <v>1186</v>
      </c>
      <c r="O269" t="s">
        <v>1195</v>
      </c>
      <c r="P269" t="s">
        <v>1195</v>
      </c>
      <c r="Q269" t="s">
        <v>102</v>
      </c>
      <c r="R269" t="s">
        <v>102</v>
      </c>
      <c r="S269" t="s">
        <v>107</v>
      </c>
      <c r="T269" t="s">
        <v>1194</v>
      </c>
      <c r="U269" t="s">
        <v>322</v>
      </c>
      <c r="V269" t="s">
        <v>82</v>
      </c>
      <c r="W269" t="s">
        <v>1188</v>
      </c>
      <c r="X269" t="s">
        <v>96</v>
      </c>
      <c r="Y269" t="s">
        <v>82</v>
      </c>
      <c r="Z269" t="s">
        <v>78</v>
      </c>
    </row>
    <row r="270" spans="1:26" x14ac:dyDescent="0.25">
      <c r="A270" t="s">
        <v>1196</v>
      </c>
      <c r="B270" t="s">
        <v>1197</v>
      </c>
      <c r="C270" s="4" t="s">
        <v>1198</v>
      </c>
      <c r="D270" t="s">
        <v>1199</v>
      </c>
      <c r="E270" t="s">
        <v>14</v>
      </c>
      <c r="F270" t="s">
        <v>85</v>
      </c>
      <c r="G270" t="s">
        <v>111</v>
      </c>
      <c r="H270" t="s">
        <v>78</v>
      </c>
      <c r="I270" t="s">
        <v>102</v>
      </c>
      <c r="J270" t="s">
        <v>18</v>
      </c>
      <c r="K270" t="s">
        <v>690</v>
      </c>
      <c r="L270" t="s">
        <v>89</v>
      </c>
      <c r="M270" t="s">
        <v>318</v>
      </c>
      <c r="N270" t="s">
        <v>965</v>
      </c>
      <c r="O270" t="s">
        <v>1200</v>
      </c>
      <c r="P270" t="s">
        <v>1200</v>
      </c>
      <c r="Q270" t="s">
        <v>102</v>
      </c>
      <c r="R270" t="s">
        <v>86</v>
      </c>
      <c r="S270" t="s">
        <v>742</v>
      </c>
      <c r="T270" t="s">
        <v>1197</v>
      </c>
      <c r="U270" t="s">
        <v>322</v>
      </c>
      <c r="V270" t="s">
        <v>82</v>
      </c>
      <c r="W270" t="s">
        <v>968</v>
      </c>
      <c r="X270" t="s">
        <v>96</v>
      </c>
      <c r="Y270" t="s">
        <v>82</v>
      </c>
      <c r="Z270" t="s">
        <v>78</v>
      </c>
    </row>
    <row r="271" spans="1:26" x14ac:dyDescent="0.25">
      <c r="A271" t="s">
        <v>1201</v>
      </c>
      <c r="B271" t="s">
        <v>1202</v>
      </c>
      <c r="C271" s="4" t="s">
        <v>1198</v>
      </c>
      <c r="D271" t="s">
        <v>1199</v>
      </c>
      <c r="E271" t="s">
        <v>14</v>
      </c>
      <c r="F271" t="s">
        <v>85</v>
      </c>
      <c r="G271" t="s">
        <v>111</v>
      </c>
      <c r="H271" t="s">
        <v>78</v>
      </c>
      <c r="I271" t="s">
        <v>102</v>
      </c>
      <c r="J271" t="s">
        <v>15</v>
      </c>
      <c r="K271" t="s">
        <v>690</v>
      </c>
      <c r="L271" t="s">
        <v>89</v>
      </c>
      <c r="M271" t="s">
        <v>318</v>
      </c>
      <c r="N271" t="s">
        <v>965</v>
      </c>
      <c r="O271" t="s">
        <v>1200</v>
      </c>
      <c r="P271" t="s">
        <v>1200</v>
      </c>
      <c r="Q271" t="s">
        <v>102</v>
      </c>
      <c r="R271" t="s">
        <v>86</v>
      </c>
      <c r="S271" t="s">
        <v>742</v>
      </c>
      <c r="T271" t="s">
        <v>1202</v>
      </c>
      <c r="U271" t="s">
        <v>322</v>
      </c>
      <c r="V271" t="s">
        <v>82</v>
      </c>
      <c r="W271" t="s">
        <v>968</v>
      </c>
      <c r="X271" t="s">
        <v>96</v>
      </c>
      <c r="Y271" t="s">
        <v>82</v>
      </c>
      <c r="Z271" t="s">
        <v>78</v>
      </c>
    </row>
    <row r="272" spans="1:26" x14ac:dyDescent="0.25">
      <c r="A272" t="s">
        <v>1203</v>
      </c>
      <c r="B272" t="s">
        <v>1204</v>
      </c>
      <c r="C272" s="4" t="s">
        <v>1198</v>
      </c>
      <c r="D272" t="s">
        <v>1199</v>
      </c>
      <c r="E272" t="s">
        <v>14</v>
      </c>
      <c r="F272" t="s">
        <v>85</v>
      </c>
      <c r="G272" t="s">
        <v>111</v>
      </c>
      <c r="H272" t="s">
        <v>78</v>
      </c>
      <c r="I272" t="s">
        <v>102</v>
      </c>
      <c r="J272" t="s">
        <v>24</v>
      </c>
      <c r="K272" t="s">
        <v>690</v>
      </c>
      <c r="L272" t="s">
        <v>89</v>
      </c>
      <c r="M272" t="s">
        <v>318</v>
      </c>
      <c r="N272" t="s">
        <v>965</v>
      </c>
      <c r="O272" t="s">
        <v>1200</v>
      </c>
      <c r="P272" t="s">
        <v>1200</v>
      </c>
      <c r="Q272" t="s">
        <v>102</v>
      </c>
      <c r="R272" t="s">
        <v>86</v>
      </c>
      <c r="S272" t="s">
        <v>742</v>
      </c>
      <c r="T272" t="s">
        <v>1204</v>
      </c>
      <c r="U272" t="s">
        <v>322</v>
      </c>
      <c r="V272" t="s">
        <v>82</v>
      </c>
      <c r="W272" t="s">
        <v>968</v>
      </c>
      <c r="X272" t="s">
        <v>96</v>
      </c>
      <c r="Y272" t="s">
        <v>82</v>
      </c>
      <c r="Z272" t="s">
        <v>78</v>
      </c>
    </row>
    <row r="273" spans="1:26" x14ac:dyDescent="0.25">
      <c r="A273" t="s">
        <v>1205</v>
      </c>
      <c r="B273" t="s">
        <v>1206</v>
      </c>
      <c r="C273" s="4" t="s">
        <v>1198</v>
      </c>
      <c r="D273" t="s">
        <v>1199</v>
      </c>
      <c r="E273" t="s">
        <v>14</v>
      </c>
      <c r="F273" t="s">
        <v>83</v>
      </c>
      <c r="G273" t="s">
        <v>84</v>
      </c>
      <c r="H273" t="s">
        <v>78</v>
      </c>
      <c r="I273" t="s">
        <v>111</v>
      </c>
      <c r="J273" t="s">
        <v>24</v>
      </c>
      <c r="K273" t="s">
        <v>901</v>
      </c>
      <c r="L273" t="s">
        <v>89</v>
      </c>
      <c r="M273" t="s">
        <v>318</v>
      </c>
      <c r="N273" t="s">
        <v>1186</v>
      </c>
      <c r="O273" t="s">
        <v>1207</v>
      </c>
      <c r="P273" t="s">
        <v>1207</v>
      </c>
      <c r="Q273" t="s">
        <v>102</v>
      </c>
      <c r="R273" t="s">
        <v>86</v>
      </c>
      <c r="S273" t="s">
        <v>107</v>
      </c>
      <c r="T273" t="s">
        <v>1206</v>
      </c>
      <c r="U273" t="s">
        <v>322</v>
      </c>
      <c r="V273" t="s">
        <v>82</v>
      </c>
      <c r="W273" t="s">
        <v>1188</v>
      </c>
      <c r="X273" t="s">
        <v>96</v>
      </c>
      <c r="Y273" t="s">
        <v>82</v>
      </c>
      <c r="Z273" t="s">
        <v>78</v>
      </c>
    </row>
    <row r="274" spans="1:26" x14ac:dyDescent="0.25">
      <c r="A274" t="s">
        <v>1208</v>
      </c>
      <c r="B274" t="s">
        <v>1209</v>
      </c>
      <c r="C274" s="4" t="s">
        <v>1198</v>
      </c>
      <c r="D274" t="s">
        <v>1199</v>
      </c>
      <c r="E274" t="s">
        <v>14</v>
      </c>
      <c r="F274" t="s">
        <v>83</v>
      </c>
      <c r="G274" t="s">
        <v>84</v>
      </c>
      <c r="H274" t="s">
        <v>78</v>
      </c>
      <c r="I274" t="s">
        <v>111</v>
      </c>
      <c r="J274" t="s">
        <v>15</v>
      </c>
      <c r="K274" t="s">
        <v>901</v>
      </c>
      <c r="L274" t="s">
        <v>89</v>
      </c>
      <c r="M274" t="s">
        <v>318</v>
      </c>
      <c r="N274" t="s">
        <v>1186</v>
      </c>
      <c r="O274" t="s">
        <v>1207</v>
      </c>
      <c r="P274" t="s">
        <v>1207</v>
      </c>
      <c r="Q274" t="s">
        <v>102</v>
      </c>
      <c r="R274" t="s">
        <v>86</v>
      </c>
      <c r="S274" t="s">
        <v>107</v>
      </c>
      <c r="T274" t="s">
        <v>1209</v>
      </c>
      <c r="U274" t="s">
        <v>322</v>
      </c>
      <c r="V274" t="s">
        <v>82</v>
      </c>
      <c r="W274" t="s">
        <v>1188</v>
      </c>
      <c r="X274" t="s">
        <v>96</v>
      </c>
      <c r="Y274" t="s">
        <v>82</v>
      </c>
      <c r="Z274" t="s">
        <v>78</v>
      </c>
    </row>
    <row r="275" spans="1:26" x14ac:dyDescent="0.25">
      <c r="A275" t="s">
        <v>1210</v>
      </c>
      <c r="B275" t="s">
        <v>1211</v>
      </c>
      <c r="C275" s="4" t="s">
        <v>1198</v>
      </c>
      <c r="D275" t="s">
        <v>1199</v>
      </c>
      <c r="E275" t="s">
        <v>14</v>
      </c>
      <c r="F275" t="s">
        <v>83</v>
      </c>
      <c r="G275" t="s">
        <v>84</v>
      </c>
      <c r="H275" t="s">
        <v>78</v>
      </c>
      <c r="I275" t="s">
        <v>111</v>
      </c>
      <c r="J275" t="s">
        <v>18</v>
      </c>
      <c r="K275" t="s">
        <v>901</v>
      </c>
      <c r="L275" t="s">
        <v>89</v>
      </c>
      <c r="M275" t="s">
        <v>318</v>
      </c>
      <c r="N275" t="s">
        <v>1186</v>
      </c>
      <c r="O275" t="s">
        <v>1207</v>
      </c>
      <c r="P275" t="s">
        <v>1207</v>
      </c>
      <c r="Q275" t="s">
        <v>102</v>
      </c>
      <c r="R275" t="s">
        <v>86</v>
      </c>
      <c r="S275" t="s">
        <v>107</v>
      </c>
      <c r="T275" t="s">
        <v>1211</v>
      </c>
      <c r="U275" t="s">
        <v>322</v>
      </c>
      <c r="V275" t="s">
        <v>82</v>
      </c>
      <c r="W275" t="s">
        <v>1188</v>
      </c>
      <c r="X275" t="s">
        <v>96</v>
      </c>
      <c r="Y275" t="s">
        <v>82</v>
      </c>
      <c r="Z275" t="s">
        <v>78</v>
      </c>
    </row>
    <row r="276" spans="1:26" x14ac:dyDescent="0.25">
      <c r="A276" t="s">
        <v>1212</v>
      </c>
      <c r="B276" t="s">
        <v>1213</v>
      </c>
      <c r="C276" s="4" t="s">
        <v>1214</v>
      </c>
      <c r="D276" t="s">
        <v>1215</v>
      </c>
      <c r="E276" t="s">
        <v>14</v>
      </c>
      <c r="F276" t="s">
        <v>78</v>
      </c>
      <c r="G276" t="s">
        <v>102</v>
      </c>
      <c r="H276" t="s">
        <v>78</v>
      </c>
      <c r="I276" t="s">
        <v>102</v>
      </c>
      <c r="J276" t="s">
        <v>15</v>
      </c>
      <c r="K276" t="s">
        <v>676</v>
      </c>
      <c r="L276" t="s">
        <v>89</v>
      </c>
      <c r="M276" t="s">
        <v>318</v>
      </c>
      <c r="N276" t="s">
        <v>1161</v>
      </c>
      <c r="O276" t="s">
        <v>1216</v>
      </c>
      <c r="P276" t="s">
        <v>1216</v>
      </c>
      <c r="Q276" t="s">
        <v>102</v>
      </c>
      <c r="R276" t="s">
        <v>86</v>
      </c>
      <c r="S276" t="s">
        <v>679</v>
      </c>
      <c r="T276" t="s">
        <v>1213</v>
      </c>
      <c r="U276" t="s">
        <v>322</v>
      </c>
      <c r="V276" t="s">
        <v>82</v>
      </c>
      <c r="W276" t="s">
        <v>718</v>
      </c>
      <c r="X276" t="s">
        <v>96</v>
      </c>
      <c r="Y276" t="s">
        <v>82</v>
      </c>
      <c r="Z276" t="s">
        <v>78</v>
      </c>
    </row>
    <row r="277" spans="1:26" x14ac:dyDescent="0.25">
      <c r="A277" t="s">
        <v>1217</v>
      </c>
      <c r="B277" t="s">
        <v>1218</v>
      </c>
      <c r="C277" s="4" t="s">
        <v>1214</v>
      </c>
      <c r="D277" t="s">
        <v>1215</v>
      </c>
      <c r="E277" t="s">
        <v>14</v>
      </c>
      <c r="F277" t="s">
        <v>78</v>
      </c>
      <c r="G277" t="s">
        <v>102</v>
      </c>
      <c r="H277" t="s">
        <v>78</v>
      </c>
      <c r="I277" t="s">
        <v>102</v>
      </c>
      <c r="J277" t="s">
        <v>20</v>
      </c>
      <c r="K277" t="s">
        <v>676</v>
      </c>
      <c r="L277" t="s">
        <v>89</v>
      </c>
      <c r="M277" t="s">
        <v>318</v>
      </c>
      <c r="N277" t="s">
        <v>1161</v>
      </c>
      <c r="O277" t="s">
        <v>1216</v>
      </c>
      <c r="P277" t="s">
        <v>1216</v>
      </c>
      <c r="Q277" t="s">
        <v>102</v>
      </c>
      <c r="R277" t="s">
        <v>86</v>
      </c>
      <c r="S277" t="s">
        <v>679</v>
      </c>
      <c r="T277" t="s">
        <v>1218</v>
      </c>
      <c r="U277" t="s">
        <v>322</v>
      </c>
      <c r="V277" t="s">
        <v>82</v>
      </c>
      <c r="W277" t="s">
        <v>718</v>
      </c>
      <c r="X277" t="s">
        <v>96</v>
      </c>
      <c r="Y277" t="s">
        <v>82</v>
      </c>
      <c r="Z277" t="s">
        <v>78</v>
      </c>
    </row>
    <row r="278" spans="1:26" x14ac:dyDescent="0.25">
      <c r="A278" t="s">
        <v>1219</v>
      </c>
      <c r="B278" t="s">
        <v>1220</v>
      </c>
      <c r="C278" s="4" t="s">
        <v>1214</v>
      </c>
      <c r="D278" t="s">
        <v>1215</v>
      </c>
      <c r="E278" t="s">
        <v>14</v>
      </c>
      <c r="F278" t="s">
        <v>78</v>
      </c>
      <c r="G278" t="s">
        <v>102</v>
      </c>
      <c r="H278" t="s">
        <v>78</v>
      </c>
      <c r="I278" t="s">
        <v>102</v>
      </c>
      <c r="J278" t="s">
        <v>18</v>
      </c>
      <c r="K278" t="s">
        <v>676</v>
      </c>
      <c r="L278" t="s">
        <v>89</v>
      </c>
      <c r="M278" t="s">
        <v>318</v>
      </c>
      <c r="N278" t="s">
        <v>1161</v>
      </c>
      <c r="O278" t="s">
        <v>1216</v>
      </c>
      <c r="P278" t="s">
        <v>1216</v>
      </c>
      <c r="Q278" t="s">
        <v>102</v>
      </c>
      <c r="R278" t="s">
        <v>86</v>
      </c>
      <c r="S278" t="s">
        <v>679</v>
      </c>
      <c r="T278" t="s">
        <v>1220</v>
      </c>
      <c r="U278" t="s">
        <v>322</v>
      </c>
      <c r="V278" t="s">
        <v>82</v>
      </c>
      <c r="W278" t="s">
        <v>718</v>
      </c>
      <c r="X278" t="s">
        <v>96</v>
      </c>
      <c r="Y278" t="s">
        <v>82</v>
      </c>
      <c r="Z278" t="s">
        <v>78</v>
      </c>
    </row>
    <row r="279" spans="1:26" x14ac:dyDescent="0.25">
      <c r="A279" t="s">
        <v>1221</v>
      </c>
      <c r="B279" t="s">
        <v>1222</v>
      </c>
      <c r="C279" s="4" t="s">
        <v>1214</v>
      </c>
      <c r="D279" t="s">
        <v>1215</v>
      </c>
      <c r="E279" t="s">
        <v>14</v>
      </c>
      <c r="F279" t="s">
        <v>78</v>
      </c>
      <c r="G279" t="s">
        <v>102</v>
      </c>
      <c r="H279" t="s">
        <v>78</v>
      </c>
      <c r="I279" t="s">
        <v>102</v>
      </c>
      <c r="J279" t="s">
        <v>17</v>
      </c>
      <c r="K279" t="s">
        <v>676</v>
      </c>
      <c r="L279" t="s">
        <v>89</v>
      </c>
      <c r="M279" t="s">
        <v>318</v>
      </c>
      <c r="N279" t="s">
        <v>1161</v>
      </c>
      <c r="O279" t="s">
        <v>1223</v>
      </c>
      <c r="P279" t="s">
        <v>1223</v>
      </c>
      <c r="Q279" t="s">
        <v>102</v>
      </c>
      <c r="R279" t="s">
        <v>86</v>
      </c>
      <c r="S279" t="s">
        <v>679</v>
      </c>
      <c r="T279" t="s">
        <v>1222</v>
      </c>
      <c r="U279" t="s">
        <v>322</v>
      </c>
      <c r="V279" t="s">
        <v>82</v>
      </c>
      <c r="W279" t="s">
        <v>718</v>
      </c>
      <c r="X279" t="s">
        <v>96</v>
      </c>
      <c r="Y279" t="s">
        <v>82</v>
      </c>
      <c r="Z279" t="s">
        <v>78</v>
      </c>
    </row>
    <row r="280" spans="1:26" x14ac:dyDescent="0.25">
      <c r="A280" t="s">
        <v>1224</v>
      </c>
      <c r="B280" t="s">
        <v>1225</v>
      </c>
      <c r="C280" s="4" t="s">
        <v>1214</v>
      </c>
      <c r="D280" t="s">
        <v>1215</v>
      </c>
      <c r="E280" t="s">
        <v>14</v>
      </c>
      <c r="F280" t="s">
        <v>111</v>
      </c>
      <c r="G280" t="s">
        <v>124</v>
      </c>
      <c r="H280" t="s">
        <v>78</v>
      </c>
      <c r="I280" t="s">
        <v>102</v>
      </c>
      <c r="J280" t="s">
        <v>17</v>
      </c>
      <c r="K280" t="s">
        <v>799</v>
      </c>
      <c r="L280" t="s">
        <v>89</v>
      </c>
      <c r="M280" t="s">
        <v>318</v>
      </c>
      <c r="N280" t="s">
        <v>420</v>
      </c>
      <c r="O280" t="s">
        <v>1226</v>
      </c>
      <c r="P280" t="s">
        <v>1226</v>
      </c>
      <c r="Q280" t="s">
        <v>102</v>
      </c>
      <c r="R280" t="s">
        <v>86</v>
      </c>
      <c r="S280" t="s">
        <v>802</v>
      </c>
      <c r="T280" t="s">
        <v>1225</v>
      </c>
      <c r="U280" t="s">
        <v>322</v>
      </c>
      <c r="V280" t="s">
        <v>82</v>
      </c>
      <c r="W280" t="s">
        <v>718</v>
      </c>
      <c r="X280" t="s">
        <v>96</v>
      </c>
      <c r="Y280" t="s">
        <v>82</v>
      </c>
      <c r="Z280" t="s">
        <v>78</v>
      </c>
    </row>
    <row r="281" spans="1:26" x14ac:dyDescent="0.25">
      <c r="A281" t="s">
        <v>1227</v>
      </c>
      <c r="B281" t="s">
        <v>1228</v>
      </c>
      <c r="C281" s="4" t="s">
        <v>1214</v>
      </c>
      <c r="D281" t="s">
        <v>1215</v>
      </c>
      <c r="E281" t="s">
        <v>14</v>
      </c>
      <c r="F281" t="s">
        <v>111</v>
      </c>
      <c r="G281" t="s">
        <v>124</v>
      </c>
      <c r="H281" t="s">
        <v>78</v>
      </c>
      <c r="I281" t="s">
        <v>102</v>
      </c>
      <c r="J281" t="s">
        <v>18</v>
      </c>
      <c r="K281" t="s">
        <v>799</v>
      </c>
      <c r="L281" t="s">
        <v>89</v>
      </c>
      <c r="M281" t="s">
        <v>318</v>
      </c>
      <c r="N281" t="s">
        <v>420</v>
      </c>
      <c r="O281" t="s">
        <v>1229</v>
      </c>
      <c r="P281" t="s">
        <v>1229</v>
      </c>
      <c r="Q281" t="s">
        <v>102</v>
      </c>
      <c r="R281" t="s">
        <v>86</v>
      </c>
      <c r="S281" t="s">
        <v>802</v>
      </c>
      <c r="T281" t="s">
        <v>1228</v>
      </c>
      <c r="U281" t="s">
        <v>322</v>
      </c>
      <c r="V281" t="s">
        <v>82</v>
      </c>
      <c r="W281" t="s">
        <v>718</v>
      </c>
      <c r="X281" t="s">
        <v>96</v>
      </c>
      <c r="Y281" t="s">
        <v>82</v>
      </c>
      <c r="Z281" t="s">
        <v>78</v>
      </c>
    </row>
    <row r="282" spans="1:26" x14ac:dyDescent="0.25">
      <c r="A282" t="s">
        <v>1230</v>
      </c>
      <c r="B282" t="s">
        <v>1231</v>
      </c>
      <c r="C282" s="4" t="s">
        <v>1214</v>
      </c>
      <c r="D282" t="s">
        <v>1215</v>
      </c>
      <c r="E282" t="s">
        <v>14</v>
      </c>
      <c r="F282" t="s">
        <v>111</v>
      </c>
      <c r="G282" t="s">
        <v>124</v>
      </c>
      <c r="H282" t="s">
        <v>78</v>
      </c>
      <c r="I282" t="s">
        <v>102</v>
      </c>
      <c r="J282" t="s">
        <v>15</v>
      </c>
      <c r="K282" t="s">
        <v>799</v>
      </c>
      <c r="L282" t="s">
        <v>89</v>
      </c>
      <c r="M282" t="s">
        <v>318</v>
      </c>
      <c r="N282" t="s">
        <v>420</v>
      </c>
      <c r="O282" t="s">
        <v>1229</v>
      </c>
      <c r="P282" t="s">
        <v>1229</v>
      </c>
      <c r="Q282" t="s">
        <v>102</v>
      </c>
      <c r="R282" t="s">
        <v>86</v>
      </c>
      <c r="S282" t="s">
        <v>802</v>
      </c>
      <c r="T282" t="s">
        <v>1231</v>
      </c>
      <c r="U282" t="s">
        <v>322</v>
      </c>
      <c r="V282" t="s">
        <v>82</v>
      </c>
      <c r="W282" t="s">
        <v>718</v>
      </c>
      <c r="X282" t="s">
        <v>96</v>
      </c>
      <c r="Y282" t="s">
        <v>82</v>
      </c>
      <c r="Z282" t="s">
        <v>78</v>
      </c>
    </row>
    <row r="283" spans="1:26" x14ac:dyDescent="0.25">
      <c r="A283" t="s">
        <v>1232</v>
      </c>
      <c r="B283" t="s">
        <v>1233</v>
      </c>
      <c r="C283" s="4" t="s">
        <v>1214</v>
      </c>
      <c r="D283" t="s">
        <v>1215</v>
      </c>
      <c r="E283" t="s">
        <v>14</v>
      </c>
      <c r="F283" t="s">
        <v>111</v>
      </c>
      <c r="G283" t="s">
        <v>124</v>
      </c>
      <c r="H283" t="s">
        <v>78</v>
      </c>
      <c r="I283" t="s">
        <v>102</v>
      </c>
      <c r="J283" t="s">
        <v>20</v>
      </c>
      <c r="K283" t="s">
        <v>799</v>
      </c>
      <c r="L283" t="s">
        <v>89</v>
      </c>
      <c r="M283" t="s">
        <v>318</v>
      </c>
      <c r="N283" t="s">
        <v>420</v>
      </c>
      <c r="O283" t="s">
        <v>1229</v>
      </c>
      <c r="P283" t="s">
        <v>1229</v>
      </c>
      <c r="Q283" t="s">
        <v>102</v>
      </c>
      <c r="R283" t="s">
        <v>86</v>
      </c>
      <c r="S283" t="s">
        <v>802</v>
      </c>
      <c r="T283" t="s">
        <v>1233</v>
      </c>
      <c r="U283" t="s">
        <v>322</v>
      </c>
      <c r="V283" t="s">
        <v>82</v>
      </c>
      <c r="W283" t="s">
        <v>718</v>
      </c>
      <c r="X283" t="s">
        <v>96</v>
      </c>
      <c r="Y283" t="s">
        <v>82</v>
      </c>
      <c r="Z283" t="s">
        <v>78</v>
      </c>
    </row>
    <row r="284" spans="1:26" x14ac:dyDescent="0.25">
      <c r="A284" t="s">
        <v>1234</v>
      </c>
      <c r="B284" t="s">
        <v>1235</v>
      </c>
      <c r="C284" s="4" t="s">
        <v>1214</v>
      </c>
      <c r="D284" t="s">
        <v>1215</v>
      </c>
      <c r="E284" t="s">
        <v>14</v>
      </c>
      <c r="F284" t="s">
        <v>128</v>
      </c>
      <c r="G284" t="s">
        <v>105</v>
      </c>
      <c r="H284" t="s">
        <v>78</v>
      </c>
      <c r="I284" t="s">
        <v>102</v>
      </c>
      <c r="J284" t="s">
        <v>18</v>
      </c>
      <c r="K284" t="s">
        <v>1236</v>
      </c>
      <c r="L284" t="s">
        <v>89</v>
      </c>
      <c r="M284" t="s">
        <v>318</v>
      </c>
      <c r="N284" t="s">
        <v>1237</v>
      </c>
      <c r="O284" t="s">
        <v>1238</v>
      </c>
      <c r="P284" t="s">
        <v>1238</v>
      </c>
      <c r="Q284" t="s">
        <v>102</v>
      </c>
      <c r="R284" t="s">
        <v>86</v>
      </c>
      <c r="S284" t="s">
        <v>532</v>
      </c>
      <c r="T284" t="s">
        <v>1235</v>
      </c>
      <c r="U284" t="s">
        <v>322</v>
      </c>
      <c r="V284" t="s">
        <v>82</v>
      </c>
      <c r="W284" t="s">
        <v>1239</v>
      </c>
      <c r="X284" t="s">
        <v>96</v>
      </c>
      <c r="Y284" t="s">
        <v>82</v>
      </c>
      <c r="Z284" t="s">
        <v>78</v>
      </c>
    </row>
    <row r="285" spans="1:26" x14ac:dyDescent="0.25">
      <c r="A285" t="s">
        <v>1240</v>
      </c>
      <c r="B285" t="s">
        <v>1241</v>
      </c>
      <c r="C285" s="4" t="s">
        <v>1214</v>
      </c>
      <c r="D285" t="s">
        <v>1215</v>
      </c>
      <c r="E285" t="s">
        <v>14</v>
      </c>
      <c r="F285" t="s">
        <v>128</v>
      </c>
      <c r="G285" t="s">
        <v>105</v>
      </c>
      <c r="H285" t="s">
        <v>78</v>
      </c>
      <c r="I285" t="s">
        <v>102</v>
      </c>
      <c r="J285" t="s">
        <v>15</v>
      </c>
      <c r="K285" t="s">
        <v>1236</v>
      </c>
      <c r="L285" t="s">
        <v>89</v>
      </c>
      <c r="M285" t="s">
        <v>318</v>
      </c>
      <c r="N285" t="s">
        <v>1237</v>
      </c>
      <c r="O285" t="s">
        <v>1238</v>
      </c>
      <c r="P285" t="s">
        <v>1238</v>
      </c>
      <c r="Q285" t="s">
        <v>102</v>
      </c>
      <c r="R285" t="s">
        <v>86</v>
      </c>
      <c r="S285" t="s">
        <v>532</v>
      </c>
      <c r="T285" t="s">
        <v>1241</v>
      </c>
      <c r="U285" t="s">
        <v>322</v>
      </c>
      <c r="V285" t="s">
        <v>82</v>
      </c>
      <c r="W285" t="s">
        <v>1239</v>
      </c>
      <c r="X285" t="s">
        <v>96</v>
      </c>
      <c r="Y285" t="s">
        <v>82</v>
      </c>
      <c r="Z285" t="s">
        <v>78</v>
      </c>
    </row>
    <row r="286" spans="1:26" x14ac:dyDescent="0.25">
      <c r="A286" t="s">
        <v>1242</v>
      </c>
      <c r="B286" t="s">
        <v>1243</v>
      </c>
      <c r="C286" s="4" t="s">
        <v>1214</v>
      </c>
      <c r="D286" t="s">
        <v>1215</v>
      </c>
      <c r="E286" t="s">
        <v>14</v>
      </c>
      <c r="F286" t="s">
        <v>128</v>
      </c>
      <c r="G286" t="s">
        <v>105</v>
      </c>
      <c r="H286" t="s">
        <v>78</v>
      </c>
      <c r="I286" t="s">
        <v>102</v>
      </c>
      <c r="J286" t="s">
        <v>17</v>
      </c>
      <c r="K286" t="s">
        <v>1236</v>
      </c>
      <c r="L286" t="s">
        <v>89</v>
      </c>
      <c r="M286" t="s">
        <v>318</v>
      </c>
      <c r="N286" t="s">
        <v>1237</v>
      </c>
      <c r="O286" t="s">
        <v>1238</v>
      </c>
      <c r="P286" t="s">
        <v>1238</v>
      </c>
      <c r="Q286" t="s">
        <v>102</v>
      </c>
      <c r="R286" t="s">
        <v>86</v>
      </c>
      <c r="S286" t="s">
        <v>532</v>
      </c>
      <c r="T286" t="s">
        <v>1243</v>
      </c>
      <c r="U286" t="s">
        <v>322</v>
      </c>
      <c r="V286" t="s">
        <v>82</v>
      </c>
      <c r="W286" t="s">
        <v>1239</v>
      </c>
      <c r="X286" t="s">
        <v>96</v>
      </c>
      <c r="Y286" t="s">
        <v>82</v>
      </c>
      <c r="Z286" t="s">
        <v>78</v>
      </c>
    </row>
    <row r="287" spans="1:26" x14ac:dyDescent="0.25">
      <c r="A287" t="s">
        <v>1244</v>
      </c>
      <c r="B287" t="s">
        <v>1245</v>
      </c>
      <c r="C287" s="4" t="s">
        <v>1214</v>
      </c>
      <c r="D287" t="s">
        <v>1215</v>
      </c>
      <c r="E287" t="s">
        <v>14</v>
      </c>
      <c r="F287" t="s">
        <v>128</v>
      </c>
      <c r="G287" t="s">
        <v>105</v>
      </c>
      <c r="H287" t="s">
        <v>78</v>
      </c>
      <c r="I287" t="s">
        <v>102</v>
      </c>
      <c r="J287" t="s">
        <v>20</v>
      </c>
      <c r="K287" t="s">
        <v>1236</v>
      </c>
      <c r="L287" t="s">
        <v>89</v>
      </c>
      <c r="M287" t="s">
        <v>318</v>
      </c>
      <c r="N287" t="s">
        <v>1237</v>
      </c>
      <c r="O287" t="s">
        <v>1246</v>
      </c>
      <c r="P287" t="s">
        <v>1246</v>
      </c>
      <c r="Q287" t="s">
        <v>102</v>
      </c>
      <c r="R287" t="s">
        <v>86</v>
      </c>
      <c r="S287" t="s">
        <v>532</v>
      </c>
      <c r="T287" t="s">
        <v>1245</v>
      </c>
      <c r="U287" t="s">
        <v>322</v>
      </c>
      <c r="V287" t="s">
        <v>82</v>
      </c>
      <c r="W287" t="s">
        <v>1239</v>
      </c>
      <c r="X287" t="s">
        <v>96</v>
      </c>
      <c r="Y287" t="s">
        <v>82</v>
      </c>
      <c r="Z287" t="s">
        <v>78</v>
      </c>
    </row>
    <row r="288" spans="1:26" x14ac:dyDescent="0.25">
      <c r="A288" t="s">
        <v>1247</v>
      </c>
      <c r="B288" t="s">
        <v>1248</v>
      </c>
      <c r="C288" s="4" t="s">
        <v>1214</v>
      </c>
      <c r="D288" t="s">
        <v>1249</v>
      </c>
      <c r="E288" t="s">
        <v>14</v>
      </c>
      <c r="F288" t="s">
        <v>143</v>
      </c>
      <c r="G288" t="s">
        <v>106</v>
      </c>
      <c r="H288" t="s">
        <v>78</v>
      </c>
      <c r="I288" t="s">
        <v>102</v>
      </c>
      <c r="J288" t="s">
        <v>18</v>
      </c>
      <c r="K288" t="s">
        <v>1250</v>
      </c>
      <c r="L288" t="s">
        <v>89</v>
      </c>
      <c r="M288" t="s">
        <v>318</v>
      </c>
      <c r="N288" t="s">
        <v>1251</v>
      </c>
      <c r="O288" t="s">
        <v>1252</v>
      </c>
      <c r="P288" t="s">
        <v>1252</v>
      </c>
      <c r="Q288" t="s">
        <v>102</v>
      </c>
      <c r="R288" t="s">
        <v>86</v>
      </c>
      <c r="S288" t="s">
        <v>88</v>
      </c>
      <c r="T288" t="s">
        <v>1248</v>
      </c>
      <c r="U288" t="s">
        <v>322</v>
      </c>
      <c r="V288" t="s">
        <v>82</v>
      </c>
      <c r="W288" t="s">
        <v>1253</v>
      </c>
      <c r="X288" t="s">
        <v>96</v>
      </c>
      <c r="Y288" t="s">
        <v>82</v>
      </c>
      <c r="Z288" t="s">
        <v>78</v>
      </c>
    </row>
    <row r="289" spans="1:26" x14ac:dyDescent="0.25">
      <c r="A289" t="s">
        <v>1254</v>
      </c>
      <c r="B289" t="s">
        <v>1255</v>
      </c>
      <c r="C289" s="4" t="s">
        <v>1214</v>
      </c>
      <c r="D289" t="s">
        <v>1249</v>
      </c>
      <c r="E289" t="s">
        <v>14</v>
      </c>
      <c r="F289" t="s">
        <v>143</v>
      </c>
      <c r="G289" t="s">
        <v>106</v>
      </c>
      <c r="H289" t="s">
        <v>78</v>
      </c>
      <c r="I289" t="s">
        <v>102</v>
      </c>
      <c r="J289" t="s">
        <v>15</v>
      </c>
      <c r="K289" t="s">
        <v>1250</v>
      </c>
      <c r="L289" t="s">
        <v>89</v>
      </c>
      <c r="M289" t="s">
        <v>318</v>
      </c>
      <c r="N289" t="s">
        <v>1251</v>
      </c>
      <c r="O289" t="s">
        <v>1252</v>
      </c>
      <c r="P289" t="s">
        <v>1252</v>
      </c>
      <c r="Q289" t="s">
        <v>102</v>
      </c>
      <c r="R289" t="s">
        <v>86</v>
      </c>
      <c r="S289" t="s">
        <v>88</v>
      </c>
      <c r="T289" t="s">
        <v>1255</v>
      </c>
      <c r="U289" t="s">
        <v>322</v>
      </c>
      <c r="V289" t="s">
        <v>82</v>
      </c>
      <c r="W289" t="s">
        <v>1253</v>
      </c>
      <c r="X289" t="s">
        <v>96</v>
      </c>
      <c r="Y289" t="s">
        <v>82</v>
      </c>
      <c r="Z289" t="s">
        <v>78</v>
      </c>
    </row>
    <row r="290" spans="1:26" x14ac:dyDescent="0.25">
      <c r="A290" t="s">
        <v>1256</v>
      </c>
      <c r="B290" t="s">
        <v>1257</v>
      </c>
      <c r="C290" s="4" t="s">
        <v>1214</v>
      </c>
      <c r="D290" t="s">
        <v>1249</v>
      </c>
      <c r="E290" t="s">
        <v>14</v>
      </c>
      <c r="F290" t="s">
        <v>143</v>
      </c>
      <c r="G290" t="s">
        <v>106</v>
      </c>
      <c r="H290" t="s">
        <v>78</v>
      </c>
      <c r="I290" t="s">
        <v>102</v>
      </c>
      <c r="J290" t="s">
        <v>20</v>
      </c>
      <c r="K290" t="s">
        <v>1250</v>
      </c>
      <c r="L290" t="s">
        <v>89</v>
      </c>
      <c r="M290" t="s">
        <v>318</v>
      </c>
      <c r="N290" t="s">
        <v>1251</v>
      </c>
      <c r="O290" t="s">
        <v>1252</v>
      </c>
      <c r="P290" t="s">
        <v>1252</v>
      </c>
      <c r="Q290" t="s">
        <v>102</v>
      </c>
      <c r="R290" t="s">
        <v>86</v>
      </c>
      <c r="S290" t="s">
        <v>88</v>
      </c>
      <c r="T290" t="s">
        <v>1257</v>
      </c>
      <c r="U290" t="s">
        <v>322</v>
      </c>
      <c r="V290" t="s">
        <v>82</v>
      </c>
      <c r="W290" t="s">
        <v>1253</v>
      </c>
      <c r="X290" t="s">
        <v>96</v>
      </c>
      <c r="Y290" t="s">
        <v>82</v>
      </c>
      <c r="Z290" t="s">
        <v>78</v>
      </c>
    </row>
    <row r="291" spans="1:26" x14ac:dyDescent="0.25">
      <c r="A291" t="s">
        <v>1258</v>
      </c>
      <c r="B291" t="s">
        <v>1259</v>
      </c>
      <c r="C291" s="4" t="s">
        <v>1214</v>
      </c>
      <c r="D291" t="s">
        <v>1249</v>
      </c>
      <c r="E291" t="s">
        <v>14</v>
      </c>
      <c r="F291" t="s">
        <v>143</v>
      </c>
      <c r="G291" t="s">
        <v>106</v>
      </c>
      <c r="H291" t="s">
        <v>78</v>
      </c>
      <c r="I291" t="s">
        <v>102</v>
      </c>
      <c r="J291" t="s">
        <v>17</v>
      </c>
      <c r="K291" t="s">
        <v>1250</v>
      </c>
      <c r="L291" t="s">
        <v>89</v>
      </c>
      <c r="M291" t="s">
        <v>318</v>
      </c>
      <c r="N291" t="s">
        <v>1251</v>
      </c>
      <c r="O291" t="s">
        <v>1252</v>
      </c>
      <c r="P291" t="s">
        <v>1252</v>
      </c>
      <c r="Q291" t="s">
        <v>102</v>
      </c>
      <c r="R291" t="s">
        <v>86</v>
      </c>
      <c r="S291" t="s">
        <v>88</v>
      </c>
      <c r="T291" t="s">
        <v>1259</v>
      </c>
      <c r="U291" t="s">
        <v>322</v>
      </c>
      <c r="V291" t="s">
        <v>82</v>
      </c>
      <c r="W291" t="s">
        <v>1253</v>
      </c>
      <c r="X291" t="s">
        <v>96</v>
      </c>
      <c r="Y291" t="s">
        <v>82</v>
      </c>
      <c r="Z291" t="s">
        <v>78</v>
      </c>
    </row>
    <row r="292" spans="1:26" x14ac:dyDescent="0.25">
      <c r="A292" t="s">
        <v>1260</v>
      </c>
      <c r="B292" t="s">
        <v>1261</v>
      </c>
      <c r="C292" s="4" t="s">
        <v>1262</v>
      </c>
      <c r="D292" t="s">
        <v>1263</v>
      </c>
      <c r="E292" t="s">
        <v>14</v>
      </c>
      <c r="F292" t="s">
        <v>111</v>
      </c>
      <c r="G292" t="s">
        <v>124</v>
      </c>
      <c r="H292" t="s">
        <v>78</v>
      </c>
      <c r="I292" t="s">
        <v>102</v>
      </c>
      <c r="J292" t="s">
        <v>1264</v>
      </c>
      <c r="K292" t="s">
        <v>1236</v>
      </c>
      <c r="L292" t="s">
        <v>89</v>
      </c>
      <c r="M292" t="s">
        <v>318</v>
      </c>
      <c r="N292" t="s">
        <v>326</v>
      </c>
      <c r="O292" t="s">
        <v>1265</v>
      </c>
      <c r="P292" t="s">
        <v>1265</v>
      </c>
      <c r="Q292" t="s">
        <v>102</v>
      </c>
      <c r="R292" t="s">
        <v>102</v>
      </c>
      <c r="S292" t="s">
        <v>532</v>
      </c>
      <c r="T292" t="s">
        <v>1261</v>
      </c>
      <c r="U292" t="s">
        <v>322</v>
      </c>
      <c r="V292" t="s">
        <v>82</v>
      </c>
      <c r="W292" t="s">
        <v>354</v>
      </c>
      <c r="X292" t="s">
        <v>96</v>
      </c>
      <c r="Y292" t="s">
        <v>82</v>
      </c>
      <c r="Z292" t="s">
        <v>82</v>
      </c>
    </row>
    <row r="293" spans="1:26" x14ac:dyDescent="0.25">
      <c r="A293" t="s">
        <v>1266</v>
      </c>
      <c r="B293" t="s">
        <v>1267</v>
      </c>
      <c r="C293" s="4" t="s">
        <v>1262</v>
      </c>
      <c r="D293" t="s">
        <v>1263</v>
      </c>
      <c r="E293" t="s">
        <v>14</v>
      </c>
      <c r="F293" t="s">
        <v>111</v>
      </c>
      <c r="G293" t="s">
        <v>124</v>
      </c>
      <c r="H293" t="s">
        <v>78</v>
      </c>
      <c r="I293" t="s">
        <v>102</v>
      </c>
      <c r="J293" t="s">
        <v>15</v>
      </c>
      <c r="K293" t="s">
        <v>1236</v>
      </c>
      <c r="L293" t="s">
        <v>89</v>
      </c>
      <c r="M293" t="s">
        <v>318</v>
      </c>
      <c r="N293" t="s">
        <v>326</v>
      </c>
      <c r="O293" t="s">
        <v>1268</v>
      </c>
      <c r="P293" t="s">
        <v>1268</v>
      </c>
      <c r="Q293" t="s">
        <v>102</v>
      </c>
      <c r="R293" t="s">
        <v>102</v>
      </c>
      <c r="S293" t="s">
        <v>532</v>
      </c>
      <c r="T293" t="s">
        <v>1267</v>
      </c>
      <c r="U293" t="s">
        <v>322</v>
      </c>
      <c r="V293" t="s">
        <v>82</v>
      </c>
      <c r="W293" t="s">
        <v>354</v>
      </c>
      <c r="X293" t="s">
        <v>96</v>
      </c>
      <c r="Y293" t="s">
        <v>82</v>
      </c>
      <c r="Z293" t="s">
        <v>82</v>
      </c>
    </row>
    <row r="294" spans="1:26" x14ac:dyDescent="0.25">
      <c r="A294" t="s">
        <v>1269</v>
      </c>
      <c r="B294" t="s">
        <v>1270</v>
      </c>
      <c r="C294" s="4" t="s">
        <v>1262</v>
      </c>
      <c r="D294" t="s">
        <v>1263</v>
      </c>
      <c r="E294" t="s">
        <v>14</v>
      </c>
      <c r="F294" t="s">
        <v>128</v>
      </c>
      <c r="G294" t="s">
        <v>105</v>
      </c>
      <c r="H294" t="s">
        <v>78</v>
      </c>
      <c r="I294" t="s">
        <v>102</v>
      </c>
      <c r="J294" t="s">
        <v>15</v>
      </c>
      <c r="K294" t="s">
        <v>1271</v>
      </c>
      <c r="L294" t="s">
        <v>89</v>
      </c>
      <c r="M294" t="s">
        <v>318</v>
      </c>
      <c r="N294" t="s">
        <v>1272</v>
      </c>
      <c r="O294" t="s">
        <v>1273</v>
      </c>
      <c r="P294" t="s">
        <v>1273</v>
      </c>
      <c r="Q294" t="s">
        <v>102</v>
      </c>
      <c r="R294" t="s">
        <v>102</v>
      </c>
      <c r="S294" t="s">
        <v>1274</v>
      </c>
      <c r="T294" t="s">
        <v>1270</v>
      </c>
      <c r="U294" t="s">
        <v>322</v>
      </c>
      <c r="V294" t="s">
        <v>82</v>
      </c>
      <c r="W294" t="s">
        <v>1275</v>
      </c>
      <c r="X294" t="s">
        <v>96</v>
      </c>
      <c r="Y294" t="s">
        <v>82</v>
      </c>
      <c r="Z294" t="s">
        <v>82</v>
      </c>
    </row>
    <row r="295" spans="1:26" x14ac:dyDescent="0.25">
      <c r="A295" t="s">
        <v>1276</v>
      </c>
      <c r="B295" t="s">
        <v>1277</v>
      </c>
      <c r="C295" s="4" t="s">
        <v>1262</v>
      </c>
      <c r="D295" t="s">
        <v>1263</v>
      </c>
      <c r="E295" t="s">
        <v>14</v>
      </c>
      <c r="F295" t="s">
        <v>128</v>
      </c>
      <c r="G295" t="s">
        <v>105</v>
      </c>
      <c r="H295" t="s">
        <v>78</v>
      </c>
      <c r="I295" t="s">
        <v>102</v>
      </c>
      <c r="J295" t="s">
        <v>1264</v>
      </c>
      <c r="K295" t="s">
        <v>1271</v>
      </c>
      <c r="L295" t="s">
        <v>89</v>
      </c>
      <c r="M295" t="s">
        <v>318</v>
      </c>
      <c r="N295" t="s">
        <v>1272</v>
      </c>
      <c r="O295" t="s">
        <v>1278</v>
      </c>
      <c r="P295" t="s">
        <v>1278</v>
      </c>
      <c r="Q295" t="s">
        <v>102</v>
      </c>
      <c r="R295" t="s">
        <v>102</v>
      </c>
      <c r="S295" t="s">
        <v>1274</v>
      </c>
      <c r="T295" t="s">
        <v>1277</v>
      </c>
      <c r="U295" t="s">
        <v>322</v>
      </c>
      <c r="V295" t="s">
        <v>82</v>
      </c>
      <c r="W295" t="s">
        <v>1275</v>
      </c>
      <c r="X295" t="s">
        <v>96</v>
      </c>
      <c r="Y295" t="s">
        <v>82</v>
      </c>
      <c r="Z295" t="s">
        <v>82</v>
      </c>
    </row>
    <row r="296" spans="1:26" x14ac:dyDescent="0.25">
      <c r="A296" t="s">
        <v>1279</v>
      </c>
      <c r="B296" t="s">
        <v>1280</v>
      </c>
      <c r="C296" s="4" t="s">
        <v>1281</v>
      </c>
      <c r="D296" t="s">
        <v>1282</v>
      </c>
      <c r="E296" t="s">
        <v>14</v>
      </c>
      <c r="F296" t="s">
        <v>83</v>
      </c>
      <c r="G296" t="s">
        <v>84</v>
      </c>
      <c r="H296" t="s">
        <v>78</v>
      </c>
      <c r="I296" t="s">
        <v>86</v>
      </c>
      <c r="J296" t="s">
        <v>32</v>
      </c>
      <c r="K296" t="s">
        <v>1283</v>
      </c>
      <c r="L296" t="s">
        <v>89</v>
      </c>
      <c r="M296" t="s">
        <v>318</v>
      </c>
      <c r="N296" t="s">
        <v>1284</v>
      </c>
      <c r="O296" t="s">
        <v>1285</v>
      </c>
      <c r="P296" t="s">
        <v>1285</v>
      </c>
      <c r="Q296" t="s">
        <v>102</v>
      </c>
      <c r="R296" t="s">
        <v>111</v>
      </c>
      <c r="S296" t="s">
        <v>1286</v>
      </c>
      <c r="T296" t="s">
        <v>1280</v>
      </c>
      <c r="U296" t="s">
        <v>322</v>
      </c>
      <c r="V296" t="s">
        <v>82</v>
      </c>
      <c r="W296" t="s">
        <v>1287</v>
      </c>
      <c r="X296" t="s">
        <v>96</v>
      </c>
      <c r="Y296" t="s">
        <v>82</v>
      </c>
      <c r="Z296" t="s">
        <v>102</v>
      </c>
    </row>
    <row r="297" spans="1:26" x14ac:dyDescent="0.25">
      <c r="A297" t="s">
        <v>1288</v>
      </c>
      <c r="B297" t="s">
        <v>1289</v>
      </c>
      <c r="C297" s="4" t="s">
        <v>1281</v>
      </c>
      <c r="D297" t="s">
        <v>1282</v>
      </c>
      <c r="E297" t="s">
        <v>14</v>
      </c>
      <c r="F297" t="s">
        <v>83</v>
      </c>
      <c r="G297" t="s">
        <v>84</v>
      </c>
      <c r="H297" t="s">
        <v>78</v>
      </c>
      <c r="I297" t="s">
        <v>86</v>
      </c>
      <c r="J297" t="s">
        <v>17</v>
      </c>
      <c r="K297" t="s">
        <v>1283</v>
      </c>
      <c r="L297" t="s">
        <v>89</v>
      </c>
      <c r="M297" t="s">
        <v>318</v>
      </c>
      <c r="N297" t="s">
        <v>1284</v>
      </c>
      <c r="O297" t="s">
        <v>1285</v>
      </c>
      <c r="P297" t="s">
        <v>1285</v>
      </c>
      <c r="Q297" t="s">
        <v>102</v>
      </c>
      <c r="R297" t="s">
        <v>111</v>
      </c>
      <c r="S297" t="s">
        <v>1286</v>
      </c>
      <c r="T297" t="s">
        <v>1289</v>
      </c>
      <c r="U297" t="s">
        <v>322</v>
      </c>
      <c r="V297" t="s">
        <v>82</v>
      </c>
      <c r="W297" t="s">
        <v>1287</v>
      </c>
      <c r="X297" t="s">
        <v>96</v>
      </c>
      <c r="Y297" t="s">
        <v>82</v>
      </c>
      <c r="Z297" t="s">
        <v>102</v>
      </c>
    </row>
    <row r="298" spans="1:26" x14ac:dyDescent="0.25">
      <c r="A298" t="s">
        <v>1290</v>
      </c>
      <c r="B298" t="s">
        <v>1291</v>
      </c>
      <c r="C298" s="4" t="s">
        <v>1281</v>
      </c>
      <c r="D298" t="s">
        <v>1282</v>
      </c>
      <c r="E298" t="s">
        <v>14</v>
      </c>
      <c r="F298" t="s">
        <v>83</v>
      </c>
      <c r="G298" t="s">
        <v>84</v>
      </c>
      <c r="H298" t="s">
        <v>78</v>
      </c>
      <c r="I298" t="s">
        <v>86</v>
      </c>
      <c r="J298" t="s">
        <v>1292</v>
      </c>
      <c r="K298" t="s">
        <v>1283</v>
      </c>
      <c r="L298" t="s">
        <v>89</v>
      </c>
      <c r="M298" t="s">
        <v>318</v>
      </c>
      <c r="N298" t="s">
        <v>1284</v>
      </c>
      <c r="O298" t="s">
        <v>1293</v>
      </c>
      <c r="P298" t="s">
        <v>1293</v>
      </c>
      <c r="Q298" t="s">
        <v>102</v>
      </c>
      <c r="R298" t="s">
        <v>111</v>
      </c>
      <c r="S298" t="s">
        <v>1286</v>
      </c>
      <c r="T298" t="s">
        <v>1291</v>
      </c>
      <c r="U298" t="s">
        <v>322</v>
      </c>
      <c r="V298" t="s">
        <v>82</v>
      </c>
      <c r="W298" t="s">
        <v>1287</v>
      </c>
      <c r="X298" t="s">
        <v>96</v>
      </c>
      <c r="Y298" t="s">
        <v>82</v>
      </c>
      <c r="Z298" t="s">
        <v>102</v>
      </c>
    </row>
    <row r="299" spans="1:26" x14ac:dyDescent="0.25">
      <c r="A299" t="s">
        <v>1294</v>
      </c>
      <c r="B299" t="s">
        <v>1295</v>
      </c>
      <c r="C299" s="4" t="s">
        <v>1281</v>
      </c>
      <c r="D299" t="s">
        <v>1282</v>
      </c>
      <c r="E299" t="s">
        <v>14</v>
      </c>
      <c r="F299" t="s">
        <v>83</v>
      </c>
      <c r="G299" t="s">
        <v>84</v>
      </c>
      <c r="H299" t="s">
        <v>78</v>
      </c>
      <c r="I299" t="s">
        <v>86</v>
      </c>
      <c r="J299" t="s">
        <v>1002</v>
      </c>
      <c r="K299" t="s">
        <v>1283</v>
      </c>
      <c r="L299" t="s">
        <v>89</v>
      </c>
      <c r="M299" t="s">
        <v>318</v>
      </c>
      <c r="N299" t="s">
        <v>1284</v>
      </c>
      <c r="O299" t="s">
        <v>1293</v>
      </c>
      <c r="P299" t="s">
        <v>1293</v>
      </c>
      <c r="Q299" t="s">
        <v>102</v>
      </c>
      <c r="R299" t="s">
        <v>111</v>
      </c>
      <c r="S299" t="s">
        <v>1286</v>
      </c>
      <c r="T299" t="s">
        <v>1295</v>
      </c>
      <c r="U299" t="s">
        <v>322</v>
      </c>
      <c r="V299" t="s">
        <v>82</v>
      </c>
      <c r="W299" t="s">
        <v>1287</v>
      </c>
      <c r="X299" t="s">
        <v>96</v>
      </c>
      <c r="Y299" t="s">
        <v>82</v>
      </c>
      <c r="Z299" t="s">
        <v>102</v>
      </c>
    </row>
    <row r="300" spans="1:26" x14ac:dyDescent="0.25">
      <c r="A300" t="s">
        <v>1296</v>
      </c>
      <c r="B300" t="s">
        <v>1297</v>
      </c>
      <c r="C300" s="4" t="s">
        <v>1298</v>
      </c>
      <c r="D300" t="s">
        <v>1299</v>
      </c>
      <c r="E300" t="s">
        <v>14</v>
      </c>
      <c r="F300" t="s">
        <v>85</v>
      </c>
      <c r="G300" t="s">
        <v>111</v>
      </c>
      <c r="H300" t="s">
        <v>78</v>
      </c>
      <c r="I300" t="s">
        <v>102</v>
      </c>
      <c r="J300" t="s">
        <v>546</v>
      </c>
      <c r="K300" t="s">
        <v>1300</v>
      </c>
      <c r="L300" t="s">
        <v>89</v>
      </c>
      <c r="M300" t="s">
        <v>318</v>
      </c>
      <c r="N300" t="s">
        <v>1136</v>
      </c>
      <c r="O300" t="s">
        <v>1301</v>
      </c>
      <c r="P300" t="s">
        <v>1301</v>
      </c>
      <c r="Q300" t="s">
        <v>102</v>
      </c>
      <c r="R300" t="s">
        <v>111</v>
      </c>
      <c r="S300" t="s">
        <v>1302</v>
      </c>
      <c r="T300" t="s">
        <v>1297</v>
      </c>
      <c r="U300" t="s">
        <v>322</v>
      </c>
      <c r="V300" t="s">
        <v>82</v>
      </c>
      <c r="W300" t="s">
        <v>1303</v>
      </c>
      <c r="X300" t="s">
        <v>96</v>
      </c>
      <c r="Y300" t="s">
        <v>82</v>
      </c>
      <c r="Z300" t="s">
        <v>102</v>
      </c>
    </row>
    <row r="301" spans="1:26" x14ac:dyDescent="0.25">
      <c r="A301" t="s">
        <v>1304</v>
      </c>
      <c r="B301" t="s">
        <v>1305</v>
      </c>
      <c r="C301" s="4" t="s">
        <v>1298</v>
      </c>
      <c r="D301" t="s">
        <v>1299</v>
      </c>
      <c r="E301" t="s">
        <v>14</v>
      </c>
      <c r="F301" t="s">
        <v>85</v>
      </c>
      <c r="G301" t="s">
        <v>111</v>
      </c>
      <c r="H301" t="s">
        <v>78</v>
      </c>
      <c r="I301" t="s">
        <v>102</v>
      </c>
      <c r="J301" t="s">
        <v>1292</v>
      </c>
      <c r="K301" t="s">
        <v>1300</v>
      </c>
      <c r="L301" t="s">
        <v>89</v>
      </c>
      <c r="M301" t="s">
        <v>318</v>
      </c>
      <c r="N301" t="s">
        <v>1136</v>
      </c>
      <c r="O301" t="s">
        <v>1301</v>
      </c>
      <c r="P301" t="s">
        <v>1301</v>
      </c>
      <c r="Q301" t="s">
        <v>102</v>
      </c>
      <c r="R301" t="s">
        <v>111</v>
      </c>
      <c r="S301" t="s">
        <v>1302</v>
      </c>
      <c r="T301" t="s">
        <v>1305</v>
      </c>
      <c r="U301" t="s">
        <v>322</v>
      </c>
      <c r="V301" t="s">
        <v>82</v>
      </c>
      <c r="W301" t="s">
        <v>1303</v>
      </c>
      <c r="X301" t="s">
        <v>96</v>
      </c>
      <c r="Y301" t="s">
        <v>82</v>
      </c>
      <c r="Z301" t="s">
        <v>102</v>
      </c>
    </row>
    <row r="302" spans="1:26" x14ac:dyDescent="0.25">
      <c r="A302" t="s">
        <v>1306</v>
      </c>
      <c r="B302" t="s">
        <v>1307</v>
      </c>
      <c r="C302" s="4" t="s">
        <v>1298</v>
      </c>
      <c r="D302" t="s">
        <v>1299</v>
      </c>
      <c r="E302" t="s">
        <v>14</v>
      </c>
      <c r="F302" t="s">
        <v>85</v>
      </c>
      <c r="G302" t="s">
        <v>111</v>
      </c>
      <c r="H302" t="s">
        <v>78</v>
      </c>
      <c r="I302" t="s">
        <v>102</v>
      </c>
      <c r="J302" t="s">
        <v>1308</v>
      </c>
      <c r="K302" t="s">
        <v>1300</v>
      </c>
      <c r="L302" t="s">
        <v>89</v>
      </c>
      <c r="M302" t="s">
        <v>318</v>
      </c>
      <c r="N302" t="s">
        <v>1136</v>
      </c>
      <c r="O302" t="s">
        <v>1301</v>
      </c>
      <c r="P302" t="s">
        <v>1301</v>
      </c>
      <c r="Q302" t="s">
        <v>102</v>
      </c>
      <c r="R302" t="s">
        <v>111</v>
      </c>
      <c r="S302" t="s">
        <v>1302</v>
      </c>
      <c r="T302" t="s">
        <v>1307</v>
      </c>
      <c r="U302" t="s">
        <v>322</v>
      </c>
      <c r="V302" t="s">
        <v>82</v>
      </c>
      <c r="W302" t="s">
        <v>1303</v>
      </c>
      <c r="X302" t="s">
        <v>96</v>
      </c>
      <c r="Y302" t="s">
        <v>82</v>
      </c>
      <c r="Z302" t="s">
        <v>102</v>
      </c>
    </row>
    <row r="303" spans="1:26" x14ac:dyDescent="0.25">
      <c r="A303" t="s">
        <v>1309</v>
      </c>
      <c r="B303" t="s">
        <v>1310</v>
      </c>
      <c r="C303" s="4" t="s">
        <v>1311</v>
      </c>
      <c r="D303" t="s">
        <v>1312</v>
      </c>
      <c r="E303" t="s">
        <v>14</v>
      </c>
      <c r="F303" t="s">
        <v>78</v>
      </c>
      <c r="G303" t="s">
        <v>102</v>
      </c>
      <c r="H303" t="s">
        <v>78</v>
      </c>
      <c r="I303" t="s">
        <v>102</v>
      </c>
      <c r="J303" t="s">
        <v>17</v>
      </c>
      <c r="K303" t="s">
        <v>1313</v>
      </c>
      <c r="L303" t="s">
        <v>89</v>
      </c>
      <c r="M303" t="s">
        <v>318</v>
      </c>
      <c r="N303" t="s">
        <v>1314</v>
      </c>
      <c r="O303" t="s">
        <v>1315</v>
      </c>
      <c r="P303" t="s">
        <v>1315</v>
      </c>
      <c r="Q303" t="s">
        <v>102</v>
      </c>
      <c r="R303" t="s">
        <v>86</v>
      </c>
      <c r="S303" t="s">
        <v>1316</v>
      </c>
      <c r="T303" t="s">
        <v>1310</v>
      </c>
      <c r="U303" t="s">
        <v>322</v>
      </c>
      <c r="V303" t="s">
        <v>82</v>
      </c>
      <c r="W303" t="s">
        <v>1317</v>
      </c>
      <c r="X303" t="s">
        <v>96</v>
      </c>
      <c r="Y303" t="s">
        <v>82</v>
      </c>
      <c r="Z303" t="s">
        <v>78</v>
      </c>
    </row>
    <row r="304" spans="1:26" x14ac:dyDescent="0.25">
      <c r="A304" t="s">
        <v>1318</v>
      </c>
      <c r="B304" t="s">
        <v>1319</v>
      </c>
      <c r="C304" s="4" t="s">
        <v>1311</v>
      </c>
      <c r="D304" t="s">
        <v>1312</v>
      </c>
      <c r="E304" t="s">
        <v>14</v>
      </c>
      <c r="F304" t="s">
        <v>78</v>
      </c>
      <c r="G304" t="s">
        <v>102</v>
      </c>
      <c r="H304" t="s">
        <v>78</v>
      </c>
      <c r="I304" t="s">
        <v>102</v>
      </c>
      <c r="J304" t="s">
        <v>15</v>
      </c>
      <c r="K304" t="s">
        <v>1313</v>
      </c>
      <c r="L304" t="s">
        <v>89</v>
      </c>
      <c r="M304" t="s">
        <v>318</v>
      </c>
      <c r="N304" t="s">
        <v>1314</v>
      </c>
      <c r="O304" t="s">
        <v>1315</v>
      </c>
      <c r="P304" t="s">
        <v>1315</v>
      </c>
      <c r="Q304" t="s">
        <v>102</v>
      </c>
      <c r="R304" t="s">
        <v>86</v>
      </c>
      <c r="S304" t="s">
        <v>1316</v>
      </c>
      <c r="T304" t="s">
        <v>1319</v>
      </c>
      <c r="U304" t="s">
        <v>322</v>
      </c>
      <c r="V304" t="s">
        <v>82</v>
      </c>
      <c r="W304" t="s">
        <v>1317</v>
      </c>
      <c r="X304" t="s">
        <v>96</v>
      </c>
      <c r="Y304" t="s">
        <v>82</v>
      </c>
      <c r="Z304" t="s">
        <v>78</v>
      </c>
    </row>
    <row r="305" spans="1:26" x14ac:dyDescent="0.25">
      <c r="A305" t="s">
        <v>1320</v>
      </c>
      <c r="B305" t="s">
        <v>1321</v>
      </c>
      <c r="C305" s="4" t="s">
        <v>1311</v>
      </c>
      <c r="D305" t="s">
        <v>1312</v>
      </c>
      <c r="E305" t="s">
        <v>14</v>
      </c>
      <c r="F305" t="s">
        <v>78</v>
      </c>
      <c r="G305" t="s">
        <v>102</v>
      </c>
      <c r="H305" t="s">
        <v>78</v>
      </c>
      <c r="I305" t="s">
        <v>102</v>
      </c>
      <c r="J305" t="s">
        <v>18</v>
      </c>
      <c r="K305" t="s">
        <v>1313</v>
      </c>
      <c r="L305" t="s">
        <v>89</v>
      </c>
      <c r="M305" t="s">
        <v>318</v>
      </c>
      <c r="N305" t="s">
        <v>1314</v>
      </c>
      <c r="O305" t="s">
        <v>1322</v>
      </c>
      <c r="P305" t="s">
        <v>1322</v>
      </c>
      <c r="Q305" t="s">
        <v>102</v>
      </c>
      <c r="R305" t="s">
        <v>86</v>
      </c>
      <c r="S305" t="s">
        <v>1316</v>
      </c>
      <c r="T305" t="s">
        <v>1321</v>
      </c>
      <c r="U305" t="s">
        <v>322</v>
      </c>
      <c r="V305" t="s">
        <v>82</v>
      </c>
      <c r="W305" t="s">
        <v>1317</v>
      </c>
      <c r="X305" t="s">
        <v>96</v>
      </c>
      <c r="Y305" t="s">
        <v>82</v>
      </c>
      <c r="Z305" t="s">
        <v>78</v>
      </c>
    </row>
    <row r="306" spans="1:26" x14ac:dyDescent="0.25">
      <c r="A306" t="s">
        <v>1323</v>
      </c>
      <c r="B306" t="s">
        <v>1324</v>
      </c>
      <c r="C306" s="4" t="s">
        <v>1311</v>
      </c>
      <c r="D306" t="s">
        <v>1312</v>
      </c>
      <c r="E306" t="s">
        <v>14</v>
      </c>
      <c r="F306" t="s">
        <v>78</v>
      </c>
      <c r="G306" t="s">
        <v>102</v>
      </c>
      <c r="H306" t="s">
        <v>78</v>
      </c>
      <c r="I306" t="s">
        <v>102</v>
      </c>
      <c r="J306" t="s">
        <v>20</v>
      </c>
      <c r="K306" t="s">
        <v>1313</v>
      </c>
      <c r="L306" t="s">
        <v>89</v>
      </c>
      <c r="M306" t="s">
        <v>318</v>
      </c>
      <c r="N306" t="s">
        <v>1314</v>
      </c>
      <c r="O306" t="s">
        <v>1322</v>
      </c>
      <c r="P306" t="s">
        <v>1322</v>
      </c>
      <c r="Q306" t="s">
        <v>102</v>
      </c>
      <c r="R306" t="s">
        <v>86</v>
      </c>
      <c r="S306" t="s">
        <v>1316</v>
      </c>
      <c r="T306" t="s">
        <v>1324</v>
      </c>
      <c r="U306" t="s">
        <v>322</v>
      </c>
      <c r="V306" t="s">
        <v>82</v>
      </c>
      <c r="W306" t="s">
        <v>1317</v>
      </c>
      <c r="X306" t="s">
        <v>96</v>
      </c>
      <c r="Y306" t="s">
        <v>82</v>
      </c>
      <c r="Z306" t="s">
        <v>78</v>
      </c>
    </row>
    <row r="307" spans="1:26" x14ac:dyDescent="0.25">
      <c r="A307" t="s">
        <v>1325</v>
      </c>
      <c r="B307" t="s">
        <v>1326</v>
      </c>
      <c r="C307" s="4" t="s">
        <v>1311</v>
      </c>
      <c r="D307" t="s">
        <v>1312</v>
      </c>
      <c r="E307" t="s">
        <v>14</v>
      </c>
      <c r="F307" t="s">
        <v>111</v>
      </c>
      <c r="G307" t="s">
        <v>124</v>
      </c>
      <c r="H307" t="s">
        <v>78</v>
      </c>
      <c r="I307" t="s">
        <v>102</v>
      </c>
      <c r="J307" t="s">
        <v>20</v>
      </c>
      <c r="K307" t="s">
        <v>1327</v>
      </c>
      <c r="L307" t="s">
        <v>89</v>
      </c>
      <c r="M307" t="s">
        <v>318</v>
      </c>
      <c r="N307" t="s">
        <v>800</v>
      </c>
      <c r="O307" t="s">
        <v>1328</v>
      </c>
      <c r="P307" t="s">
        <v>1328</v>
      </c>
      <c r="Q307" t="s">
        <v>102</v>
      </c>
      <c r="R307" t="s">
        <v>86</v>
      </c>
      <c r="S307" t="s">
        <v>1329</v>
      </c>
      <c r="T307" t="s">
        <v>1326</v>
      </c>
      <c r="U307" t="s">
        <v>322</v>
      </c>
      <c r="V307" t="s">
        <v>82</v>
      </c>
      <c r="W307" t="s">
        <v>1330</v>
      </c>
      <c r="X307" t="s">
        <v>96</v>
      </c>
      <c r="Y307" t="s">
        <v>82</v>
      </c>
      <c r="Z307" t="s">
        <v>78</v>
      </c>
    </row>
    <row r="308" spans="1:26" x14ac:dyDescent="0.25">
      <c r="A308" t="s">
        <v>1331</v>
      </c>
      <c r="B308" t="s">
        <v>1332</v>
      </c>
      <c r="C308" s="4" t="s">
        <v>1311</v>
      </c>
      <c r="D308" t="s">
        <v>1312</v>
      </c>
      <c r="E308" t="s">
        <v>14</v>
      </c>
      <c r="F308" t="s">
        <v>111</v>
      </c>
      <c r="G308" t="s">
        <v>124</v>
      </c>
      <c r="H308" t="s">
        <v>78</v>
      </c>
      <c r="I308" t="s">
        <v>102</v>
      </c>
      <c r="J308" t="s">
        <v>15</v>
      </c>
      <c r="K308" t="s">
        <v>1327</v>
      </c>
      <c r="L308" t="s">
        <v>89</v>
      </c>
      <c r="M308" t="s">
        <v>318</v>
      </c>
      <c r="N308" t="s">
        <v>800</v>
      </c>
      <c r="O308" t="s">
        <v>1328</v>
      </c>
      <c r="P308" t="s">
        <v>1328</v>
      </c>
      <c r="Q308" t="s">
        <v>102</v>
      </c>
      <c r="R308" t="s">
        <v>86</v>
      </c>
      <c r="S308" t="s">
        <v>1329</v>
      </c>
      <c r="T308" t="s">
        <v>1332</v>
      </c>
      <c r="U308" t="s">
        <v>322</v>
      </c>
      <c r="V308" t="s">
        <v>82</v>
      </c>
      <c r="W308" t="s">
        <v>1330</v>
      </c>
      <c r="X308" t="s">
        <v>96</v>
      </c>
      <c r="Y308" t="s">
        <v>82</v>
      </c>
      <c r="Z308" t="s">
        <v>78</v>
      </c>
    </row>
    <row r="309" spans="1:26" x14ac:dyDescent="0.25">
      <c r="A309" t="s">
        <v>1333</v>
      </c>
      <c r="B309" t="s">
        <v>1334</v>
      </c>
      <c r="C309" s="4" t="s">
        <v>1311</v>
      </c>
      <c r="D309" t="s">
        <v>1312</v>
      </c>
      <c r="E309" t="s">
        <v>14</v>
      </c>
      <c r="F309" t="s">
        <v>111</v>
      </c>
      <c r="G309" t="s">
        <v>124</v>
      </c>
      <c r="H309" t="s">
        <v>78</v>
      </c>
      <c r="I309" t="s">
        <v>102</v>
      </c>
      <c r="J309" t="s">
        <v>18</v>
      </c>
      <c r="K309" t="s">
        <v>1327</v>
      </c>
      <c r="L309" t="s">
        <v>89</v>
      </c>
      <c r="M309" t="s">
        <v>318</v>
      </c>
      <c r="N309" t="s">
        <v>800</v>
      </c>
      <c r="O309" t="s">
        <v>1328</v>
      </c>
      <c r="P309" t="s">
        <v>1328</v>
      </c>
      <c r="Q309" t="s">
        <v>102</v>
      </c>
      <c r="R309" t="s">
        <v>86</v>
      </c>
      <c r="S309" t="s">
        <v>1329</v>
      </c>
      <c r="T309" t="s">
        <v>1334</v>
      </c>
      <c r="U309" t="s">
        <v>322</v>
      </c>
      <c r="V309" t="s">
        <v>82</v>
      </c>
      <c r="W309" t="s">
        <v>1330</v>
      </c>
      <c r="X309" t="s">
        <v>96</v>
      </c>
      <c r="Y309" t="s">
        <v>82</v>
      </c>
      <c r="Z309" t="s">
        <v>78</v>
      </c>
    </row>
    <row r="310" spans="1:26" x14ac:dyDescent="0.25">
      <c r="A310" t="s">
        <v>1335</v>
      </c>
      <c r="B310" t="s">
        <v>1336</v>
      </c>
      <c r="C310" s="4" t="s">
        <v>1311</v>
      </c>
      <c r="D310" t="s">
        <v>1312</v>
      </c>
      <c r="E310" t="s">
        <v>14</v>
      </c>
      <c r="F310" t="s">
        <v>111</v>
      </c>
      <c r="G310" t="s">
        <v>124</v>
      </c>
      <c r="H310" t="s">
        <v>78</v>
      </c>
      <c r="I310" t="s">
        <v>102</v>
      </c>
      <c r="J310" t="s">
        <v>17</v>
      </c>
      <c r="K310" t="s">
        <v>1327</v>
      </c>
      <c r="L310" t="s">
        <v>89</v>
      </c>
      <c r="M310" t="s">
        <v>318</v>
      </c>
      <c r="N310" t="s">
        <v>800</v>
      </c>
      <c r="O310" t="s">
        <v>1328</v>
      </c>
      <c r="P310" t="s">
        <v>1328</v>
      </c>
      <c r="Q310" t="s">
        <v>102</v>
      </c>
      <c r="R310" t="s">
        <v>86</v>
      </c>
      <c r="S310" t="s">
        <v>1329</v>
      </c>
      <c r="T310" t="s">
        <v>1336</v>
      </c>
      <c r="U310" t="s">
        <v>322</v>
      </c>
      <c r="V310" t="s">
        <v>82</v>
      </c>
      <c r="W310" t="s">
        <v>1330</v>
      </c>
      <c r="X310" t="s">
        <v>96</v>
      </c>
      <c r="Y310" t="s">
        <v>82</v>
      </c>
      <c r="Z310" t="s">
        <v>78</v>
      </c>
    </row>
    <row r="311" spans="1:26" x14ac:dyDescent="0.25">
      <c r="A311" t="s">
        <v>1337</v>
      </c>
      <c r="B311" t="s">
        <v>1338</v>
      </c>
      <c r="C311" s="4" t="s">
        <v>1311</v>
      </c>
      <c r="D311" t="s">
        <v>1312</v>
      </c>
      <c r="E311" t="s">
        <v>14</v>
      </c>
      <c r="F311" t="s">
        <v>128</v>
      </c>
      <c r="G311" t="s">
        <v>105</v>
      </c>
      <c r="H311" t="s">
        <v>78</v>
      </c>
      <c r="I311" t="s">
        <v>102</v>
      </c>
      <c r="J311" t="s">
        <v>17</v>
      </c>
      <c r="K311" t="s">
        <v>1339</v>
      </c>
      <c r="L311" t="s">
        <v>89</v>
      </c>
      <c r="M311" t="s">
        <v>318</v>
      </c>
      <c r="N311" t="s">
        <v>1340</v>
      </c>
      <c r="O311" t="s">
        <v>1341</v>
      </c>
      <c r="P311" t="s">
        <v>1342</v>
      </c>
      <c r="Q311" t="s">
        <v>102</v>
      </c>
      <c r="R311" t="s">
        <v>86</v>
      </c>
      <c r="S311" t="s">
        <v>1343</v>
      </c>
      <c r="T311" t="s">
        <v>1338</v>
      </c>
      <c r="U311" t="s">
        <v>322</v>
      </c>
      <c r="V311" t="s">
        <v>82</v>
      </c>
      <c r="W311" t="s">
        <v>1344</v>
      </c>
      <c r="X311" t="s">
        <v>96</v>
      </c>
      <c r="Y311" t="s">
        <v>82</v>
      </c>
      <c r="Z311" t="s">
        <v>78</v>
      </c>
    </row>
    <row r="312" spans="1:26" x14ac:dyDescent="0.25">
      <c r="A312" t="s">
        <v>1345</v>
      </c>
      <c r="B312" t="s">
        <v>1346</v>
      </c>
      <c r="C312" s="4" t="s">
        <v>1311</v>
      </c>
      <c r="D312" t="s">
        <v>1312</v>
      </c>
      <c r="E312" t="s">
        <v>14</v>
      </c>
      <c r="F312" t="s">
        <v>128</v>
      </c>
      <c r="G312" t="s">
        <v>105</v>
      </c>
      <c r="H312" t="s">
        <v>78</v>
      </c>
      <c r="I312" t="s">
        <v>102</v>
      </c>
      <c r="J312" t="s">
        <v>20</v>
      </c>
      <c r="K312" t="s">
        <v>1339</v>
      </c>
      <c r="L312" t="s">
        <v>89</v>
      </c>
      <c r="M312" t="s">
        <v>318</v>
      </c>
      <c r="N312" t="s">
        <v>1340</v>
      </c>
      <c r="O312" t="s">
        <v>1341</v>
      </c>
      <c r="P312" t="s">
        <v>1347</v>
      </c>
      <c r="Q312" t="s">
        <v>102</v>
      </c>
      <c r="R312" t="s">
        <v>86</v>
      </c>
      <c r="S312" t="s">
        <v>1343</v>
      </c>
      <c r="T312" t="s">
        <v>1346</v>
      </c>
      <c r="U312" t="s">
        <v>322</v>
      </c>
      <c r="V312" t="s">
        <v>82</v>
      </c>
      <c r="W312" t="s">
        <v>1344</v>
      </c>
      <c r="X312" t="s">
        <v>96</v>
      </c>
      <c r="Y312" t="s">
        <v>82</v>
      </c>
      <c r="Z312" t="s">
        <v>78</v>
      </c>
    </row>
    <row r="313" spans="1:26" x14ac:dyDescent="0.25">
      <c r="A313" t="s">
        <v>1348</v>
      </c>
      <c r="B313" t="s">
        <v>1349</v>
      </c>
      <c r="C313" s="4" t="s">
        <v>1311</v>
      </c>
      <c r="D313" t="s">
        <v>1312</v>
      </c>
      <c r="E313" t="s">
        <v>14</v>
      </c>
      <c r="F313" t="s">
        <v>128</v>
      </c>
      <c r="G313" t="s">
        <v>105</v>
      </c>
      <c r="H313" t="s">
        <v>78</v>
      </c>
      <c r="I313" t="s">
        <v>102</v>
      </c>
      <c r="J313" t="s">
        <v>15</v>
      </c>
      <c r="K313" t="s">
        <v>1339</v>
      </c>
      <c r="L313" t="s">
        <v>89</v>
      </c>
      <c r="M313" t="s">
        <v>318</v>
      </c>
      <c r="N313" t="s">
        <v>1340</v>
      </c>
      <c r="O313" t="s">
        <v>1341</v>
      </c>
      <c r="P313" t="s">
        <v>1350</v>
      </c>
      <c r="Q313" t="s">
        <v>102</v>
      </c>
      <c r="R313" t="s">
        <v>86</v>
      </c>
      <c r="S313" t="s">
        <v>1343</v>
      </c>
      <c r="T313" t="s">
        <v>1349</v>
      </c>
      <c r="U313" t="s">
        <v>322</v>
      </c>
      <c r="V313" t="s">
        <v>82</v>
      </c>
      <c r="W313" t="s">
        <v>1344</v>
      </c>
      <c r="X313" t="s">
        <v>96</v>
      </c>
      <c r="Y313" t="s">
        <v>82</v>
      </c>
      <c r="Z313" t="s">
        <v>78</v>
      </c>
    </row>
    <row r="314" spans="1:26" x14ac:dyDescent="0.25">
      <c r="A314" t="s">
        <v>1351</v>
      </c>
      <c r="B314" t="s">
        <v>1352</v>
      </c>
      <c r="C314" s="4" t="s">
        <v>1311</v>
      </c>
      <c r="D314" t="s">
        <v>1312</v>
      </c>
      <c r="E314" t="s">
        <v>14</v>
      </c>
      <c r="F314" t="s">
        <v>128</v>
      </c>
      <c r="G314" t="s">
        <v>105</v>
      </c>
      <c r="H314" t="s">
        <v>78</v>
      </c>
      <c r="I314" t="s">
        <v>102</v>
      </c>
      <c r="J314" t="s">
        <v>18</v>
      </c>
      <c r="K314" t="s">
        <v>1339</v>
      </c>
      <c r="L314" t="s">
        <v>89</v>
      </c>
      <c r="M314" t="s">
        <v>318</v>
      </c>
      <c r="N314" t="s">
        <v>1340</v>
      </c>
      <c r="O314" t="s">
        <v>1353</v>
      </c>
      <c r="P314" t="s">
        <v>1354</v>
      </c>
      <c r="Q314" t="s">
        <v>102</v>
      </c>
      <c r="R314" t="s">
        <v>86</v>
      </c>
      <c r="S314" t="s">
        <v>1343</v>
      </c>
      <c r="T314" t="s">
        <v>1352</v>
      </c>
      <c r="U314" t="s">
        <v>322</v>
      </c>
      <c r="V314" t="s">
        <v>82</v>
      </c>
      <c r="W314" t="s">
        <v>1344</v>
      </c>
      <c r="X314" t="s">
        <v>96</v>
      </c>
      <c r="Y314" t="s">
        <v>82</v>
      </c>
      <c r="Z314" t="s">
        <v>78</v>
      </c>
    </row>
    <row r="315" spans="1:26" x14ac:dyDescent="0.25">
      <c r="A315" t="s">
        <v>1355</v>
      </c>
      <c r="B315" t="s">
        <v>1356</v>
      </c>
      <c r="C315" s="4" t="s">
        <v>1311</v>
      </c>
      <c r="D315" t="s">
        <v>1312</v>
      </c>
      <c r="E315" t="s">
        <v>14</v>
      </c>
      <c r="F315" t="s">
        <v>143</v>
      </c>
      <c r="G315" t="s">
        <v>106</v>
      </c>
      <c r="H315" t="s">
        <v>78</v>
      </c>
      <c r="I315" t="s">
        <v>102</v>
      </c>
      <c r="J315" t="s">
        <v>18</v>
      </c>
      <c r="K315" t="s">
        <v>1357</v>
      </c>
      <c r="L315" t="s">
        <v>89</v>
      </c>
      <c r="M315" t="s">
        <v>318</v>
      </c>
      <c r="N315" t="s">
        <v>1358</v>
      </c>
      <c r="O315" t="s">
        <v>1359</v>
      </c>
      <c r="P315" t="s">
        <v>1359</v>
      </c>
      <c r="Q315" t="s">
        <v>102</v>
      </c>
      <c r="R315" t="s">
        <v>86</v>
      </c>
      <c r="S315" t="s">
        <v>636</v>
      </c>
      <c r="T315" t="s">
        <v>1356</v>
      </c>
      <c r="U315" t="s">
        <v>322</v>
      </c>
      <c r="V315" t="s">
        <v>82</v>
      </c>
      <c r="W315" t="s">
        <v>718</v>
      </c>
      <c r="X315" t="s">
        <v>96</v>
      </c>
      <c r="Y315" t="s">
        <v>82</v>
      </c>
      <c r="Z315" t="s">
        <v>78</v>
      </c>
    </row>
    <row r="316" spans="1:26" x14ac:dyDescent="0.25">
      <c r="A316" t="s">
        <v>1360</v>
      </c>
      <c r="B316" t="s">
        <v>1361</v>
      </c>
      <c r="C316" s="4" t="s">
        <v>1311</v>
      </c>
      <c r="D316" t="s">
        <v>1312</v>
      </c>
      <c r="E316" t="s">
        <v>14</v>
      </c>
      <c r="F316" t="s">
        <v>143</v>
      </c>
      <c r="G316" t="s">
        <v>106</v>
      </c>
      <c r="H316" t="s">
        <v>78</v>
      </c>
      <c r="I316" t="s">
        <v>102</v>
      </c>
      <c r="J316" t="s">
        <v>15</v>
      </c>
      <c r="K316" t="s">
        <v>1357</v>
      </c>
      <c r="L316" t="s">
        <v>89</v>
      </c>
      <c r="M316" t="s">
        <v>318</v>
      </c>
      <c r="N316" t="s">
        <v>1358</v>
      </c>
      <c r="O316" t="s">
        <v>1359</v>
      </c>
      <c r="P316" t="s">
        <v>1359</v>
      </c>
      <c r="Q316" t="s">
        <v>102</v>
      </c>
      <c r="R316" t="s">
        <v>86</v>
      </c>
      <c r="S316" t="s">
        <v>636</v>
      </c>
      <c r="T316" t="s">
        <v>1361</v>
      </c>
      <c r="U316" t="s">
        <v>322</v>
      </c>
      <c r="V316" t="s">
        <v>82</v>
      </c>
      <c r="W316" t="s">
        <v>718</v>
      </c>
      <c r="X316" t="s">
        <v>96</v>
      </c>
      <c r="Y316" t="s">
        <v>82</v>
      </c>
      <c r="Z316" t="s">
        <v>78</v>
      </c>
    </row>
    <row r="317" spans="1:26" x14ac:dyDescent="0.25">
      <c r="A317" t="s">
        <v>1362</v>
      </c>
      <c r="B317" t="s">
        <v>1363</v>
      </c>
      <c r="C317" s="4" t="s">
        <v>1311</v>
      </c>
      <c r="D317" t="s">
        <v>1312</v>
      </c>
      <c r="E317" t="s">
        <v>14</v>
      </c>
      <c r="F317" t="s">
        <v>143</v>
      </c>
      <c r="G317" t="s">
        <v>106</v>
      </c>
      <c r="H317" t="s">
        <v>78</v>
      </c>
      <c r="I317" t="s">
        <v>102</v>
      </c>
      <c r="J317" t="s">
        <v>20</v>
      </c>
      <c r="K317" t="s">
        <v>1357</v>
      </c>
      <c r="L317" t="s">
        <v>89</v>
      </c>
      <c r="M317" t="s">
        <v>318</v>
      </c>
      <c r="N317" t="s">
        <v>1358</v>
      </c>
      <c r="O317" t="s">
        <v>1359</v>
      </c>
      <c r="P317" t="s">
        <v>1359</v>
      </c>
      <c r="Q317" t="s">
        <v>102</v>
      </c>
      <c r="R317" t="s">
        <v>86</v>
      </c>
      <c r="S317" t="s">
        <v>636</v>
      </c>
      <c r="T317" t="s">
        <v>1363</v>
      </c>
      <c r="U317" t="s">
        <v>322</v>
      </c>
      <c r="V317" t="s">
        <v>82</v>
      </c>
      <c r="W317" t="s">
        <v>718</v>
      </c>
      <c r="X317" t="s">
        <v>96</v>
      </c>
      <c r="Y317" t="s">
        <v>82</v>
      </c>
      <c r="Z317" t="s">
        <v>78</v>
      </c>
    </row>
    <row r="318" spans="1:26" x14ac:dyDescent="0.25">
      <c r="A318" t="s">
        <v>1364</v>
      </c>
      <c r="B318" t="s">
        <v>1365</v>
      </c>
      <c r="C318" s="4" t="s">
        <v>1311</v>
      </c>
      <c r="D318" t="s">
        <v>1312</v>
      </c>
      <c r="E318" t="s">
        <v>14</v>
      </c>
      <c r="F318" t="s">
        <v>143</v>
      </c>
      <c r="G318" t="s">
        <v>106</v>
      </c>
      <c r="H318" t="s">
        <v>78</v>
      </c>
      <c r="I318" t="s">
        <v>102</v>
      </c>
      <c r="J318" t="s">
        <v>17</v>
      </c>
      <c r="K318" t="s">
        <v>1357</v>
      </c>
      <c r="L318" t="s">
        <v>89</v>
      </c>
      <c r="M318" t="s">
        <v>318</v>
      </c>
      <c r="N318" t="s">
        <v>1358</v>
      </c>
      <c r="O318" t="s">
        <v>1366</v>
      </c>
      <c r="P318" t="s">
        <v>1366</v>
      </c>
      <c r="Q318" t="s">
        <v>102</v>
      </c>
      <c r="R318" t="s">
        <v>86</v>
      </c>
      <c r="S318" t="s">
        <v>636</v>
      </c>
      <c r="T318" t="s">
        <v>1365</v>
      </c>
      <c r="U318" t="s">
        <v>322</v>
      </c>
      <c r="V318" t="s">
        <v>82</v>
      </c>
      <c r="W318" t="s">
        <v>718</v>
      </c>
      <c r="X318" t="s">
        <v>96</v>
      </c>
      <c r="Y318" t="s">
        <v>82</v>
      </c>
      <c r="Z318" t="s">
        <v>78</v>
      </c>
    </row>
    <row r="319" spans="1:26" x14ac:dyDescent="0.25">
      <c r="A319" t="s">
        <v>1367</v>
      </c>
      <c r="B319" t="s">
        <v>1368</v>
      </c>
      <c r="C319" s="4" t="s">
        <v>1369</v>
      </c>
      <c r="D319" t="s">
        <v>1370</v>
      </c>
      <c r="E319" t="s">
        <v>14</v>
      </c>
      <c r="F319" t="s">
        <v>85</v>
      </c>
      <c r="G319" t="s">
        <v>111</v>
      </c>
      <c r="H319" t="s">
        <v>78</v>
      </c>
      <c r="I319" t="s">
        <v>102</v>
      </c>
      <c r="J319" t="s">
        <v>17</v>
      </c>
      <c r="K319" t="s">
        <v>728</v>
      </c>
      <c r="L319" t="s">
        <v>89</v>
      </c>
      <c r="M319" t="s">
        <v>318</v>
      </c>
      <c r="N319" t="s">
        <v>1371</v>
      </c>
      <c r="O319" t="s">
        <v>1372</v>
      </c>
      <c r="P319" t="s">
        <v>1373</v>
      </c>
      <c r="Q319" t="s">
        <v>102</v>
      </c>
      <c r="R319" t="s">
        <v>86</v>
      </c>
      <c r="S319" t="s">
        <v>732</v>
      </c>
      <c r="T319" t="s">
        <v>1368</v>
      </c>
      <c r="U319" t="s">
        <v>322</v>
      </c>
      <c r="V319" t="s">
        <v>82</v>
      </c>
      <c r="W319" t="s">
        <v>354</v>
      </c>
      <c r="X319" t="s">
        <v>96</v>
      </c>
      <c r="Y319" t="s">
        <v>82</v>
      </c>
      <c r="Z319" t="s">
        <v>78</v>
      </c>
    </row>
    <row r="320" spans="1:26" x14ac:dyDescent="0.25">
      <c r="A320" t="s">
        <v>1374</v>
      </c>
      <c r="B320" t="s">
        <v>1375</v>
      </c>
      <c r="C320" s="4" t="s">
        <v>1369</v>
      </c>
      <c r="D320" t="s">
        <v>1370</v>
      </c>
      <c r="E320" t="s">
        <v>14</v>
      </c>
      <c r="F320" t="s">
        <v>85</v>
      </c>
      <c r="G320" t="s">
        <v>111</v>
      </c>
      <c r="H320" t="s">
        <v>78</v>
      </c>
      <c r="I320" t="s">
        <v>102</v>
      </c>
      <c r="J320" t="s">
        <v>24</v>
      </c>
      <c r="K320" t="s">
        <v>1376</v>
      </c>
      <c r="L320" t="s">
        <v>89</v>
      </c>
      <c r="M320" t="s">
        <v>318</v>
      </c>
      <c r="N320" t="s">
        <v>1371</v>
      </c>
      <c r="O320" t="s">
        <v>1377</v>
      </c>
      <c r="P320" t="s">
        <v>1378</v>
      </c>
      <c r="Q320" t="s">
        <v>102</v>
      </c>
      <c r="R320" t="s">
        <v>86</v>
      </c>
      <c r="S320" t="s">
        <v>1379</v>
      </c>
      <c r="T320" t="s">
        <v>1375</v>
      </c>
      <c r="U320" t="s">
        <v>322</v>
      </c>
      <c r="V320" t="s">
        <v>82</v>
      </c>
      <c r="W320" t="s">
        <v>354</v>
      </c>
      <c r="X320" t="s">
        <v>96</v>
      </c>
      <c r="Y320" t="s">
        <v>82</v>
      </c>
      <c r="Z320" t="s">
        <v>78</v>
      </c>
    </row>
    <row r="321" spans="1:26" x14ac:dyDescent="0.25">
      <c r="A321" t="s">
        <v>1380</v>
      </c>
      <c r="B321" t="s">
        <v>1381</v>
      </c>
      <c r="C321" s="4" t="s">
        <v>1369</v>
      </c>
      <c r="D321" t="s">
        <v>1370</v>
      </c>
      <c r="E321" t="s">
        <v>14</v>
      </c>
      <c r="F321" t="s">
        <v>83</v>
      </c>
      <c r="G321" t="s">
        <v>84</v>
      </c>
      <c r="H321" t="s">
        <v>78</v>
      </c>
      <c r="I321" t="s">
        <v>111</v>
      </c>
      <c r="J321" t="s">
        <v>24</v>
      </c>
      <c r="K321" t="s">
        <v>979</v>
      </c>
      <c r="L321" t="s">
        <v>89</v>
      </c>
      <c r="M321" t="s">
        <v>318</v>
      </c>
      <c r="N321" t="s">
        <v>1237</v>
      </c>
      <c r="O321" t="s">
        <v>1382</v>
      </c>
      <c r="P321" t="s">
        <v>1383</v>
      </c>
      <c r="Q321" t="s">
        <v>102</v>
      </c>
      <c r="R321" t="s">
        <v>86</v>
      </c>
      <c r="S321" t="s">
        <v>1384</v>
      </c>
      <c r="T321" t="s">
        <v>1381</v>
      </c>
      <c r="U321" t="s">
        <v>322</v>
      </c>
      <c r="V321" t="s">
        <v>82</v>
      </c>
      <c r="W321" t="s">
        <v>1385</v>
      </c>
      <c r="X321" t="s">
        <v>96</v>
      </c>
      <c r="Y321" t="s">
        <v>82</v>
      </c>
      <c r="Z321" t="s">
        <v>78</v>
      </c>
    </row>
    <row r="322" spans="1:26" x14ac:dyDescent="0.25">
      <c r="A322" t="s">
        <v>1386</v>
      </c>
      <c r="B322" t="s">
        <v>1387</v>
      </c>
      <c r="C322" s="4" t="s">
        <v>1369</v>
      </c>
      <c r="D322" t="s">
        <v>1370</v>
      </c>
      <c r="E322" t="s">
        <v>14</v>
      </c>
      <c r="F322" t="s">
        <v>83</v>
      </c>
      <c r="G322" t="s">
        <v>84</v>
      </c>
      <c r="H322" t="s">
        <v>78</v>
      </c>
      <c r="I322" t="s">
        <v>111</v>
      </c>
      <c r="J322" t="s">
        <v>17</v>
      </c>
      <c r="K322" t="s">
        <v>979</v>
      </c>
      <c r="L322" t="s">
        <v>89</v>
      </c>
      <c r="M322" t="s">
        <v>318</v>
      </c>
      <c r="N322" t="s">
        <v>1237</v>
      </c>
      <c r="O322" t="s">
        <v>1382</v>
      </c>
      <c r="P322" t="s">
        <v>1388</v>
      </c>
      <c r="Q322" t="s">
        <v>102</v>
      </c>
      <c r="R322" t="s">
        <v>86</v>
      </c>
      <c r="S322" t="s">
        <v>1384</v>
      </c>
      <c r="T322" t="s">
        <v>1387</v>
      </c>
      <c r="U322" t="s">
        <v>322</v>
      </c>
      <c r="V322" t="s">
        <v>82</v>
      </c>
      <c r="W322" t="s">
        <v>1385</v>
      </c>
      <c r="X322" t="s">
        <v>96</v>
      </c>
      <c r="Y322" t="s">
        <v>82</v>
      </c>
      <c r="Z322" t="s">
        <v>78</v>
      </c>
    </row>
    <row r="323" spans="1:26" x14ac:dyDescent="0.25">
      <c r="A323" t="s">
        <v>1389</v>
      </c>
      <c r="B323" t="s">
        <v>1390</v>
      </c>
      <c r="C323" s="4" t="s">
        <v>1369</v>
      </c>
      <c r="D323" t="s">
        <v>1370</v>
      </c>
      <c r="E323" t="s">
        <v>23</v>
      </c>
      <c r="F323" t="s">
        <v>83</v>
      </c>
      <c r="G323" t="s">
        <v>180</v>
      </c>
      <c r="H323" t="s">
        <v>83</v>
      </c>
      <c r="I323" t="s">
        <v>102</v>
      </c>
      <c r="J323" t="s">
        <v>17</v>
      </c>
      <c r="K323" t="s">
        <v>676</v>
      </c>
      <c r="L323" t="s">
        <v>89</v>
      </c>
      <c r="M323" t="s">
        <v>318</v>
      </c>
      <c r="N323" t="s">
        <v>1161</v>
      </c>
      <c r="O323" t="s">
        <v>1391</v>
      </c>
      <c r="P323" t="s">
        <v>1392</v>
      </c>
      <c r="Q323" t="s">
        <v>102</v>
      </c>
      <c r="R323" t="s">
        <v>86</v>
      </c>
      <c r="S323" t="s">
        <v>679</v>
      </c>
      <c r="T323" t="s">
        <v>1390</v>
      </c>
      <c r="U323" t="s">
        <v>322</v>
      </c>
      <c r="V323" t="s">
        <v>82</v>
      </c>
      <c r="W323" t="s">
        <v>1393</v>
      </c>
      <c r="X323" t="s">
        <v>96</v>
      </c>
      <c r="Y323" t="s">
        <v>82</v>
      </c>
      <c r="Z323" t="s">
        <v>78</v>
      </c>
    </row>
    <row r="324" spans="1:26" x14ac:dyDescent="0.25">
      <c r="A324" t="s">
        <v>1394</v>
      </c>
      <c r="B324" t="s">
        <v>1395</v>
      </c>
      <c r="C324" s="4" t="s">
        <v>1369</v>
      </c>
      <c r="D324" t="s">
        <v>1370</v>
      </c>
      <c r="E324" t="s">
        <v>23</v>
      </c>
      <c r="F324" t="s">
        <v>83</v>
      </c>
      <c r="G324" t="s">
        <v>180</v>
      </c>
      <c r="H324" t="s">
        <v>83</v>
      </c>
      <c r="I324" t="s">
        <v>102</v>
      </c>
      <c r="J324" t="s">
        <v>24</v>
      </c>
      <c r="K324" t="s">
        <v>676</v>
      </c>
      <c r="L324" t="s">
        <v>89</v>
      </c>
      <c r="M324" t="s">
        <v>318</v>
      </c>
      <c r="N324" t="s">
        <v>1161</v>
      </c>
      <c r="O324" t="s">
        <v>1391</v>
      </c>
      <c r="P324" t="s">
        <v>1396</v>
      </c>
      <c r="Q324" t="s">
        <v>102</v>
      </c>
      <c r="R324" t="s">
        <v>86</v>
      </c>
      <c r="S324" t="s">
        <v>679</v>
      </c>
      <c r="T324" t="s">
        <v>1395</v>
      </c>
      <c r="U324" t="s">
        <v>322</v>
      </c>
      <c r="V324" t="s">
        <v>82</v>
      </c>
      <c r="W324" t="s">
        <v>1393</v>
      </c>
      <c r="X324" t="s">
        <v>96</v>
      </c>
      <c r="Y324" t="s">
        <v>82</v>
      </c>
      <c r="Z324" t="s">
        <v>78</v>
      </c>
    </row>
    <row r="325" spans="1:26" x14ac:dyDescent="0.25">
      <c r="A325" t="s">
        <v>1060</v>
      </c>
      <c r="B325" t="s">
        <v>1397</v>
      </c>
      <c r="C325" s="4" t="s">
        <v>1369</v>
      </c>
      <c r="D325" t="s">
        <v>1370</v>
      </c>
      <c r="E325" t="s">
        <v>23</v>
      </c>
      <c r="F325" t="s">
        <v>83</v>
      </c>
      <c r="G325" t="s">
        <v>180</v>
      </c>
      <c r="H325" t="s">
        <v>83</v>
      </c>
      <c r="I325" t="s">
        <v>102</v>
      </c>
      <c r="J325" t="s">
        <v>1264</v>
      </c>
      <c r="K325" t="s">
        <v>1398</v>
      </c>
      <c r="L325" t="s">
        <v>89</v>
      </c>
      <c r="M325" t="s">
        <v>318</v>
      </c>
      <c r="N325" t="s">
        <v>1161</v>
      </c>
      <c r="O325" t="s">
        <v>1399</v>
      </c>
      <c r="P325" t="s">
        <v>1400</v>
      </c>
      <c r="Q325" t="s">
        <v>102</v>
      </c>
      <c r="R325" t="s">
        <v>86</v>
      </c>
      <c r="S325" t="s">
        <v>1401</v>
      </c>
      <c r="T325" t="s">
        <v>1397</v>
      </c>
      <c r="U325" t="s">
        <v>322</v>
      </c>
      <c r="V325" t="s">
        <v>82</v>
      </c>
      <c r="W325" t="s">
        <v>1402</v>
      </c>
      <c r="X325" t="s">
        <v>96</v>
      </c>
      <c r="Y325" t="s">
        <v>82</v>
      </c>
      <c r="Z325" t="s">
        <v>78</v>
      </c>
    </row>
    <row r="326" spans="1:26" x14ac:dyDescent="0.25">
      <c r="A326" t="s">
        <v>1403</v>
      </c>
      <c r="B326" t="s">
        <v>1404</v>
      </c>
      <c r="C326" s="4" t="s">
        <v>1369</v>
      </c>
      <c r="D326" t="s">
        <v>1370</v>
      </c>
      <c r="E326" t="s">
        <v>23</v>
      </c>
      <c r="F326" t="s">
        <v>83</v>
      </c>
      <c r="G326" t="s">
        <v>180</v>
      </c>
      <c r="H326" t="s">
        <v>83</v>
      </c>
      <c r="I326" t="s">
        <v>102</v>
      </c>
      <c r="J326" t="s">
        <v>15</v>
      </c>
      <c r="K326" t="s">
        <v>1398</v>
      </c>
      <c r="L326" t="s">
        <v>89</v>
      </c>
      <c r="M326" t="s">
        <v>318</v>
      </c>
      <c r="N326" t="s">
        <v>1161</v>
      </c>
      <c r="O326" t="s">
        <v>1399</v>
      </c>
      <c r="P326" t="s">
        <v>1405</v>
      </c>
      <c r="Q326" t="s">
        <v>102</v>
      </c>
      <c r="R326" t="s">
        <v>86</v>
      </c>
      <c r="S326" t="s">
        <v>1401</v>
      </c>
      <c r="T326" t="s">
        <v>1404</v>
      </c>
      <c r="U326" t="s">
        <v>322</v>
      </c>
      <c r="V326" t="s">
        <v>82</v>
      </c>
      <c r="W326" t="s">
        <v>1402</v>
      </c>
      <c r="X326" t="s">
        <v>96</v>
      </c>
      <c r="Y326" t="s">
        <v>82</v>
      </c>
      <c r="Z326" t="s">
        <v>78</v>
      </c>
    </row>
    <row r="327" spans="1:26" x14ac:dyDescent="0.25">
      <c r="A327" t="s">
        <v>1406</v>
      </c>
      <c r="B327" t="s">
        <v>1407</v>
      </c>
      <c r="C327" s="4" t="s">
        <v>1369</v>
      </c>
      <c r="D327" t="s">
        <v>1370</v>
      </c>
      <c r="E327" t="s">
        <v>14</v>
      </c>
      <c r="F327" t="s">
        <v>85</v>
      </c>
      <c r="G327" t="s">
        <v>111</v>
      </c>
      <c r="H327" t="s">
        <v>78</v>
      </c>
      <c r="I327" t="s">
        <v>102</v>
      </c>
      <c r="J327" t="s">
        <v>15</v>
      </c>
      <c r="K327" t="s">
        <v>1408</v>
      </c>
      <c r="L327" t="s">
        <v>89</v>
      </c>
      <c r="M327" t="s">
        <v>318</v>
      </c>
      <c r="N327" t="s">
        <v>1371</v>
      </c>
      <c r="O327" t="s">
        <v>1409</v>
      </c>
      <c r="P327" t="s">
        <v>1409</v>
      </c>
      <c r="Q327" t="s">
        <v>102</v>
      </c>
      <c r="R327" t="s">
        <v>86</v>
      </c>
      <c r="S327" t="s">
        <v>1410</v>
      </c>
      <c r="T327" t="s">
        <v>1407</v>
      </c>
      <c r="U327" t="s">
        <v>322</v>
      </c>
      <c r="V327" t="s">
        <v>82</v>
      </c>
      <c r="W327" t="s">
        <v>354</v>
      </c>
      <c r="X327" t="s">
        <v>96</v>
      </c>
      <c r="Y327" t="s">
        <v>82</v>
      </c>
      <c r="Z327" t="s">
        <v>78</v>
      </c>
    </row>
    <row r="328" spans="1:26" x14ac:dyDescent="0.25">
      <c r="A328" t="s">
        <v>1000</v>
      </c>
      <c r="B328" t="s">
        <v>1411</v>
      </c>
      <c r="C328" s="4" t="s">
        <v>1369</v>
      </c>
      <c r="D328" t="s">
        <v>1370</v>
      </c>
      <c r="E328" t="s">
        <v>14</v>
      </c>
      <c r="F328" t="s">
        <v>85</v>
      </c>
      <c r="G328" t="s">
        <v>111</v>
      </c>
      <c r="H328" t="s">
        <v>78</v>
      </c>
      <c r="I328" t="s">
        <v>102</v>
      </c>
      <c r="J328" t="s">
        <v>1264</v>
      </c>
      <c r="K328" t="s">
        <v>1408</v>
      </c>
      <c r="L328" t="s">
        <v>89</v>
      </c>
      <c r="M328" t="s">
        <v>318</v>
      </c>
      <c r="N328" t="s">
        <v>1371</v>
      </c>
      <c r="O328" t="s">
        <v>1412</v>
      </c>
      <c r="P328" t="s">
        <v>1412</v>
      </c>
      <c r="Q328" t="s">
        <v>102</v>
      </c>
      <c r="R328" t="s">
        <v>86</v>
      </c>
      <c r="S328" t="s">
        <v>1410</v>
      </c>
      <c r="T328" t="s">
        <v>1411</v>
      </c>
      <c r="U328" t="s">
        <v>322</v>
      </c>
      <c r="V328" t="s">
        <v>82</v>
      </c>
      <c r="W328" t="s">
        <v>354</v>
      </c>
      <c r="X328" t="s">
        <v>96</v>
      </c>
      <c r="Y328" t="s">
        <v>82</v>
      </c>
      <c r="Z328" t="s">
        <v>78</v>
      </c>
    </row>
    <row r="329" spans="1:26" x14ac:dyDescent="0.25">
      <c r="A329" t="s">
        <v>1133</v>
      </c>
      <c r="B329" t="s">
        <v>1413</v>
      </c>
      <c r="C329" s="4" t="s">
        <v>1369</v>
      </c>
      <c r="D329" t="s">
        <v>1370</v>
      </c>
      <c r="E329" t="s">
        <v>14</v>
      </c>
      <c r="F329" t="s">
        <v>83</v>
      </c>
      <c r="G329" t="s">
        <v>84</v>
      </c>
      <c r="H329" t="s">
        <v>78</v>
      </c>
      <c r="I329" t="s">
        <v>111</v>
      </c>
      <c r="J329" t="s">
        <v>1264</v>
      </c>
      <c r="K329" t="s">
        <v>1414</v>
      </c>
      <c r="L329" t="s">
        <v>89</v>
      </c>
      <c r="M329" t="s">
        <v>318</v>
      </c>
      <c r="N329" t="s">
        <v>1237</v>
      </c>
      <c r="O329" t="s">
        <v>1415</v>
      </c>
      <c r="P329" t="s">
        <v>1415</v>
      </c>
      <c r="Q329" t="s">
        <v>102</v>
      </c>
      <c r="R329" t="s">
        <v>86</v>
      </c>
      <c r="S329" t="s">
        <v>1416</v>
      </c>
      <c r="T329" t="s">
        <v>1413</v>
      </c>
      <c r="U329" t="s">
        <v>322</v>
      </c>
      <c r="V329" t="s">
        <v>82</v>
      </c>
      <c r="W329" t="s">
        <v>1417</v>
      </c>
      <c r="X329" t="s">
        <v>96</v>
      </c>
      <c r="Y329" t="s">
        <v>82</v>
      </c>
      <c r="Z329" t="s">
        <v>78</v>
      </c>
    </row>
    <row r="330" spans="1:26" x14ac:dyDescent="0.25">
      <c r="A330" t="s">
        <v>1418</v>
      </c>
      <c r="B330" t="s">
        <v>1419</v>
      </c>
      <c r="C330" s="4" t="s">
        <v>1369</v>
      </c>
      <c r="D330" t="s">
        <v>1370</v>
      </c>
      <c r="E330" t="s">
        <v>14</v>
      </c>
      <c r="F330" t="s">
        <v>83</v>
      </c>
      <c r="G330" t="s">
        <v>84</v>
      </c>
      <c r="H330" t="s">
        <v>78</v>
      </c>
      <c r="I330" t="s">
        <v>111</v>
      </c>
      <c r="J330" t="s">
        <v>15</v>
      </c>
      <c r="K330" t="s">
        <v>1414</v>
      </c>
      <c r="L330" t="s">
        <v>89</v>
      </c>
      <c r="M330" t="s">
        <v>318</v>
      </c>
      <c r="N330" t="s">
        <v>1237</v>
      </c>
      <c r="O330" t="s">
        <v>1415</v>
      </c>
      <c r="P330" t="s">
        <v>1415</v>
      </c>
      <c r="Q330" t="s">
        <v>102</v>
      </c>
      <c r="R330" t="s">
        <v>86</v>
      </c>
      <c r="S330" t="s">
        <v>1416</v>
      </c>
      <c r="T330" t="s">
        <v>1419</v>
      </c>
      <c r="U330" t="s">
        <v>322</v>
      </c>
      <c r="V330" t="s">
        <v>82</v>
      </c>
      <c r="W330" t="s">
        <v>1417</v>
      </c>
      <c r="X330" t="s">
        <v>96</v>
      </c>
      <c r="Y330" t="s">
        <v>82</v>
      </c>
      <c r="Z330" t="s">
        <v>78</v>
      </c>
    </row>
    <row r="331" spans="1:26" x14ac:dyDescent="0.25">
      <c r="A331" t="s">
        <v>1281</v>
      </c>
      <c r="B331" t="s">
        <v>1420</v>
      </c>
      <c r="C331" s="4" t="s">
        <v>1421</v>
      </c>
      <c r="D331" t="s">
        <v>1312</v>
      </c>
      <c r="E331" t="s">
        <v>14</v>
      </c>
      <c r="F331" t="s">
        <v>78</v>
      </c>
      <c r="G331" t="s">
        <v>102</v>
      </c>
      <c r="H331" t="s">
        <v>78</v>
      </c>
      <c r="I331" t="s">
        <v>102</v>
      </c>
      <c r="J331" t="s">
        <v>15</v>
      </c>
      <c r="K331" t="s">
        <v>1422</v>
      </c>
      <c r="L331" t="s">
        <v>89</v>
      </c>
      <c r="M331" t="s">
        <v>318</v>
      </c>
      <c r="N331" t="s">
        <v>1314</v>
      </c>
      <c r="O331" t="s">
        <v>1423</v>
      </c>
      <c r="P331" t="s">
        <v>1423</v>
      </c>
      <c r="Q331" t="s">
        <v>102</v>
      </c>
      <c r="R331" t="s">
        <v>86</v>
      </c>
      <c r="S331" t="s">
        <v>1424</v>
      </c>
      <c r="T331" t="s">
        <v>1420</v>
      </c>
      <c r="U331" t="s">
        <v>322</v>
      </c>
      <c r="V331" t="s">
        <v>82</v>
      </c>
      <c r="W331" t="s">
        <v>639</v>
      </c>
      <c r="X331" t="s">
        <v>96</v>
      </c>
      <c r="Y331" t="s">
        <v>82</v>
      </c>
      <c r="Z331" t="s">
        <v>78</v>
      </c>
    </row>
    <row r="332" spans="1:26" x14ac:dyDescent="0.25">
      <c r="A332" t="s">
        <v>1425</v>
      </c>
      <c r="B332" t="s">
        <v>1426</v>
      </c>
      <c r="C332" s="4" t="s">
        <v>1421</v>
      </c>
      <c r="D332" t="s">
        <v>1312</v>
      </c>
      <c r="E332" t="s">
        <v>14</v>
      </c>
      <c r="F332" t="s">
        <v>78</v>
      </c>
      <c r="G332" t="s">
        <v>102</v>
      </c>
      <c r="H332" t="s">
        <v>78</v>
      </c>
      <c r="I332" t="s">
        <v>102</v>
      </c>
      <c r="J332" t="s">
        <v>17</v>
      </c>
      <c r="K332" t="s">
        <v>1422</v>
      </c>
      <c r="L332" t="s">
        <v>89</v>
      </c>
      <c r="M332" t="s">
        <v>318</v>
      </c>
      <c r="N332" t="s">
        <v>1314</v>
      </c>
      <c r="O332" t="s">
        <v>1423</v>
      </c>
      <c r="P332" t="s">
        <v>1423</v>
      </c>
      <c r="Q332" t="s">
        <v>102</v>
      </c>
      <c r="R332" t="s">
        <v>86</v>
      </c>
      <c r="S332" t="s">
        <v>1424</v>
      </c>
      <c r="T332" t="s">
        <v>1426</v>
      </c>
      <c r="U332" t="s">
        <v>322</v>
      </c>
      <c r="V332" t="s">
        <v>82</v>
      </c>
      <c r="W332" t="s">
        <v>639</v>
      </c>
      <c r="X332" t="s">
        <v>96</v>
      </c>
      <c r="Y332" t="s">
        <v>82</v>
      </c>
      <c r="Z332" t="s">
        <v>78</v>
      </c>
    </row>
    <row r="333" spans="1:26" x14ac:dyDescent="0.25">
      <c r="A333" t="s">
        <v>1427</v>
      </c>
      <c r="B333" t="s">
        <v>1428</v>
      </c>
      <c r="C333" s="4" t="s">
        <v>1421</v>
      </c>
      <c r="D333" t="s">
        <v>1312</v>
      </c>
      <c r="E333" t="s">
        <v>14</v>
      </c>
      <c r="F333" t="s">
        <v>78</v>
      </c>
      <c r="G333" t="s">
        <v>102</v>
      </c>
      <c r="H333" t="s">
        <v>78</v>
      </c>
      <c r="I333" t="s">
        <v>102</v>
      </c>
      <c r="J333" t="s">
        <v>1264</v>
      </c>
      <c r="K333" t="s">
        <v>1422</v>
      </c>
      <c r="L333" t="s">
        <v>89</v>
      </c>
      <c r="M333" t="s">
        <v>318</v>
      </c>
      <c r="N333" t="s">
        <v>1314</v>
      </c>
      <c r="O333" t="s">
        <v>1429</v>
      </c>
      <c r="P333" t="s">
        <v>1429</v>
      </c>
      <c r="Q333" t="s">
        <v>102</v>
      </c>
      <c r="R333" t="s">
        <v>86</v>
      </c>
      <c r="S333" t="s">
        <v>1424</v>
      </c>
      <c r="T333" t="s">
        <v>1428</v>
      </c>
      <c r="U333" t="s">
        <v>322</v>
      </c>
      <c r="V333" t="s">
        <v>82</v>
      </c>
      <c r="W333" t="s">
        <v>639</v>
      </c>
      <c r="X333" t="s">
        <v>96</v>
      </c>
      <c r="Y333" t="s">
        <v>82</v>
      </c>
      <c r="Z333" t="s">
        <v>78</v>
      </c>
    </row>
    <row r="334" spans="1:26" x14ac:dyDescent="0.25">
      <c r="A334" t="s">
        <v>1430</v>
      </c>
      <c r="B334" t="s">
        <v>1431</v>
      </c>
      <c r="C334" s="4" t="s">
        <v>1421</v>
      </c>
      <c r="D334" t="s">
        <v>1312</v>
      </c>
      <c r="E334" t="s">
        <v>14</v>
      </c>
      <c r="F334" t="s">
        <v>111</v>
      </c>
      <c r="G334" t="s">
        <v>124</v>
      </c>
      <c r="H334" t="s">
        <v>78</v>
      </c>
      <c r="I334" t="s">
        <v>102</v>
      </c>
      <c r="J334" t="s">
        <v>1264</v>
      </c>
      <c r="K334" t="s">
        <v>1327</v>
      </c>
      <c r="L334" t="s">
        <v>89</v>
      </c>
      <c r="M334" t="s">
        <v>318</v>
      </c>
      <c r="N334" t="s">
        <v>1432</v>
      </c>
      <c r="O334" t="s">
        <v>1433</v>
      </c>
      <c r="P334" t="s">
        <v>1433</v>
      </c>
      <c r="Q334" t="s">
        <v>102</v>
      </c>
      <c r="R334" t="s">
        <v>86</v>
      </c>
      <c r="S334" t="s">
        <v>1329</v>
      </c>
      <c r="T334" t="s">
        <v>1431</v>
      </c>
      <c r="U334" t="s">
        <v>322</v>
      </c>
      <c r="V334" t="s">
        <v>82</v>
      </c>
      <c r="W334" t="s">
        <v>1434</v>
      </c>
      <c r="X334" t="s">
        <v>96</v>
      </c>
      <c r="Y334" t="s">
        <v>82</v>
      </c>
      <c r="Z334" t="s">
        <v>78</v>
      </c>
    </row>
    <row r="335" spans="1:26" x14ac:dyDescent="0.25">
      <c r="A335" t="s">
        <v>1435</v>
      </c>
      <c r="B335" t="s">
        <v>1436</v>
      </c>
      <c r="C335" s="4" t="s">
        <v>1421</v>
      </c>
      <c r="D335" t="s">
        <v>1312</v>
      </c>
      <c r="E335" t="s">
        <v>14</v>
      </c>
      <c r="F335" t="s">
        <v>111</v>
      </c>
      <c r="G335" t="s">
        <v>124</v>
      </c>
      <c r="H335" t="s">
        <v>78</v>
      </c>
      <c r="I335" t="s">
        <v>102</v>
      </c>
      <c r="J335" t="s">
        <v>17</v>
      </c>
      <c r="K335" t="s">
        <v>1327</v>
      </c>
      <c r="L335" t="s">
        <v>89</v>
      </c>
      <c r="M335" t="s">
        <v>318</v>
      </c>
      <c r="N335" t="s">
        <v>1432</v>
      </c>
      <c r="O335" t="s">
        <v>1437</v>
      </c>
      <c r="P335" t="s">
        <v>1437</v>
      </c>
      <c r="Q335" t="s">
        <v>102</v>
      </c>
      <c r="R335" t="s">
        <v>86</v>
      </c>
      <c r="S335" t="s">
        <v>1329</v>
      </c>
      <c r="T335" t="s">
        <v>1436</v>
      </c>
      <c r="U335" t="s">
        <v>322</v>
      </c>
      <c r="V335" t="s">
        <v>82</v>
      </c>
      <c r="W335" t="s">
        <v>1434</v>
      </c>
      <c r="X335" t="s">
        <v>96</v>
      </c>
      <c r="Y335" t="s">
        <v>82</v>
      </c>
      <c r="Z335" t="s">
        <v>78</v>
      </c>
    </row>
    <row r="336" spans="1:26" x14ac:dyDescent="0.25">
      <c r="A336" t="s">
        <v>1438</v>
      </c>
      <c r="B336" t="s">
        <v>1439</v>
      </c>
      <c r="C336" s="4" t="s">
        <v>1421</v>
      </c>
      <c r="D336" t="s">
        <v>1312</v>
      </c>
      <c r="E336" t="s">
        <v>14</v>
      </c>
      <c r="F336" t="s">
        <v>111</v>
      </c>
      <c r="G336" t="s">
        <v>124</v>
      </c>
      <c r="H336" t="s">
        <v>78</v>
      </c>
      <c r="I336" t="s">
        <v>102</v>
      </c>
      <c r="J336" t="s">
        <v>15</v>
      </c>
      <c r="K336" t="s">
        <v>1327</v>
      </c>
      <c r="L336" t="s">
        <v>89</v>
      </c>
      <c r="M336" t="s">
        <v>318</v>
      </c>
      <c r="N336" t="s">
        <v>1432</v>
      </c>
      <c r="O336" t="s">
        <v>1437</v>
      </c>
      <c r="P336" t="s">
        <v>1437</v>
      </c>
      <c r="Q336" t="s">
        <v>102</v>
      </c>
      <c r="R336" t="s">
        <v>86</v>
      </c>
      <c r="S336" t="s">
        <v>1329</v>
      </c>
      <c r="T336" t="s">
        <v>1439</v>
      </c>
      <c r="U336" t="s">
        <v>322</v>
      </c>
      <c r="V336" t="s">
        <v>82</v>
      </c>
      <c r="W336" t="s">
        <v>1434</v>
      </c>
      <c r="X336" t="s">
        <v>96</v>
      </c>
      <c r="Y336" t="s">
        <v>82</v>
      </c>
      <c r="Z336" t="s">
        <v>78</v>
      </c>
    </row>
    <row r="337" spans="1:26" x14ac:dyDescent="0.25">
      <c r="A337" t="s">
        <v>1440</v>
      </c>
      <c r="B337" t="s">
        <v>1441</v>
      </c>
      <c r="C337" s="4" t="s">
        <v>1421</v>
      </c>
      <c r="D337" t="s">
        <v>1312</v>
      </c>
      <c r="E337" t="s">
        <v>14</v>
      </c>
      <c r="F337" t="s">
        <v>128</v>
      </c>
      <c r="G337" t="s">
        <v>105</v>
      </c>
      <c r="H337" t="s">
        <v>78</v>
      </c>
      <c r="I337" t="s">
        <v>102</v>
      </c>
      <c r="J337" t="s">
        <v>15</v>
      </c>
      <c r="K337" t="s">
        <v>1339</v>
      </c>
      <c r="L337" t="s">
        <v>89</v>
      </c>
      <c r="M337" t="s">
        <v>318</v>
      </c>
      <c r="N337" t="s">
        <v>1340</v>
      </c>
      <c r="O337" t="s">
        <v>1442</v>
      </c>
      <c r="P337" t="s">
        <v>1442</v>
      </c>
      <c r="Q337" t="s">
        <v>102</v>
      </c>
      <c r="R337" t="s">
        <v>86</v>
      </c>
      <c r="S337" t="s">
        <v>1343</v>
      </c>
      <c r="T337" t="s">
        <v>1441</v>
      </c>
      <c r="U337" t="s">
        <v>322</v>
      </c>
      <c r="V337" t="s">
        <v>82</v>
      </c>
      <c r="W337" t="s">
        <v>1443</v>
      </c>
      <c r="X337" t="s">
        <v>96</v>
      </c>
      <c r="Y337" t="s">
        <v>82</v>
      </c>
      <c r="Z337" t="s">
        <v>78</v>
      </c>
    </row>
    <row r="338" spans="1:26" x14ac:dyDescent="0.25">
      <c r="A338" t="s">
        <v>1444</v>
      </c>
      <c r="B338" t="s">
        <v>1445</v>
      </c>
      <c r="C338" s="4" t="s">
        <v>1421</v>
      </c>
      <c r="D338" t="s">
        <v>1312</v>
      </c>
      <c r="E338" t="s">
        <v>14</v>
      </c>
      <c r="F338" t="s">
        <v>128</v>
      </c>
      <c r="G338" t="s">
        <v>105</v>
      </c>
      <c r="H338" t="s">
        <v>78</v>
      </c>
      <c r="I338" t="s">
        <v>102</v>
      </c>
      <c r="J338" t="s">
        <v>1264</v>
      </c>
      <c r="K338" t="s">
        <v>1339</v>
      </c>
      <c r="L338" t="s">
        <v>89</v>
      </c>
      <c r="M338" t="s">
        <v>318</v>
      </c>
      <c r="N338" t="s">
        <v>1340</v>
      </c>
      <c r="O338" t="s">
        <v>1442</v>
      </c>
      <c r="P338" t="s">
        <v>1442</v>
      </c>
      <c r="Q338" t="s">
        <v>102</v>
      </c>
      <c r="R338" t="s">
        <v>86</v>
      </c>
      <c r="S338" t="s">
        <v>1343</v>
      </c>
      <c r="T338" t="s">
        <v>1445</v>
      </c>
      <c r="U338" t="s">
        <v>322</v>
      </c>
      <c r="V338" t="s">
        <v>82</v>
      </c>
      <c r="W338" t="s">
        <v>1443</v>
      </c>
      <c r="X338" t="s">
        <v>96</v>
      </c>
      <c r="Y338" t="s">
        <v>82</v>
      </c>
      <c r="Z338" t="s">
        <v>78</v>
      </c>
    </row>
    <row r="339" spans="1:26" x14ac:dyDescent="0.25">
      <c r="A339" t="s">
        <v>1446</v>
      </c>
      <c r="B339" t="s">
        <v>1447</v>
      </c>
      <c r="C339" s="4" t="s">
        <v>1421</v>
      </c>
      <c r="D339" t="s">
        <v>1312</v>
      </c>
      <c r="E339" t="s">
        <v>14</v>
      </c>
      <c r="F339" t="s">
        <v>128</v>
      </c>
      <c r="G339" t="s">
        <v>105</v>
      </c>
      <c r="H339" t="s">
        <v>78</v>
      </c>
      <c r="I339" t="s">
        <v>102</v>
      </c>
      <c r="J339" t="s">
        <v>17</v>
      </c>
      <c r="K339" t="s">
        <v>1339</v>
      </c>
      <c r="L339" t="s">
        <v>89</v>
      </c>
      <c r="M339" t="s">
        <v>318</v>
      </c>
      <c r="N339" t="s">
        <v>1340</v>
      </c>
      <c r="O339" t="s">
        <v>1448</v>
      </c>
      <c r="P339" t="s">
        <v>1448</v>
      </c>
      <c r="Q339" t="s">
        <v>102</v>
      </c>
      <c r="R339" t="s">
        <v>86</v>
      </c>
      <c r="S339" t="s">
        <v>1343</v>
      </c>
      <c r="T339" t="s">
        <v>1447</v>
      </c>
      <c r="U339" t="s">
        <v>322</v>
      </c>
      <c r="V339" t="s">
        <v>82</v>
      </c>
      <c r="W339" t="s">
        <v>1443</v>
      </c>
      <c r="X339" t="s">
        <v>96</v>
      </c>
      <c r="Y339" t="s">
        <v>82</v>
      </c>
      <c r="Z339" t="s">
        <v>78</v>
      </c>
    </row>
    <row r="340" spans="1:26" x14ac:dyDescent="0.25">
      <c r="A340" t="s">
        <v>1449</v>
      </c>
      <c r="B340" t="s">
        <v>1450</v>
      </c>
      <c r="C340" s="4" t="s">
        <v>1421</v>
      </c>
      <c r="D340" t="s">
        <v>1312</v>
      </c>
      <c r="E340" t="s">
        <v>14</v>
      </c>
      <c r="F340" t="s">
        <v>143</v>
      </c>
      <c r="G340" t="s">
        <v>106</v>
      </c>
      <c r="H340" t="s">
        <v>78</v>
      </c>
      <c r="I340" t="s">
        <v>102</v>
      </c>
      <c r="J340" t="s">
        <v>17</v>
      </c>
      <c r="K340" t="s">
        <v>1357</v>
      </c>
      <c r="L340" t="s">
        <v>89</v>
      </c>
      <c r="M340" t="s">
        <v>318</v>
      </c>
      <c r="N340" t="s">
        <v>1358</v>
      </c>
      <c r="O340" t="s">
        <v>1451</v>
      </c>
      <c r="P340" t="s">
        <v>1451</v>
      </c>
      <c r="Q340" t="s">
        <v>102</v>
      </c>
      <c r="R340" t="s">
        <v>86</v>
      </c>
      <c r="S340" t="s">
        <v>636</v>
      </c>
      <c r="T340" t="s">
        <v>1450</v>
      </c>
      <c r="U340" t="s">
        <v>322</v>
      </c>
      <c r="V340" t="s">
        <v>82</v>
      </c>
      <c r="W340" t="s">
        <v>718</v>
      </c>
      <c r="X340" t="s">
        <v>96</v>
      </c>
      <c r="Y340" t="s">
        <v>82</v>
      </c>
      <c r="Z340" t="s">
        <v>78</v>
      </c>
    </row>
    <row r="341" spans="1:26" x14ac:dyDescent="0.25">
      <c r="A341" t="s">
        <v>1452</v>
      </c>
      <c r="B341" t="s">
        <v>1453</v>
      </c>
      <c r="C341" s="4" t="s">
        <v>1421</v>
      </c>
      <c r="D341" t="s">
        <v>1312</v>
      </c>
      <c r="E341" t="s">
        <v>14</v>
      </c>
      <c r="F341" t="s">
        <v>143</v>
      </c>
      <c r="G341" t="s">
        <v>106</v>
      </c>
      <c r="H341" t="s">
        <v>78</v>
      </c>
      <c r="I341" t="s">
        <v>102</v>
      </c>
      <c r="J341" t="s">
        <v>15</v>
      </c>
      <c r="K341" t="s">
        <v>1357</v>
      </c>
      <c r="L341" t="s">
        <v>89</v>
      </c>
      <c r="M341" t="s">
        <v>318</v>
      </c>
      <c r="N341" t="s">
        <v>1358</v>
      </c>
      <c r="O341" t="s">
        <v>1454</v>
      </c>
      <c r="P341" t="s">
        <v>1454</v>
      </c>
      <c r="Q341" t="s">
        <v>102</v>
      </c>
      <c r="R341" t="s">
        <v>86</v>
      </c>
      <c r="S341" t="s">
        <v>636</v>
      </c>
      <c r="T341" t="s">
        <v>1453</v>
      </c>
      <c r="U341" t="s">
        <v>322</v>
      </c>
      <c r="V341" t="s">
        <v>82</v>
      </c>
      <c r="W341" t="s">
        <v>718</v>
      </c>
      <c r="X341" t="s">
        <v>96</v>
      </c>
      <c r="Y341" t="s">
        <v>82</v>
      </c>
      <c r="Z341" t="s">
        <v>78</v>
      </c>
    </row>
    <row r="342" spans="1:26" x14ac:dyDescent="0.25">
      <c r="A342" t="s">
        <v>1455</v>
      </c>
      <c r="B342" t="s">
        <v>1456</v>
      </c>
      <c r="C342" s="4" t="s">
        <v>1421</v>
      </c>
      <c r="D342" t="s">
        <v>1312</v>
      </c>
      <c r="E342" t="s">
        <v>14</v>
      </c>
      <c r="F342" t="s">
        <v>143</v>
      </c>
      <c r="G342" t="s">
        <v>106</v>
      </c>
      <c r="H342" t="s">
        <v>78</v>
      </c>
      <c r="I342" t="s">
        <v>102</v>
      </c>
      <c r="J342" t="s">
        <v>1264</v>
      </c>
      <c r="K342" t="s">
        <v>1357</v>
      </c>
      <c r="L342" t="s">
        <v>89</v>
      </c>
      <c r="M342" t="s">
        <v>318</v>
      </c>
      <c r="N342" t="s">
        <v>1358</v>
      </c>
      <c r="O342" t="s">
        <v>1454</v>
      </c>
      <c r="P342" t="s">
        <v>1454</v>
      </c>
      <c r="Q342" t="s">
        <v>102</v>
      </c>
      <c r="R342" t="s">
        <v>86</v>
      </c>
      <c r="S342" t="s">
        <v>636</v>
      </c>
      <c r="T342" t="s">
        <v>1456</v>
      </c>
      <c r="U342" t="s">
        <v>322</v>
      </c>
      <c r="V342" t="s">
        <v>82</v>
      </c>
      <c r="W342" t="s">
        <v>718</v>
      </c>
      <c r="X342" t="s">
        <v>96</v>
      </c>
      <c r="Y342" t="s">
        <v>82</v>
      </c>
      <c r="Z342" t="s">
        <v>78</v>
      </c>
    </row>
    <row r="343" spans="1:26" x14ac:dyDescent="0.25">
      <c r="A343" t="s">
        <v>1457</v>
      </c>
      <c r="B343" t="s">
        <v>1458</v>
      </c>
      <c r="C343" s="4" t="s">
        <v>1459</v>
      </c>
      <c r="D343" t="s">
        <v>1460</v>
      </c>
      <c r="E343" t="s">
        <v>14</v>
      </c>
      <c r="F343" t="s">
        <v>85</v>
      </c>
      <c r="G343" t="s">
        <v>111</v>
      </c>
      <c r="H343" t="s">
        <v>78</v>
      </c>
      <c r="I343" t="s">
        <v>102</v>
      </c>
      <c r="J343" t="s">
        <v>1461</v>
      </c>
      <c r="K343" t="s">
        <v>604</v>
      </c>
      <c r="L343" t="s">
        <v>89</v>
      </c>
      <c r="M343" t="s">
        <v>318</v>
      </c>
      <c r="N343" t="s">
        <v>1462</v>
      </c>
      <c r="O343" t="s">
        <v>1463</v>
      </c>
      <c r="P343" t="s">
        <v>1464</v>
      </c>
      <c r="Q343" t="s">
        <v>102</v>
      </c>
      <c r="R343" t="s">
        <v>78</v>
      </c>
      <c r="S343" t="s">
        <v>1465</v>
      </c>
      <c r="T343" t="s">
        <v>1458</v>
      </c>
      <c r="U343" t="s">
        <v>322</v>
      </c>
      <c r="V343" t="s">
        <v>82</v>
      </c>
      <c r="W343" t="s">
        <v>1466</v>
      </c>
      <c r="X343" t="s">
        <v>96</v>
      </c>
      <c r="Y343" t="s">
        <v>82</v>
      </c>
      <c r="Z343" t="s">
        <v>134</v>
      </c>
    </row>
    <row r="344" spans="1:26" x14ac:dyDescent="0.25">
      <c r="A344" t="s">
        <v>1467</v>
      </c>
      <c r="B344" t="s">
        <v>1468</v>
      </c>
      <c r="C344" s="4" t="s">
        <v>1459</v>
      </c>
      <c r="D344" t="s">
        <v>1460</v>
      </c>
      <c r="E344" t="s">
        <v>14</v>
      </c>
      <c r="F344" t="s">
        <v>85</v>
      </c>
      <c r="G344" t="s">
        <v>111</v>
      </c>
      <c r="H344" t="s">
        <v>78</v>
      </c>
      <c r="I344" t="s">
        <v>102</v>
      </c>
      <c r="J344" t="s">
        <v>87</v>
      </c>
      <c r="K344" t="s">
        <v>604</v>
      </c>
      <c r="L344" t="s">
        <v>89</v>
      </c>
      <c r="M344" t="s">
        <v>318</v>
      </c>
      <c r="N344" t="s">
        <v>1462</v>
      </c>
      <c r="O344" t="s">
        <v>1463</v>
      </c>
      <c r="P344" t="s">
        <v>1469</v>
      </c>
      <c r="Q344" t="s">
        <v>102</v>
      </c>
      <c r="R344" t="s">
        <v>78</v>
      </c>
      <c r="S344" t="s">
        <v>1465</v>
      </c>
      <c r="T344" t="s">
        <v>1468</v>
      </c>
      <c r="U344" t="s">
        <v>322</v>
      </c>
      <c r="V344" t="s">
        <v>82</v>
      </c>
      <c r="W344" t="s">
        <v>1466</v>
      </c>
      <c r="X344" t="s">
        <v>96</v>
      </c>
      <c r="Y344" t="s">
        <v>82</v>
      </c>
      <c r="Z344" t="s">
        <v>134</v>
      </c>
    </row>
    <row r="345" spans="1:26" x14ac:dyDescent="0.25">
      <c r="A345" t="s">
        <v>1470</v>
      </c>
      <c r="B345" t="s">
        <v>1471</v>
      </c>
      <c r="C345" s="4" t="s">
        <v>1459</v>
      </c>
      <c r="D345" t="s">
        <v>1460</v>
      </c>
      <c r="E345" t="s">
        <v>14</v>
      </c>
      <c r="F345" t="s">
        <v>85</v>
      </c>
      <c r="G345" t="s">
        <v>111</v>
      </c>
      <c r="H345" t="s">
        <v>78</v>
      </c>
      <c r="I345" t="s">
        <v>102</v>
      </c>
      <c r="J345" t="s">
        <v>1472</v>
      </c>
      <c r="K345" t="s">
        <v>604</v>
      </c>
      <c r="L345" t="s">
        <v>89</v>
      </c>
      <c r="M345" t="s">
        <v>318</v>
      </c>
      <c r="N345" t="s">
        <v>1462</v>
      </c>
      <c r="O345" t="s">
        <v>1473</v>
      </c>
      <c r="P345" t="s">
        <v>1474</v>
      </c>
      <c r="Q345" t="s">
        <v>102</v>
      </c>
      <c r="R345" t="s">
        <v>78</v>
      </c>
      <c r="S345" t="s">
        <v>1465</v>
      </c>
      <c r="T345" t="s">
        <v>1471</v>
      </c>
      <c r="U345" t="s">
        <v>322</v>
      </c>
      <c r="V345" t="s">
        <v>82</v>
      </c>
      <c r="W345" t="s">
        <v>1466</v>
      </c>
      <c r="X345" t="s">
        <v>96</v>
      </c>
      <c r="Y345" t="s">
        <v>82</v>
      </c>
      <c r="Z345" t="s">
        <v>134</v>
      </c>
    </row>
    <row r="346" spans="1:26" x14ac:dyDescent="0.25">
      <c r="A346" t="s">
        <v>1475</v>
      </c>
      <c r="B346" t="s">
        <v>1476</v>
      </c>
      <c r="C346" s="4" t="s">
        <v>1459</v>
      </c>
      <c r="D346" t="s">
        <v>1460</v>
      </c>
      <c r="E346" t="s">
        <v>14</v>
      </c>
      <c r="F346" t="s">
        <v>85</v>
      </c>
      <c r="G346" t="s">
        <v>111</v>
      </c>
      <c r="H346" t="s">
        <v>78</v>
      </c>
      <c r="I346" t="s">
        <v>102</v>
      </c>
      <c r="J346" t="s">
        <v>1477</v>
      </c>
      <c r="K346" t="s">
        <v>604</v>
      </c>
      <c r="L346" t="s">
        <v>89</v>
      </c>
      <c r="M346" t="s">
        <v>318</v>
      </c>
      <c r="N346" t="s">
        <v>1462</v>
      </c>
      <c r="O346" t="s">
        <v>1473</v>
      </c>
      <c r="P346" t="s">
        <v>1478</v>
      </c>
      <c r="Q346" t="s">
        <v>102</v>
      </c>
      <c r="R346" t="s">
        <v>78</v>
      </c>
      <c r="S346" t="s">
        <v>1465</v>
      </c>
      <c r="T346" t="s">
        <v>1476</v>
      </c>
      <c r="U346" t="s">
        <v>322</v>
      </c>
      <c r="V346" t="s">
        <v>82</v>
      </c>
      <c r="W346" t="s">
        <v>1466</v>
      </c>
      <c r="X346" t="s">
        <v>96</v>
      </c>
      <c r="Y346" t="s">
        <v>82</v>
      </c>
      <c r="Z346" t="s">
        <v>134</v>
      </c>
    </row>
    <row r="347" spans="1:26" x14ac:dyDescent="0.25">
      <c r="A347" t="s">
        <v>1479</v>
      </c>
      <c r="B347" t="s">
        <v>1480</v>
      </c>
      <c r="C347" s="4" t="s">
        <v>1481</v>
      </c>
      <c r="D347" t="s">
        <v>1482</v>
      </c>
      <c r="E347" t="s">
        <v>14</v>
      </c>
      <c r="F347" t="s">
        <v>83</v>
      </c>
      <c r="G347" t="s">
        <v>105</v>
      </c>
      <c r="H347" t="s">
        <v>78</v>
      </c>
      <c r="I347" t="s">
        <v>102</v>
      </c>
      <c r="J347" t="s">
        <v>1477</v>
      </c>
      <c r="K347" t="s">
        <v>679</v>
      </c>
      <c r="L347" t="s">
        <v>89</v>
      </c>
      <c r="M347" t="s">
        <v>318</v>
      </c>
      <c r="N347" t="s">
        <v>1483</v>
      </c>
      <c r="O347" t="s">
        <v>1484</v>
      </c>
      <c r="P347" t="s">
        <v>1484</v>
      </c>
      <c r="Q347" t="s">
        <v>102</v>
      </c>
      <c r="R347" t="s">
        <v>78</v>
      </c>
      <c r="S347" t="s">
        <v>897</v>
      </c>
      <c r="T347" t="s">
        <v>1480</v>
      </c>
      <c r="U347" t="s">
        <v>322</v>
      </c>
      <c r="V347" t="s">
        <v>82</v>
      </c>
      <c r="W347" t="s">
        <v>1046</v>
      </c>
      <c r="X347" t="s">
        <v>96</v>
      </c>
      <c r="Y347" t="s">
        <v>82</v>
      </c>
      <c r="Z347" t="s">
        <v>134</v>
      </c>
    </row>
    <row r="348" spans="1:26" x14ac:dyDescent="0.25">
      <c r="A348" t="s">
        <v>1485</v>
      </c>
      <c r="B348" t="s">
        <v>1486</v>
      </c>
      <c r="C348" s="4" t="s">
        <v>1481</v>
      </c>
      <c r="D348" t="s">
        <v>1482</v>
      </c>
      <c r="E348" t="s">
        <v>14</v>
      </c>
      <c r="F348" t="s">
        <v>83</v>
      </c>
      <c r="G348" t="s">
        <v>105</v>
      </c>
      <c r="H348" t="s">
        <v>78</v>
      </c>
      <c r="I348" t="s">
        <v>102</v>
      </c>
      <c r="J348" t="s">
        <v>130</v>
      </c>
      <c r="K348" t="s">
        <v>679</v>
      </c>
      <c r="L348" t="s">
        <v>89</v>
      </c>
      <c r="M348" t="s">
        <v>318</v>
      </c>
      <c r="N348" t="s">
        <v>1483</v>
      </c>
      <c r="O348" t="s">
        <v>1484</v>
      </c>
      <c r="P348" t="s">
        <v>1484</v>
      </c>
      <c r="Q348" t="s">
        <v>102</v>
      </c>
      <c r="R348" t="s">
        <v>78</v>
      </c>
      <c r="S348" t="s">
        <v>897</v>
      </c>
      <c r="T348" t="s">
        <v>1486</v>
      </c>
      <c r="U348" t="s">
        <v>322</v>
      </c>
      <c r="V348" t="s">
        <v>82</v>
      </c>
      <c r="W348" t="s">
        <v>1046</v>
      </c>
      <c r="X348" t="s">
        <v>96</v>
      </c>
      <c r="Y348" t="s">
        <v>82</v>
      </c>
      <c r="Z348" t="s">
        <v>134</v>
      </c>
    </row>
    <row r="349" spans="1:26" x14ac:dyDescent="0.25">
      <c r="A349" t="s">
        <v>1487</v>
      </c>
      <c r="B349" t="s">
        <v>1488</v>
      </c>
      <c r="C349" s="4" t="s">
        <v>1481</v>
      </c>
      <c r="D349" t="s">
        <v>1482</v>
      </c>
      <c r="E349" t="s">
        <v>14</v>
      </c>
      <c r="F349" t="s">
        <v>83</v>
      </c>
      <c r="G349" t="s">
        <v>105</v>
      </c>
      <c r="H349" t="s">
        <v>78</v>
      </c>
      <c r="I349" t="s">
        <v>102</v>
      </c>
      <c r="J349" t="s">
        <v>87</v>
      </c>
      <c r="K349" t="s">
        <v>679</v>
      </c>
      <c r="L349" t="s">
        <v>89</v>
      </c>
      <c r="M349" t="s">
        <v>318</v>
      </c>
      <c r="N349" t="s">
        <v>1483</v>
      </c>
      <c r="O349" t="s">
        <v>1484</v>
      </c>
      <c r="P349" t="s">
        <v>1484</v>
      </c>
      <c r="Q349" t="s">
        <v>102</v>
      </c>
      <c r="R349" t="s">
        <v>78</v>
      </c>
      <c r="S349" t="s">
        <v>897</v>
      </c>
      <c r="T349" t="s">
        <v>1488</v>
      </c>
      <c r="U349" t="s">
        <v>322</v>
      </c>
      <c r="V349" t="s">
        <v>82</v>
      </c>
      <c r="W349" t="s">
        <v>1046</v>
      </c>
      <c r="X349" t="s">
        <v>96</v>
      </c>
      <c r="Y349" t="s">
        <v>82</v>
      </c>
      <c r="Z349" t="s">
        <v>134</v>
      </c>
    </row>
    <row r="350" spans="1:26" x14ac:dyDescent="0.25">
      <c r="A350" t="s">
        <v>1489</v>
      </c>
      <c r="B350" t="s">
        <v>1490</v>
      </c>
      <c r="C350" s="4" t="s">
        <v>1491</v>
      </c>
      <c r="D350" t="s">
        <v>1492</v>
      </c>
      <c r="E350" t="s">
        <v>14</v>
      </c>
      <c r="F350" t="s">
        <v>83</v>
      </c>
      <c r="G350" t="s">
        <v>105</v>
      </c>
      <c r="H350" t="s">
        <v>78</v>
      </c>
      <c r="I350" t="s">
        <v>102</v>
      </c>
      <c r="J350" t="s">
        <v>130</v>
      </c>
      <c r="K350" t="s">
        <v>1493</v>
      </c>
      <c r="L350" t="s">
        <v>89</v>
      </c>
      <c r="M350" t="s">
        <v>318</v>
      </c>
      <c r="N350" t="s">
        <v>1494</v>
      </c>
      <c r="O350" t="s">
        <v>1495</v>
      </c>
      <c r="P350" t="s">
        <v>1495</v>
      </c>
      <c r="Q350" t="s">
        <v>102</v>
      </c>
      <c r="R350" t="s">
        <v>78</v>
      </c>
      <c r="S350" t="s">
        <v>1496</v>
      </c>
      <c r="T350" t="s">
        <v>1490</v>
      </c>
      <c r="U350" t="s">
        <v>322</v>
      </c>
      <c r="V350" t="s">
        <v>82</v>
      </c>
      <c r="W350" t="s">
        <v>1497</v>
      </c>
      <c r="X350" t="s">
        <v>96</v>
      </c>
      <c r="Y350" t="s">
        <v>82</v>
      </c>
      <c r="Z350" t="s">
        <v>134</v>
      </c>
    </row>
    <row r="351" spans="1:26" x14ac:dyDescent="0.25">
      <c r="A351" t="s">
        <v>1498</v>
      </c>
      <c r="B351" t="s">
        <v>1499</v>
      </c>
      <c r="C351" s="4" t="s">
        <v>1491</v>
      </c>
      <c r="D351" t="s">
        <v>1492</v>
      </c>
      <c r="E351" t="s">
        <v>14</v>
      </c>
      <c r="F351" t="s">
        <v>83</v>
      </c>
      <c r="G351" t="s">
        <v>105</v>
      </c>
      <c r="H351" t="s">
        <v>78</v>
      </c>
      <c r="I351" t="s">
        <v>102</v>
      </c>
      <c r="J351" t="s">
        <v>17</v>
      </c>
      <c r="K351" t="s">
        <v>1493</v>
      </c>
      <c r="L351" t="s">
        <v>89</v>
      </c>
      <c r="M351" t="s">
        <v>318</v>
      </c>
      <c r="N351" t="s">
        <v>1494</v>
      </c>
      <c r="O351" t="s">
        <v>1495</v>
      </c>
      <c r="P351" t="s">
        <v>1495</v>
      </c>
      <c r="Q351" t="s">
        <v>102</v>
      </c>
      <c r="R351" t="s">
        <v>78</v>
      </c>
      <c r="S351" t="s">
        <v>1496</v>
      </c>
      <c r="T351" t="s">
        <v>1499</v>
      </c>
      <c r="U351" t="s">
        <v>322</v>
      </c>
      <c r="V351" t="s">
        <v>82</v>
      </c>
      <c r="W351" t="s">
        <v>1497</v>
      </c>
      <c r="X351" t="s">
        <v>96</v>
      </c>
      <c r="Y351" t="s">
        <v>82</v>
      </c>
      <c r="Z351" t="s">
        <v>134</v>
      </c>
    </row>
    <row r="352" spans="1:26" x14ac:dyDescent="0.25">
      <c r="A352" t="s">
        <v>1500</v>
      </c>
      <c r="B352" t="s">
        <v>1501</v>
      </c>
      <c r="C352" s="4" t="s">
        <v>1491</v>
      </c>
      <c r="D352" t="s">
        <v>1492</v>
      </c>
      <c r="E352" t="s">
        <v>14</v>
      </c>
      <c r="F352" t="s">
        <v>83</v>
      </c>
      <c r="G352" t="s">
        <v>105</v>
      </c>
      <c r="H352" t="s">
        <v>78</v>
      </c>
      <c r="I352" t="s">
        <v>102</v>
      </c>
      <c r="J352" t="s">
        <v>37</v>
      </c>
      <c r="K352" t="s">
        <v>1493</v>
      </c>
      <c r="L352" t="s">
        <v>89</v>
      </c>
      <c r="M352" t="s">
        <v>318</v>
      </c>
      <c r="N352" t="s">
        <v>1494</v>
      </c>
      <c r="O352" t="s">
        <v>1502</v>
      </c>
      <c r="P352" t="s">
        <v>1502</v>
      </c>
      <c r="Q352" t="s">
        <v>102</v>
      </c>
      <c r="R352" t="s">
        <v>78</v>
      </c>
      <c r="S352" t="s">
        <v>1496</v>
      </c>
      <c r="T352" t="s">
        <v>1501</v>
      </c>
      <c r="U352" t="s">
        <v>322</v>
      </c>
      <c r="V352" t="s">
        <v>82</v>
      </c>
      <c r="W352" t="s">
        <v>1497</v>
      </c>
      <c r="X352" t="s">
        <v>96</v>
      </c>
      <c r="Y352" t="s">
        <v>82</v>
      </c>
      <c r="Z352" t="s">
        <v>134</v>
      </c>
    </row>
    <row r="353" spans="1:26" x14ac:dyDescent="0.25">
      <c r="A353" t="s">
        <v>1503</v>
      </c>
      <c r="B353" t="s">
        <v>1504</v>
      </c>
      <c r="C353" s="4" t="s">
        <v>1491</v>
      </c>
      <c r="D353" t="s">
        <v>1492</v>
      </c>
      <c r="E353" t="s">
        <v>14</v>
      </c>
      <c r="F353" t="s">
        <v>83</v>
      </c>
      <c r="G353" t="s">
        <v>105</v>
      </c>
      <c r="H353" t="s">
        <v>78</v>
      </c>
      <c r="I353" t="s">
        <v>102</v>
      </c>
      <c r="J353" t="s">
        <v>1461</v>
      </c>
      <c r="K353" t="s">
        <v>1493</v>
      </c>
      <c r="L353" t="s">
        <v>89</v>
      </c>
      <c r="M353" t="s">
        <v>318</v>
      </c>
      <c r="N353" t="s">
        <v>1494</v>
      </c>
      <c r="O353" t="s">
        <v>1502</v>
      </c>
      <c r="P353" t="s">
        <v>1502</v>
      </c>
      <c r="Q353" t="s">
        <v>102</v>
      </c>
      <c r="R353" t="s">
        <v>78</v>
      </c>
      <c r="S353" t="s">
        <v>1496</v>
      </c>
      <c r="T353" t="s">
        <v>1504</v>
      </c>
      <c r="U353" t="s">
        <v>322</v>
      </c>
      <c r="V353" t="s">
        <v>82</v>
      </c>
      <c r="W353" t="s">
        <v>1497</v>
      </c>
      <c r="X353" t="s">
        <v>96</v>
      </c>
      <c r="Y353" t="s">
        <v>82</v>
      </c>
      <c r="Z353" t="s">
        <v>134</v>
      </c>
    </row>
    <row r="354" spans="1:26" x14ac:dyDescent="0.25">
      <c r="A354" t="s">
        <v>1505</v>
      </c>
      <c r="B354" t="s">
        <v>1506</v>
      </c>
      <c r="C354" s="4" t="s">
        <v>1507</v>
      </c>
      <c r="D354" t="s">
        <v>1508</v>
      </c>
      <c r="E354" t="s">
        <v>14</v>
      </c>
      <c r="F354" t="s">
        <v>85</v>
      </c>
      <c r="G354" t="s">
        <v>111</v>
      </c>
      <c r="H354" t="s">
        <v>78</v>
      </c>
      <c r="I354" t="s">
        <v>102</v>
      </c>
      <c r="J354" t="s">
        <v>1477</v>
      </c>
      <c r="K354" t="s">
        <v>1509</v>
      </c>
      <c r="L354" t="s">
        <v>89</v>
      </c>
      <c r="M354" t="s">
        <v>318</v>
      </c>
      <c r="N354" t="s">
        <v>90</v>
      </c>
      <c r="O354" t="s">
        <v>1510</v>
      </c>
      <c r="P354" t="s">
        <v>1511</v>
      </c>
      <c r="Q354" t="s">
        <v>102</v>
      </c>
      <c r="R354" t="s">
        <v>85</v>
      </c>
      <c r="S354" t="s">
        <v>1512</v>
      </c>
      <c r="T354" t="s">
        <v>1506</v>
      </c>
      <c r="U354" t="s">
        <v>322</v>
      </c>
      <c r="V354" t="s">
        <v>82</v>
      </c>
      <c r="W354" t="s">
        <v>1513</v>
      </c>
      <c r="X354" t="s">
        <v>96</v>
      </c>
      <c r="Y354" t="s">
        <v>82</v>
      </c>
      <c r="Z354" t="s">
        <v>105</v>
      </c>
    </row>
    <row r="355" spans="1:26" x14ac:dyDescent="0.25">
      <c r="A355" t="s">
        <v>1514</v>
      </c>
      <c r="B355" t="s">
        <v>1515</v>
      </c>
      <c r="C355" s="4" t="s">
        <v>1507</v>
      </c>
      <c r="D355" t="s">
        <v>1508</v>
      </c>
      <c r="E355" t="s">
        <v>14</v>
      </c>
      <c r="F355" t="s">
        <v>85</v>
      </c>
      <c r="G355" t="s">
        <v>111</v>
      </c>
      <c r="H355" t="s">
        <v>78</v>
      </c>
      <c r="I355" t="s">
        <v>102</v>
      </c>
      <c r="J355" t="s">
        <v>32</v>
      </c>
      <c r="K355" t="s">
        <v>1509</v>
      </c>
      <c r="L355" t="s">
        <v>89</v>
      </c>
      <c r="M355" t="s">
        <v>318</v>
      </c>
      <c r="N355" t="s">
        <v>90</v>
      </c>
      <c r="O355" t="s">
        <v>1510</v>
      </c>
      <c r="P355" t="s">
        <v>1516</v>
      </c>
      <c r="Q355" t="s">
        <v>102</v>
      </c>
      <c r="R355" t="s">
        <v>85</v>
      </c>
      <c r="S355" t="s">
        <v>1512</v>
      </c>
      <c r="T355" t="s">
        <v>1515</v>
      </c>
      <c r="U355" t="s">
        <v>322</v>
      </c>
      <c r="V355" t="s">
        <v>82</v>
      </c>
      <c r="W355" t="s">
        <v>1513</v>
      </c>
      <c r="X355" t="s">
        <v>96</v>
      </c>
      <c r="Y355" t="s">
        <v>82</v>
      </c>
      <c r="Z355" t="s">
        <v>105</v>
      </c>
    </row>
    <row r="356" spans="1:26" x14ac:dyDescent="0.25">
      <c r="A356" t="s">
        <v>1517</v>
      </c>
      <c r="B356" t="s">
        <v>1518</v>
      </c>
      <c r="C356" s="4" t="s">
        <v>1507</v>
      </c>
      <c r="D356" t="s">
        <v>1508</v>
      </c>
      <c r="E356" t="s">
        <v>14</v>
      </c>
      <c r="F356" t="s">
        <v>85</v>
      </c>
      <c r="G356" t="s">
        <v>111</v>
      </c>
      <c r="H356" t="s">
        <v>78</v>
      </c>
      <c r="I356" t="s">
        <v>102</v>
      </c>
      <c r="J356" t="s">
        <v>130</v>
      </c>
      <c r="K356" t="s">
        <v>1509</v>
      </c>
      <c r="L356" t="s">
        <v>89</v>
      </c>
      <c r="M356" t="s">
        <v>318</v>
      </c>
      <c r="N356" t="s">
        <v>90</v>
      </c>
      <c r="O356" t="s">
        <v>1510</v>
      </c>
      <c r="P356" t="s">
        <v>1519</v>
      </c>
      <c r="Q356" t="s">
        <v>102</v>
      </c>
      <c r="R356" t="s">
        <v>85</v>
      </c>
      <c r="S356" t="s">
        <v>1512</v>
      </c>
      <c r="T356" t="s">
        <v>1518</v>
      </c>
      <c r="U356" t="s">
        <v>322</v>
      </c>
      <c r="V356" t="s">
        <v>82</v>
      </c>
      <c r="W356" t="s">
        <v>1513</v>
      </c>
      <c r="X356" t="s">
        <v>96</v>
      </c>
      <c r="Y356" t="s">
        <v>82</v>
      </c>
      <c r="Z356" t="s">
        <v>105</v>
      </c>
    </row>
    <row r="357" spans="1:26" x14ac:dyDescent="0.25">
      <c r="A357" t="s">
        <v>1520</v>
      </c>
      <c r="B357" t="s">
        <v>1521</v>
      </c>
      <c r="C357" s="4" t="s">
        <v>1019</v>
      </c>
      <c r="D357" t="s">
        <v>1522</v>
      </c>
      <c r="E357" t="s">
        <v>14</v>
      </c>
      <c r="F357" t="s">
        <v>85</v>
      </c>
      <c r="G357" t="s">
        <v>111</v>
      </c>
      <c r="H357" t="s">
        <v>78</v>
      </c>
      <c r="I357" t="s">
        <v>102</v>
      </c>
      <c r="J357" t="s">
        <v>130</v>
      </c>
      <c r="K357" t="s">
        <v>1523</v>
      </c>
      <c r="L357" t="s">
        <v>89</v>
      </c>
      <c r="M357" t="s">
        <v>318</v>
      </c>
      <c r="N357" t="s">
        <v>90</v>
      </c>
      <c r="O357" t="s">
        <v>1524</v>
      </c>
      <c r="P357" t="s">
        <v>1524</v>
      </c>
      <c r="Q357" t="s">
        <v>102</v>
      </c>
      <c r="R357" t="s">
        <v>85</v>
      </c>
      <c r="S357" t="s">
        <v>1525</v>
      </c>
      <c r="T357" t="s">
        <v>1521</v>
      </c>
      <c r="U357" t="s">
        <v>322</v>
      </c>
      <c r="V357" t="s">
        <v>82</v>
      </c>
      <c r="W357" t="s">
        <v>1108</v>
      </c>
      <c r="X357" t="s">
        <v>96</v>
      </c>
      <c r="Y357" t="s">
        <v>82</v>
      </c>
      <c r="Z357" t="s">
        <v>143</v>
      </c>
    </row>
    <row r="358" spans="1:26" x14ac:dyDescent="0.25">
      <c r="A358" t="s">
        <v>1526</v>
      </c>
      <c r="B358" t="s">
        <v>1527</v>
      </c>
      <c r="C358" s="4" t="s">
        <v>1019</v>
      </c>
      <c r="D358" t="s">
        <v>1522</v>
      </c>
      <c r="E358" t="s">
        <v>14</v>
      </c>
      <c r="F358" t="s">
        <v>85</v>
      </c>
      <c r="G358" t="s">
        <v>111</v>
      </c>
      <c r="H358" t="s">
        <v>78</v>
      </c>
      <c r="I358" t="s">
        <v>102</v>
      </c>
      <c r="J358" t="s">
        <v>29</v>
      </c>
      <c r="K358" t="s">
        <v>1523</v>
      </c>
      <c r="L358" t="s">
        <v>89</v>
      </c>
      <c r="M358" t="s">
        <v>318</v>
      </c>
      <c r="N358" t="s">
        <v>90</v>
      </c>
      <c r="O358" t="s">
        <v>1524</v>
      </c>
      <c r="P358" t="s">
        <v>1524</v>
      </c>
      <c r="Q358" t="s">
        <v>102</v>
      </c>
      <c r="R358" t="s">
        <v>85</v>
      </c>
      <c r="S358" t="s">
        <v>1525</v>
      </c>
      <c r="T358" t="s">
        <v>1527</v>
      </c>
      <c r="U358" t="s">
        <v>322</v>
      </c>
      <c r="V358" t="s">
        <v>82</v>
      </c>
      <c r="W358" t="s">
        <v>1108</v>
      </c>
      <c r="X358" t="s">
        <v>96</v>
      </c>
      <c r="Y358" t="s">
        <v>82</v>
      </c>
      <c r="Z358" t="s">
        <v>143</v>
      </c>
    </row>
    <row r="359" spans="1:26" x14ac:dyDescent="0.25">
      <c r="A359" t="s">
        <v>1528</v>
      </c>
      <c r="B359" t="s">
        <v>1529</v>
      </c>
      <c r="C359" s="4" t="s">
        <v>1019</v>
      </c>
      <c r="D359" t="s">
        <v>1522</v>
      </c>
      <c r="E359" t="s">
        <v>14</v>
      </c>
      <c r="F359" t="s">
        <v>85</v>
      </c>
      <c r="G359" t="s">
        <v>111</v>
      </c>
      <c r="H359" t="s">
        <v>78</v>
      </c>
      <c r="I359" t="s">
        <v>102</v>
      </c>
      <c r="J359" t="s">
        <v>1530</v>
      </c>
      <c r="K359" t="s">
        <v>1523</v>
      </c>
      <c r="L359" t="s">
        <v>89</v>
      </c>
      <c r="M359" t="s">
        <v>318</v>
      </c>
      <c r="N359" t="s">
        <v>90</v>
      </c>
      <c r="O359" t="s">
        <v>1531</v>
      </c>
      <c r="P359" t="s">
        <v>1532</v>
      </c>
      <c r="Q359" t="s">
        <v>102</v>
      </c>
      <c r="R359" t="s">
        <v>85</v>
      </c>
      <c r="S359" t="s">
        <v>1525</v>
      </c>
      <c r="T359" t="s">
        <v>1529</v>
      </c>
      <c r="U359" t="s">
        <v>322</v>
      </c>
      <c r="V359" t="s">
        <v>82</v>
      </c>
      <c r="W359" t="s">
        <v>1108</v>
      </c>
      <c r="X359" t="s">
        <v>96</v>
      </c>
      <c r="Y359" t="s">
        <v>82</v>
      </c>
      <c r="Z359" t="s">
        <v>143</v>
      </c>
    </row>
    <row r="360" spans="1:26" x14ac:dyDescent="0.25">
      <c r="A360" t="s">
        <v>1533</v>
      </c>
      <c r="B360" t="s">
        <v>1534</v>
      </c>
      <c r="C360" s="4" t="s">
        <v>1000</v>
      </c>
      <c r="D360" t="s">
        <v>1535</v>
      </c>
      <c r="E360" t="s">
        <v>14</v>
      </c>
      <c r="F360" t="s">
        <v>83</v>
      </c>
      <c r="G360" t="s">
        <v>105</v>
      </c>
      <c r="H360" t="s">
        <v>78</v>
      </c>
      <c r="I360" t="s">
        <v>102</v>
      </c>
      <c r="J360" t="s">
        <v>130</v>
      </c>
      <c r="K360" t="s">
        <v>940</v>
      </c>
      <c r="L360" t="s">
        <v>89</v>
      </c>
      <c r="M360" t="s">
        <v>318</v>
      </c>
      <c r="N360" t="s">
        <v>1536</v>
      </c>
      <c r="O360" t="s">
        <v>1537</v>
      </c>
      <c r="P360" t="s">
        <v>1537</v>
      </c>
      <c r="Q360" t="s">
        <v>102</v>
      </c>
      <c r="R360" t="s">
        <v>85</v>
      </c>
      <c r="S360" t="s">
        <v>1538</v>
      </c>
      <c r="T360" t="s">
        <v>1534</v>
      </c>
      <c r="U360" t="s">
        <v>322</v>
      </c>
      <c r="V360" t="s">
        <v>82</v>
      </c>
      <c r="W360" t="s">
        <v>1539</v>
      </c>
      <c r="X360" t="s">
        <v>96</v>
      </c>
      <c r="Y360" t="s">
        <v>82</v>
      </c>
      <c r="Z360" t="s">
        <v>143</v>
      </c>
    </row>
    <row r="361" spans="1:26" x14ac:dyDescent="0.25">
      <c r="A361" t="s">
        <v>1540</v>
      </c>
      <c r="B361" t="s">
        <v>1541</v>
      </c>
      <c r="C361" s="4" t="s">
        <v>1000</v>
      </c>
      <c r="D361" t="s">
        <v>1535</v>
      </c>
      <c r="E361" t="s">
        <v>14</v>
      </c>
      <c r="F361" t="s">
        <v>83</v>
      </c>
      <c r="G361" t="s">
        <v>105</v>
      </c>
      <c r="H361" t="s">
        <v>78</v>
      </c>
      <c r="I361" t="s">
        <v>102</v>
      </c>
      <c r="J361" t="s">
        <v>29</v>
      </c>
      <c r="K361" t="s">
        <v>940</v>
      </c>
      <c r="L361" t="s">
        <v>89</v>
      </c>
      <c r="M361" t="s">
        <v>318</v>
      </c>
      <c r="N361" t="s">
        <v>1536</v>
      </c>
      <c r="O361" t="s">
        <v>1537</v>
      </c>
      <c r="P361" t="s">
        <v>1537</v>
      </c>
      <c r="Q361" t="s">
        <v>102</v>
      </c>
      <c r="R361" t="s">
        <v>85</v>
      </c>
      <c r="S361" t="s">
        <v>1538</v>
      </c>
      <c r="T361" t="s">
        <v>1541</v>
      </c>
      <c r="U361" t="s">
        <v>322</v>
      </c>
      <c r="V361" t="s">
        <v>82</v>
      </c>
      <c r="W361" t="s">
        <v>1539</v>
      </c>
      <c r="X361" t="s">
        <v>96</v>
      </c>
      <c r="Y361" t="s">
        <v>82</v>
      </c>
      <c r="Z361" t="s">
        <v>143</v>
      </c>
    </row>
    <row r="362" spans="1:26" x14ac:dyDescent="0.25">
      <c r="A362" t="s">
        <v>1542</v>
      </c>
      <c r="B362" t="s">
        <v>1543</v>
      </c>
      <c r="C362" s="4" t="s">
        <v>1000</v>
      </c>
      <c r="D362" t="s">
        <v>1535</v>
      </c>
      <c r="E362" t="s">
        <v>14</v>
      </c>
      <c r="F362" t="s">
        <v>83</v>
      </c>
      <c r="G362" t="s">
        <v>105</v>
      </c>
      <c r="H362" t="s">
        <v>78</v>
      </c>
      <c r="I362" t="s">
        <v>102</v>
      </c>
      <c r="J362" t="s">
        <v>1530</v>
      </c>
      <c r="K362" t="s">
        <v>940</v>
      </c>
      <c r="L362" t="s">
        <v>89</v>
      </c>
      <c r="M362" t="s">
        <v>318</v>
      </c>
      <c r="N362" t="s">
        <v>1536</v>
      </c>
      <c r="O362" t="s">
        <v>1544</v>
      </c>
      <c r="P362" t="s">
        <v>1544</v>
      </c>
      <c r="Q362" t="s">
        <v>102</v>
      </c>
      <c r="R362" t="s">
        <v>85</v>
      </c>
      <c r="S362" t="s">
        <v>1538</v>
      </c>
      <c r="T362" t="s">
        <v>1543</v>
      </c>
      <c r="U362" t="s">
        <v>322</v>
      </c>
      <c r="V362" t="s">
        <v>82</v>
      </c>
      <c r="W362" t="s">
        <v>1539</v>
      </c>
      <c r="X362" t="s">
        <v>96</v>
      </c>
      <c r="Y362" t="s">
        <v>82</v>
      </c>
      <c r="Z362" t="s">
        <v>143</v>
      </c>
    </row>
    <row r="363" spans="1:26" x14ac:dyDescent="0.25">
      <c r="A363" t="s">
        <v>1545</v>
      </c>
      <c r="B363" t="s">
        <v>1546</v>
      </c>
      <c r="C363" s="4" t="s">
        <v>1547</v>
      </c>
      <c r="D363" t="s">
        <v>1548</v>
      </c>
      <c r="E363" t="s">
        <v>14</v>
      </c>
      <c r="F363" t="s">
        <v>146</v>
      </c>
      <c r="G363" t="s">
        <v>160</v>
      </c>
      <c r="H363" t="s">
        <v>78</v>
      </c>
      <c r="I363" t="s">
        <v>86</v>
      </c>
      <c r="J363" t="s">
        <v>1530</v>
      </c>
      <c r="K363" t="s">
        <v>1316</v>
      </c>
      <c r="L363" t="s">
        <v>89</v>
      </c>
      <c r="M363" t="s">
        <v>318</v>
      </c>
      <c r="N363" t="s">
        <v>1549</v>
      </c>
      <c r="O363" t="s">
        <v>1550</v>
      </c>
      <c r="P363" t="s">
        <v>1550</v>
      </c>
      <c r="Q363" t="s">
        <v>102</v>
      </c>
      <c r="R363" t="s">
        <v>85</v>
      </c>
      <c r="S363" t="s">
        <v>1551</v>
      </c>
      <c r="T363" t="s">
        <v>1546</v>
      </c>
      <c r="U363" t="s">
        <v>322</v>
      </c>
      <c r="V363" t="s">
        <v>82</v>
      </c>
      <c r="W363" t="s">
        <v>1466</v>
      </c>
      <c r="X363" t="s">
        <v>96</v>
      </c>
      <c r="Y363" t="s">
        <v>82</v>
      </c>
      <c r="Z363" t="s">
        <v>143</v>
      </c>
    </row>
    <row r="364" spans="1:26" x14ac:dyDescent="0.25">
      <c r="A364" t="s">
        <v>1552</v>
      </c>
      <c r="B364" t="s">
        <v>1553</v>
      </c>
      <c r="C364" s="4" t="s">
        <v>1547</v>
      </c>
      <c r="D364" t="s">
        <v>1548</v>
      </c>
      <c r="E364" t="s">
        <v>14</v>
      </c>
      <c r="F364" t="s">
        <v>146</v>
      </c>
      <c r="G364" t="s">
        <v>160</v>
      </c>
      <c r="H364" t="s">
        <v>78</v>
      </c>
      <c r="I364" t="s">
        <v>86</v>
      </c>
      <c r="J364" t="s">
        <v>130</v>
      </c>
      <c r="K364" t="s">
        <v>1316</v>
      </c>
      <c r="L364" t="s">
        <v>89</v>
      </c>
      <c r="M364" t="s">
        <v>318</v>
      </c>
      <c r="N364" t="s">
        <v>1549</v>
      </c>
      <c r="O364" t="s">
        <v>1554</v>
      </c>
      <c r="P364" t="s">
        <v>1554</v>
      </c>
      <c r="Q364" t="s">
        <v>102</v>
      </c>
      <c r="R364" t="s">
        <v>85</v>
      </c>
      <c r="S364" t="s">
        <v>1551</v>
      </c>
      <c r="T364" t="s">
        <v>1553</v>
      </c>
      <c r="U364" t="s">
        <v>322</v>
      </c>
      <c r="V364" t="s">
        <v>82</v>
      </c>
      <c r="W364" t="s">
        <v>1466</v>
      </c>
      <c r="X364" t="s">
        <v>96</v>
      </c>
      <c r="Y364" t="s">
        <v>82</v>
      </c>
      <c r="Z364" t="s">
        <v>143</v>
      </c>
    </row>
    <row r="365" spans="1:26" x14ac:dyDescent="0.25">
      <c r="A365" t="s">
        <v>1555</v>
      </c>
      <c r="B365" t="s">
        <v>1556</v>
      </c>
      <c r="C365" s="4" t="s">
        <v>1547</v>
      </c>
      <c r="D365" t="s">
        <v>1548</v>
      </c>
      <c r="E365" t="s">
        <v>14</v>
      </c>
      <c r="F365" t="s">
        <v>146</v>
      </c>
      <c r="G365" t="s">
        <v>160</v>
      </c>
      <c r="H365" t="s">
        <v>78</v>
      </c>
      <c r="I365" t="s">
        <v>86</v>
      </c>
      <c r="J365" t="s">
        <v>29</v>
      </c>
      <c r="K365" t="s">
        <v>1316</v>
      </c>
      <c r="L365" t="s">
        <v>89</v>
      </c>
      <c r="M365" t="s">
        <v>318</v>
      </c>
      <c r="N365" t="s">
        <v>1549</v>
      </c>
      <c r="O365" t="s">
        <v>1554</v>
      </c>
      <c r="P365" t="s">
        <v>1554</v>
      </c>
      <c r="Q365" t="s">
        <v>102</v>
      </c>
      <c r="R365" t="s">
        <v>85</v>
      </c>
      <c r="S365" t="s">
        <v>1551</v>
      </c>
      <c r="T365" t="s">
        <v>1556</v>
      </c>
      <c r="U365" t="s">
        <v>322</v>
      </c>
      <c r="V365" t="s">
        <v>82</v>
      </c>
      <c r="W365" t="s">
        <v>1466</v>
      </c>
      <c r="X365" t="s">
        <v>96</v>
      </c>
      <c r="Y365" t="s">
        <v>82</v>
      </c>
      <c r="Z365" t="s">
        <v>143</v>
      </c>
    </row>
    <row r="366" spans="1:26" x14ac:dyDescent="0.25">
      <c r="A366" t="s">
        <v>1557</v>
      </c>
      <c r="B366" t="s">
        <v>1558</v>
      </c>
      <c r="C366" s="4" t="s">
        <v>1022</v>
      </c>
      <c r="D366" t="s">
        <v>1559</v>
      </c>
      <c r="E366" t="s">
        <v>14</v>
      </c>
      <c r="F366" t="s">
        <v>85</v>
      </c>
      <c r="G366" t="s">
        <v>111</v>
      </c>
      <c r="H366" t="s">
        <v>78</v>
      </c>
      <c r="I366" t="s">
        <v>102</v>
      </c>
      <c r="J366" t="s">
        <v>340</v>
      </c>
      <c r="K366" t="s">
        <v>1046</v>
      </c>
      <c r="L366" t="s">
        <v>89</v>
      </c>
      <c r="M366" t="s">
        <v>318</v>
      </c>
      <c r="N366" t="s">
        <v>1025</v>
      </c>
      <c r="O366" t="s">
        <v>1560</v>
      </c>
      <c r="P366" t="s">
        <v>1560</v>
      </c>
      <c r="Q366" t="s">
        <v>102</v>
      </c>
      <c r="R366" t="s">
        <v>85</v>
      </c>
      <c r="S366" t="s">
        <v>1561</v>
      </c>
      <c r="T366" t="s">
        <v>1558</v>
      </c>
      <c r="U366" t="s">
        <v>322</v>
      </c>
      <c r="V366" t="s">
        <v>82</v>
      </c>
      <c r="W366" t="s">
        <v>1562</v>
      </c>
      <c r="X366" t="s">
        <v>96</v>
      </c>
      <c r="Y366" t="s">
        <v>82</v>
      </c>
      <c r="Z366" t="s">
        <v>143</v>
      </c>
    </row>
    <row r="367" spans="1:26" x14ac:dyDescent="0.25">
      <c r="A367" t="s">
        <v>1563</v>
      </c>
      <c r="B367" t="s">
        <v>1564</v>
      </c>
      <c r="C367" s="4" t="s">
        <v>1022</v>
      </c>
      <c r="D367" t="s">
        <v>1559</v>
      </c>
      <c r="E367" t="s">
        <v>14</v>
      </c>
      <c r="F367" t="s">
        <v>85</v>
      </c>
      <c r="G367" t="s">
        <v>111</v>
      </c>
      <c r="H367" t="s">
        <v>78</v>
      </c>
      <c r="I367" t="s">
        <v>102</v>
      </c>
      <c r="J367" t="s">
        <v>1472</v>
      </c>
      <c r="K367" t="s">
        <v>1046</v>
      </c>
      <c r="L367" t="s">
        <v>89</v>
      </c>
      <c r="M367" t="s">
        <v>318</v>
      </c>
      <c r="N367" t="s">
        <v>1025</v>
      </c>
      <c r="O367" t="s">
        <v>1560</v>
      </c>
      <c r="P367" t="s">
        <v>1560</v>
      </c>
      <c r="Q367" t="s">
        <v>102</v>
      </c>
      <c r="R367" t="s">
        <v>85</v>
      </c>
      <c r="S367" t="s">
        <v>1561</v>
      </c>
      <c r="T367" t="s">
        <v>1564</v>
      </c>
      <c r="U367" t="s">
        <v>322</v>
      </c>
      <c r="V367" t="s">
        <v>82</v>
      </c>
      <c r="W367" t="s">
        <v>1562</v>
      </c>
      <c r="X367" t="s">
        <v>96</v>
      </c>
      <c r="Y367" t="s">
        <v>82</v>
      </c>
      <c r="Z367" t="s">
        <v>143</v>
      </c>
    </row>
    <row r="368" spans="1:26" x14ac:dyDescent="0.25">
      <c r="A368" t="s">
        <v>1565</v>
      </c>
      <c r="B368" t="s">
        <v>1566</v>
      </c>
      <c r="C368" s="4" t="s">
        <v>1022</v>
      </c>
      <c r="D368" t="s">
        <v>1559</v>
      </c>
      <c r="E368" t="s">
        <v>14</v>
      </c>
      <c r="F368" t="s">
        <v>85</v>
      </c>
      <c r="G368" t="s">
        <v>111</v>
      </c>
      <c r="H368" t="s">
        <v>78</v>
      </c>
      <c r="I368" t="s">
        <v>102</v>
      </c>
      <c r="J368" t="s">
        <v>32</v>
      </c>
      <c r="K368" t="s">
        <v>1046</v>
      </c>
      <c r="L368" t="s">
        <v>89</v>
      </c>
      <c r="M368" t="s">
        <v>318</v>
      </c>
      <c r="N368" t="s">
        <v>1025</v>
      </c>
      <c r="O368" t="s">
        <v>1560</v>
      </c>
      <c r="P368" t="s">
        <v>1560</v>
      </c>
      <c r="Q368" t="s">
        <v>102</v>
      </c>
      <c r="R368" t="s">
        <v>85</v>
      </c>
      <c r="S368" t="s">
        <v>1561</v>
      </c>
      <c r="T368" t="s">
        <v>1566</v>
      </c>
      <c r="U368" t="s">
        <v>322</v>
      </c>
      <c r="V368" t="s">
        <v>82</v>
      </c>
      <c r="W368" t="s">
        <v>1562</v>
      </c>
      <c r="X368" t="s">
        <v>96</v>
      </c>
      <c r="Y368" t="s">
        <v>82</v>
      </c>
      <c r="Z368" t="s">
        <v>143</v>
      </c>
    </row>
    <row r="369" spans="1:26" x14ac:dyDescent="0.25">
      <c r="A369" t="s">
        <v>1567</v>
      </c>
      <c r="B369" t="s">
        <v>1568</v>
      </c>
      <c r="C369" s="4" t="s">
        <v>1022</v>
      </c>
      <c r="D369" t="s">
        <v>1559</v>
      </c>
      <c r="E369" t="s">
        <v>14</v>
      </c>
      <c r="F369" t="s">
        <v>85</v>
      </c>
      <c r="G369" t="s">
        <v>111</v>
      </c>
      <c r="H369" t="s">
        <v>78</v>
      </c>
      <c r="I369" t="s">
        <v>102</v>
      </c>
      <c r="J369" t="s">
        <v>30</v>
      </c>
      <c r="K369" t="s">
        <v>1046</v>
      </c>
      <c r="L369" t="s">
        <v>89</v>
      </c>
      <c r="M369" t="s">
        <v>318</v>
      </c>
      <c r="N369" t="s">
        <v>1025</v>
      </c>
      <c r="O369" t="s">
        <v>1569</v>
      </c>
      <c r="P369" t="s">
        <v>1569</v>
      </c>
      <c r="Q369" t="s">
        <v>102</v>
      </c>
      <c r="R369" t="s">
        <v>85</v>
      </c>
      <c r="S369" t="s">
        <v>1561</v>
      </c>
      <c r="T369" t="s">
        <v>1568</v>
      </c>
      <c r="U369" t="s">
        <v>322</v>
      </c>
      <c r="V369" t="s">
        <v>82</v>
      </c>
      <c r="W369" t="s">
        <v>1562</v>
      </c>
      <c r="X369" t="s">
        <v>96</v>
      </c>
      <c r="Y369" t="s">
        <v>82</v>
      </c>
      <c r="Z369" t="s">
        <v>143</v>
      </c>
    </row>
    <row r="370" spans="1:26" x14ac:dyDescent="0.25">
      <c r="A370" t="s">
        <v>1570</v>
      </c>
      <c r="B370" t="s">
        <v>1571</v>
      </c>
      <c r="C370" s="4" t="s">
        <v>1133</v>
      </c>
      <c r="D370" t="s">
        <v>1572</v>
      </c>
      <c r="E370" t="s">
        <v>14</v>
      </c>
      <c r="F370" t="s">
        <v>83</v>
      </c>
      <c r="G370" t="s">
        <v>105</v>
      </c>
      <c r="H370" t="s">
        <v>78</v>
      </c>
      <c r="I370" t="s">
        <v>102</v>
      </c>
      <c r="J370" t="s">
        <v>30</v>
      </c>
      <c r="K370" t="s">
        <v>1573</v>
      </c>
      <c r="L370" t="s">
        <v>89</v>
      </c>
      <c r="M370" t="s">
        <v>318</v>
      </c>
      <c r="N370" t="s">
        <v>1004</v>
      </c>
      <c r="O370" t="s">
        <v>1574</v>
      </c>
      <c r="P370" t="s">
        <v>1574</v>
      </c>
      <c r="Q370" t="s">
        <v>102</v>
      </c>
      <c r="R370" t="s">
        <v>85</v>
      </c>
      <c r="S370" t="s">
        <v>1575</v>
      </c>
      <c r="T370" t="s">
        <v>1571</v>
      </c>
      <c r="U370" t="s">
        <v>322</v>
      </c>
      <c r="V370" t="s">
        <v>82</v>
      </c>
      <c r="W370" t="s">
        <v>1576</v>
      </c>
      <c r="X370" t="s">
        <v>96</v>
      </c>
      <c r="Y370" t="s">
        <v>82</v>
      </c>
      <c r="Z370" t="s">
        <v>143</v>
      </c>
    </row>
    <row r="371" spans="1:26" x14ac:dyDescent="0.25">
      <c r="A371" t="s">
        <v>1577</v>
      </c>
      <c r="B371" t="s">
        <v>1578</v>
      </c>
      <c r="C371" s="4" t="s">
        <v>1133</v>
      </c>
      <c r="D371" t="s">
        <v>1572</v>
      </c>
      <c r="E371" t="s">
        <v>14</v>
      </c>
      <c r="F371" t="s">
        <v>83</v>
      </c>
      <c r="G371" t="s">
        <v>105</v>
      </c>
      <c r="H371" t="s">
        <v>78</v>
      </c>
      <c r="I371" t="s">
        <v>102</v>
      </c>
      <c r="J371" t="s">
        <v>32</v>
      </c>
      <c r="K371" t="s">
        <v>1573</v>
      </c>
      <c r="L371" t="s">
        <v>89</v>
      </c>
      <c r="M371" t="s">
        <v>318</v>
      </c>
      <c r="N371" t="s">
        <v>1004</v>
      </c>
      <c r="O371" t="s">
        <v>1574</v>
      </c>
      <c r="P371" t="s">
        <v>1579</v>
      </c>
      <c r="Q371" t="s">
        <v>102</v>
      </c>
      <c r="R371" t="s">
        <v>85</v>
      </c>
      <c r="S371" t="s">
        <v>1575</v>
      </c>
      <c r="T371" t="s">
        <v>1578</v>
      </c>
      <c r="U371" t="s">
        <v>322</v>
      </c>
      <c r="V371" t="s">
        <v>82</v>
      </c>
      <c r="W371" t="s">
        <v>1576</v>
      </c>
      <c r="X371" t="s">
        <v>96</v>
      </c>
      <c r="Y371" t="s">
        <v>82</v>
      </c>
      <c r="Z371" t="s">
        <v>143</v>
      </c>
    </row>
    <row r="372" spans="1:26" x14ac:dyDescent="0.25">
      <c r="A372" t="s">
        <v>1580</v>
      </c>
      <c r="B372" t="s">
        <v>1581</v>
      </c>
      <c r="C372" s="4" t="s">
        <v>1133</v>
      </c>
      <c r="D372" t="s">
        <v>1572</v>
      </c>
      <c r="E372" t="s">
        <v>14</v>
      </c>
      <c r="F372" t="s">
        <v>83</v>
      </c>
      <c r="G372" t="s">
        <v>105</v>
      </c>
      <c r="H372" t="s">
        <v>78</v>
      </c>
      <c r="I372" t="s">
        <v>102</v>
      </c>
      <c r="J372" t="s">
        <v>1472</v>
      </c>
      <c r="K372" t="s">
        <v>1573</v>
      </c>
      <c r="L372" t="s">
        <v>89</v>
      </c>
      <c r="M372" t="s">
        <v>318</v>
      </c>
      <c r="N372" t="s">
        <v>1004</v>
      </c>
      <c r="O372" t="s">
        <v>1582</v>
      </c>
      <c r="P372" t="s">
        <v>1583</v>
      </c>
      <c r="Q372" t="s">
        <v>102</v>
      </c>
      <c r="R372" t="s">
        <v>85</v>
      </c>
      <c r="S372" t="s">
        <v>1575</v>
      </c>
      <c r="T372" t="s">
        <v>1581</v>
      </c>
      <c r="U372" t="s">
        <v>322</v>
      </c>
      <c r="V372" t="s">
        <v>82</v>
      </c>
      <c r="W372" t="s">
        <v>1576</v>
      </c>
      <c r="X372" t="s">
        <v>96</v>
      </c>
      <c r="Y372" t="s">
        <v>82</v>
      </c>
      <c r="Z372" t="s">
        <v>143</v>
      </c>
    </row>
    <row r="373" spans="1:26" x14ac:dyDescent="0.25">
      <c r="A373" t="s">
        <v>1584</v>
      </c>
      <c r="B373" t="s">
        <v>1585</v>
      </c>
      <c r="C373" s="4" t="s">
        <v>1133</v>
      </c>
      <c r="D373" t="s">
        <v>1572</v>
      </c>
      <c r="E373" t="s">
        <v>14</v>
      </c>
      <c r="F373" t="s">
        <v>83</v>
      </c>
      <c r="G373" t="s">
        <v>105</v>
      </c>
      <c r="H373" t="s">
        <v>78</v>
      </c>
      <c r="I373" t="s">
        <v>102</v>
      </c>
      <c r="J373" t="s">
        <v>340</v>
      </c>
      <c r="K373" t="s">
        <v>1573</v>
      </c>
      <c r="L373" t="s">
        <v>89</v>
      </c>
      <c r="M373" t="s">
        <v>318</v>
      </c>
      <c r="N373" t="s">
        <v>1004</v>
      </c>
      <c r="O373" t="s">
        <v>1586</v>
      </c>
      <c r="P373" t="s">
        <v>1587</v>
      </c>
      <c r="Q373" t="s">
        <v>102</v>
      </c>
      <c r="R373" t="s">
        <v>85</v>
      </c>
      <c r="S373" t="s">
        <v>1575</v>
      </c>
      <c r="T373" t="s">
        <v>1585</v>
      </c>
      <c r="U373" t="s">
        <v>322</v>
      </c>
      <c r="V373" t="s">
        <v>82</v>
      </c>
      <c r="W373" t="s">
        <v>1576</v>
      </c>
      <c r="X373" t="s">
        <v>96</v>
      </c>
      <c r="Y373" t="s">
        <v>82</v>
      </c>
      <c r="Z373" t="s">
        <v>143</v>
      </c>
    </row>
    <row r="374" spans="1:26" x14ac:dyDescent="0.25">
      <c r="A374" t="s">
        <v>1588</v>
      </c>
      <c r="B374" t="s">
        <v>1589</v>
      </c>
      <c r="C374" s="4" t="s">
        <v>1590</v>
      </c>
      <c r="D374" t="s">
        <v>1591</v>
      </c>
      <c r="E374" t="s">
        <v>14</v>
      </c>
      <c r="F374" t="s">
        <v>146</v>
      </c>
      <c r="G374" t="s">
        <v>160</v>
      </c>
      <c r="H374" t="s">
        <v>78</v>
      </c>
      <c r="I374" t="s">
        <v>86</v>
      </c>
      <c r="J374" t="s">
        <v>340</v>
      </c>
      <c r="K374" t="s">
        <v>1592</v>
      </c>
      <c r="L374" t="s">
        <v>89</v>
      </c>
      <c r="M374" t="s">
        <v>318</v>
      </c>
      <c r="N374" t="s">
        <v>1593</v>
      </c>
      <c r="O374" t="s">
        <v>1594</v>
      </c>
      <c r="P374" t="s">
        <v>1594</v>
      </c>
      <c r="Q374" t="s">
        <v>102</v>
      </c>
      <c r="R374" t="s">
        <v>85</v>
      </c>
      <c r="S374" t="s">
        <v>1595</v>
      </c>
      <c r="T374" t="s">
        <v>1589</v>
      </c>
      <c r="U374" t="s">
        <v>322</v>
      </c>
      <c r="V374" t="s">
        <v>82</v>
      </c>
      <c r="W374" t="s">
        <v>940</v>
      </c>
      <c r="X374" t="s">
        <v>96</v>
      </c>
      <c r="Y374" t="s">
        <v>82</v>
      </c>
      <c r="Z374" t="s">
        <v>143</v>
      </c>
    </row>
    <row r="375" spans="1:26" x14ac:dyDescent="0.25">
      <c r="A375" t="s">
        <v>1596</v>
      </c>
      <c r="B375" t="s">
        <v>1597</v>
      </c>
      <c r="C375" s="4" t="s">
        <v>1590</v>
      </c>
      <c r="D375" t="s">
        <v>1591</v>
      </c>
      <c r="E375" t="s">
        <v>14</v>
      </c>
      <c r="F375" t="s">
        <v>146</v>
      </c>
      <c r="G375" t="s">
        <v>160</v>
      </c>
      <c r="H375" t="s">
        <v>78</v>
      </c>
      <c r="I375" t="s">
        <v>86</v>
      </c>
      <c r="J375" t="s">
        <v>37</v>
      </c>
      <c r="K375" t="s">
        <v>1592</v>
      </c>
      <c r="L375" t="s">
        <v>89</v>
      </c>
      <c r="M375" t="s">
        <v>318</v>
      </c>
      <c r="N375" t="s">
        <v>1593</v>
      </c>
      <c r="O375" t="s">
        <v>1594</v>
      </c>
      <c r="P375" t="s">
        <v>1594</v>
      </c>
      <c r="Q375" t="s">
        <v>102</v>
      </c>
      <c r="R375" t="s">
        <v>85</v>
      </c>
      <c r="S375" t="s">
        <v>1595</v>
      </c>
      <c r="T375" t="s">
        <v>1597</v>
      </c>
      <c r="U375" t="s">
        <v>322</v>
      </c>
      <c r="V375" t="s">
        <v>82</v>
      </c>
      <c r="W375" t="s">
        <v>940</v>
      </c>
      <c r="X375" t="s">
        <v>96</v>
      </c>
      <c r="Y375" t="s">
        <v>82</v>
      </c>
      <c r="Z375" t="s">
        <v>143</v>
      </c>
    </row>
    <row r="376" spans="1:26" x14ac:dyDescent="0.25">
      <c r="A376" t="s">
        <v>1598</v>
      </c>
      <c r="B376" t="s">
        <v>1599</v>
      </c>
      <c r="C376" s="4" t="s">
        <v>1590</v>
      </c>
      <c r="D376" t="s">
        <v>1591</v>
      </c>
      <c r="E376" t="s">
        <v>14</v>
      </c>
      <c r="F376" t="s">
        <v>146</v>
      </c>
      <c r="G376" t="s">
        <v>160</v>
      </c>
      <c r="H376" t="s">
        <v>78</v>
      </c>
      <c r="I376" t="s">
        <v>86</v>
      </c>
      <c r="J376" t="s">
        <v>29</v>
      </c>
      <c r="K376" t="s">
        <v>1592</v>
      </c>
      <c r="L376" t="s">
        <v>89</v>
      </c>
      <c r="M376" t="s">
        <v>318</v>
      </c>
      <c r="N376" t="s">
        <v>1593</v>
      </c>
      <c r="O376" t="s">
        <v>1600</v>
      </c>
      <c r="P376" t="s">
        <v>1600</v>
      </c>
      <c r="Q376" t="s">
        <v>102</v>
      </c>
      <c r="R376" t="s">
        <v>85</v>
      </c>
      <c r="S376" t="s">
        <v>1595</v>
      </c>
      <c r="T376" t="s">
        <v>1599</v>
      </c>
      <c r="U376" t="s">
        <v>322</v>
      </c>
      <c r="V376" t="s">
        <v>82</v>
      </c>
      <c r="W376" t="s">
        <v>940</v>
      </c>
      <c r="X376" t="s">
        <v>96</v>
      </c>
      <c r="Y376" t="s">
        <v>82</v>
      </c>
      <c r="Z376" t="s">
        <v>143</v>
      </c>
    </row>
    <row r="377" spans="1:26" x14ac:dyDescent="0.25">
      <c r="A377" t="s">
        <v>1601</v>
      </c>
      <c r="B377" t="s">
        <v>1602</v>
      </c>
      <c r="C377" s="4" t="s">
        <v>1590</v>
      </c>
      <c r="D377" t="s">
        <v>1591</v>
      </c>
      <c r="E377" t="s">
        <v>14</v>
      </c>
      <c r="F377" t="s">
        <v>146</v>
      </c>
      <c r="G377" t="s">
        <v>160</v>
      </c>
      <c r="H377" t="s">
        <v>78</v>
      </c>
      <c r="I377" t="s">
        <v>86</v>
      </c>
      <c r="J377" t="s">
        <v>30</v>
      </c>
      <c r="K377" t="s">
        <v>1592</v>
      </c>
      <c r="L377" t="s">
        <v>89</v>
      </c>
      <c r="M377" t="s">
        <v>318</v>
      </c>
      <c r="N377" t="s">
        <v>1593</v>
      </c>
      <c r="O377" t="s">
        <v>1600</v>
      </c>
      <c r="P377" t="s">
        <v>1600</v>
      </c>
      <c r="Q377" t="s">
        <v>102</v>
      </c>
      <c r="R377" t="s">
        <v>85</v>
      </c>
      <c r="S377" t="s">
        <v>1595</v>
      </c>
      <c r="T377" t="s">
        <v>1602</v>
      </c>
      <c r="U377" t="s">
        <v>322</v>
      </c>
      <c r="V377" t="s">
        <v>82</v>
      </c>
      <c r="W377" t="s">
        <v>940</v>
      </c>
      <c r="X377" t="s">
        <v>96</v>
      </c>
      <c r="Y377" t="s">
        <v>82</v>
      </c>
      <c r="Z377" t="s">
        <v>143</v>
      </c>
    </row>
    <row r="378" spans="1:26" x14ac:dyDescent="0.25">
      <c r="A378" t="s">
        <v>1603</v>
      </c>
      <c r="B378" t="s">
        <v>1604</v>
      </c>
      <c r="C378" s="4" t="s">
        <v>1605</v>
      </c>
      <c r="D378" t="s">
        <v>1606</v>
      </c>
      <c r="E378" t="s">
        <v>14</v>
      </c>
      <c r="F378" t="s">
        <v>83</v>
      </c>
      <c r="G378" t="s">
        <v>105</v>
      </c>
      <c r="H378" t="s">
        <v>78</v>
      </c>
      <c r="I378" t="s">
        <v>102</v>
      </c>
      <c r="J378" t="s">
        <v>32</v>
      </c>
      <c r="K378" t="s">
        <v>1607</v>
      </c>
      <c r="L378" t="s">
        <v>89</v>
      </c>
      <c r="M378" t="s">
        <v>318</v>
      </c>
      <c r="N378" t="s">
        <v>1608</v>
      </c>
      <c r="O378" t="s">
        <v>1609</v>
      </c>
      <c r="P378" t="s">
        <v>1609</v>
      </c>
      <c r="Q378" t="s">
        <v>102</v>
      </c>
      <c r="R378" t="s">
        <v>78</v>
      </c>
      <c r="S378" t="s">
        <v>1610</v>
      </c>
      <c r="T378" t="s">
        <v>1604</v>
      </c>
      <c r="U378" t="s">
        <v>322</v>
      </c>
      <c r="V378" t="s">
        <v>82</v>
      </c>
      <c r="W378" t="s">
        <v>1611</v>
      </c>
      <c r="X378" t="s">
        <v>96</v>
      </c>
      <c r="Y378" t="s">
        <v>82</v>
      </c>
      <c r="Z378" t="s">
        <v>146</v>
      </c>
    </row>
    <row r="379" spans="1:26" x14ac:dyDescent="0.25">
      <c r="A379" t="s">
        <v>1612</v>
      </c>
      <c r="B379" t="s">
        <v>1613</v>
      </c>
      <c r="C379" s="4" t="s">
        <v>1605</v>
      </c>
      <c r="D379" t="s">
        <v>1606</v>
      </c>
      <c r="E379" t="s">
        <v>14</v>
      </c>
      <c r="F379" t="s">
        <v>83</v>
      </c>
      <c r="G379" t="s">
        <v>105</v>
      </c>
      <c r="H379" t="s">
        <v>78</v>
      </c>
      <c r="I379" t="s">
        <v>102</v>
      </c>
      <c r="J379" t="s">
        <v>87</v>
      </c>
      <c r="K379" t="s">
        <v>1607</v>
      </c>
      <c r="L379" t="s">
        <v>89</v>
      </c>
      <c r="M379" t="s">
        <v>318</v>
      </c>
      <c r="N379" t="s">
        <v>1608</v>
      </c>
      <c r="O379" t="s">
        <v>1609</v>
      </c>
      <c r="P379" t="s">
        <v>1609</v>
      </c>
      <c r="Q379" t="s">
        <v>102</v>
      </c>
      <c r="R379" t="s">
        <v>78</v>
      </c>
      <c r="S379" t="s">
        <v>1610</v>
      </c>
      <c r="T379" t="s">
        <v>1613</v>
      </c>
      <c r="U379" t="s">
        <v>322</v>
      </c>
      <c r="V379" t="s">
        <v>82</v>
      </c>
      <c r="W379" t="s">
        <v>1611</v>
      </c>
      <c r="X379" t="s">
        <v>96</v>
      </c>
      <c r="Y379" t="s">
        <v>82</v>
      </c>
      <c r="Z379" t="s">
        <v>146</v>
      </c>
    </row>
    <row r="380" spans="1:26" x14ac:dyDescent="0.25">
      <c r="A380" t="s">
        <v>1614</v>
      </c>
      <c r="B380" t="s">
        <v>1615</v>
      </c>
      <c r="C380" s="4" t="s">
        <v>1605</v>
      </c>
      <c r="D380" t="s">
        <v>1606</v>
      </c>
      <c r="E380" t="s">
        <v>14</v>
      </c>
      <c r="F380" t="s">
        <v>83</v>
      </c>
      <c r="G380" t="s">
        <v>105</v>
      </c>
      <c r="H380" t="s">
        <v>78</v>
      </c>
      <c r="I380" t="s">
        <v>102</v>
      </c>
      <c r="J380" t="s">
        <v>33</v>
      </c>
      <c r="K380" t="s">
        <v>1607</v>
      </c>
      <c r="L380" t="s">
        <v>89</v>
      </c>
      <c r="M380" t="s">
        <v>318</v>
      </c>
      <c r="N380" t="s">
        <v>1608</v>
      </c>
      <c r="O380" t="s">
        <v>1609</v>
      </c>
      <c r="P380" t="s">
        <v>1609</v>
      </c>
      <c r="Q380" t="s">
        <v>102</v>
      </c>
      <c r="R380" t="s">
        <v>78</v>
      </c>
      <c r="S380" t="s">
        <v>1610</v>
      </c>
      <c r="T380" t="s">
        <v>1615</v>
      </c>
      <c r="U380" t="s">
        <v>322</v>
      </c>
      <c r="V380" t="s">
        <v>82</v>
      </c>
      <c r="W380" t="s">
        <v>1611</v>
      </c>
      <c r="X380" t="s">
        <v>96</v>
      </c>
      <c r="Y380" t="s">
        <v>82</v>
      </c>
      <c r="Z380" t="s">
        <v>146</v>
      </c>
    </row>
    <row r="381" spans="1:26" x14ac:dyDescent="0.25">
      <c r="A381" t="s">
        <v>1616</v>
      </c>
      <c r="B381" t="s">
        <v>1617</v>
      </c>
      <c r="C381" s="4" t="s">
        <v>1304</v>
      </c>
      <c r="D381" t="s">
        <v>1618</v>
      </c>
      <c r="E381" t="s">
        <v>14</v>
      </c>
      <c r="F381" t="s">
        <v>85</v>
      </c>
      <c r="G381" t="s">
        <v>111</v>
      </c>
      <c r="H381" t="s">
        <v>78</v>
      </c>
      <c r="I381" t="s">
        <v>102</v>
      </c>
      <c r="J381" t="s">
        <v>32</v>
      </c>
      <c r="K381" t="s">
        <v>604</v>
      </c>
      <c r="L381" t="s">
        <v>89</v>
      </c>
      <c r="M381" t="s">
        <v>318</v>
      </c>
      <c r="N381" t="s">
        <v>1462</v>
      </c>
      <c r="O381" t="s">
        <v>1619</v>
      </c>
      <c r="P381" t="s">
        <v>1620</v>
      </c>
      <c r="Q381" t="s">
        <v>102</v>
      </c>
      <c r="R381" t="s">
        <v>78</v>
      </c>
      <c r="S381" t="s">
        <v>1465</v>
      </c>
      <c r="T381" t="s">
        <v>1617</v>
      </c>
      <c r="U381" t="s">
        <v>322</v>
      </c>
      <c r="V381" t="s">
        <v>82</v>
      </c>
      <c r="W381" t="s">
        <v>1621</v>
      </c>
      <c r="X381" t="s">
        <v>96</v>
      </c>
      <c r="Y381" t="s">
        <v>82</v>
      </c>
      <c r="Z381" t="s">
        <v>146</v>
      </c>
    </row>
    <row r="382" spans="1:26" x14ac:dyDescent="0.25">
      <c r="A382" t="s">
        <v>1622</v>
      </c>
      <c r="B382" t="s">
        <v>1623</v>
      </c>
      <c r="C382" s="4" t="s">
        <v>1304</v>
      </c>
      <c r="D382" t="s">
        <v>1618</v>
      </c>
      <c r="E382" t="s">
        <v>14</v>
      </c>
      <c r="F382" t="s">
        <v>85</v>
      </c>
      <c r="G382" t="s">
        <v>111</v>
      </c>
      <c r="H382" t="s">
        <v>78</v>
      </c>
      <c r="I382" t="s">
        <v>102</v>
      </c>
      <c r="J382" t="s">
        <v>87</v>
      </c>
      <c r="K382" t="s">
        <v>604</v>
      </c>
      <c r="L382" t="s">
        <v>89</v>
      </c>
      <c r="M382" t="s">
        <v>318</v>
      </c>
      <c r="N382" t="s">
        <v>1462</v>
      </c>
      <c r="O382" t="s">
        <v>1619</v>
      </c>
      <c r="P382" t="s">
        <v>1624</v>
      </c>
      <c r="Q382" t="s">
        <v>102</v>
      </c>
      <c r="R382" t="s">
        <v>78</v>
      </c>
      <c r="S382" t="s">
        <v>1465</v>
      </c>
      <c r="T382" t="s">
        <v>1623</v>
      </c>
      <c r="U382" t="s">
        <v>322</v>
      </c>
      <c r="V382" t="s">
        <v>82</v>
      </c>
      <c r="W382" t="s">
        <v>1621</v>
      </c>
      <c r="X382" t="s">
        <v>96</v>
      </c>
      <c r="Y382" t="s">
        <v>82</v>
      </c>
      <c r="Z382" t="s">
        <v>146</v>
      </c>
    </row>
    <row r="383" spans="1:26" x14ac:dyDescent="0.25">
      <c r="A383" t="s">
        <v>1625</v>
      </c>
      <c r="B383" t="s">
        <v>1626</v>
      </c>
      <c r="C383" s="4" t="s">
        <v>1304</v>
      </c>
      <c r="D383" t="s">
        <v>1618</v>
      </c>
      <c r="E383" t="s">
        <v>14</v>
      </c>
      <c r="F383" t="s">
        <v>85</v>
      </c>
      <c r="G383" t="s">
        <v>111</v>
      </c>
      <c r="H383" t="s">
        <v>78</v>
      </c>
      <c r="I383" t="s">
        <v>102</v>
      </c>
      <c r="J383" t="s">
        <v>33</v>
      </c>
      <c r="K383" t="s">
        <v>604</v>
      </c>
      <c r="L383" t="s">
        <v>89</v>
      </c>
      <c r="M383" t="s">
        <v>318</v>
      </c>
      <c r="N383" t="s">
        <v>1462</v>
      </c>
      <c r="O383" t="s">
        <v>1619</v>
      </c>
      <c r="P383" t="s">
        <v>1627</v>
      </c>
      <c r="Q383" t="s">
        <v>102</v>
      </c>
      <c r="R383" t="s">
        <v>78</v>
      </c>
      <c r="S383" t="s">
        <v>1465</v>
      </c>
      <c r="T383" t="s">
        <v>1626</v>
      </c>
      <c r="U383" t="s">
        <v>322</v>
      </c>
      <c r="V383" t="s">
        <v>82</v>
      </c>
      <c r="W383" t="s">
        <v>1621</v>
      </c>
      <c r="X383" t="s">
        <v>96</v>
      </c>
      <c r="Y383" t="s">
        <v>82</v>
      </c>
      <c r="Z383" t="s">
        <v>146</v>
      </c>
    </row>
    <row r="384" spans="1:26" x14ac:dyDescent="0.25">
      <c r="A384" t="s">
        <v>1628</v>
      </c>
      <c r="B384" t="s">
        <v>1629</v>
      </c>
      <c r="C384" s="4" t="s">
        <v>1296</v>
      </c>
      <c r="D384" t="s">
        <v>1618</v>
      </c>
      <c r="E384" t="s">
        <v>14</v>
      </c>
      <c r="F384" t="s">
        <v>85</v>
      </c>
      <c r="G384" t="s">
        <v>111</v>
      </c>
      <c r="H384" t="s">
        <v>78</v>
      </c>
      <c r="I384" t="s">
        <v>102</v>
      </c>
      <c r="J384" t="s">
        <v>33</v>
      </c>
      <c r="K384" t="s">
        <v>1630</v>
      </c>
      <c r="L384" t="s">
        <v>89</v>
      </c>
      <c r="M384" t="s">
        <v>318</v>
      </c>
      <c r="N384" t="s">
        <v>1462</v>
      </c>
      <c r="O384" t="s">
        <v>1631</v>
      </c>
      <c r="P384" t="s">
        <v>1631</v>
      </c>
      <c r="Q384" t="s">
        <v>102</v>
      </c>
      <c r="R384" t="s">
        <v>78</v>
      </c>
      <c r="S384" t="s">
        <v>1632</v>
      </c>
      <c r="T384" t="s">
        <v>1629</v>
      </c>
      <c r="U384" t="s">
        <v>322</v>
      </c>
      <c r="V384" t="s">
        <v>82</v>
      </c>
      <c r="W384" t="s">
        <v>1621</v>
      </c>
      <c r="X384" t="s">
        <v>96</v>
      </c>
      <c r="Y384" t="s">
        <v>82</v>
      </c>
      <c r="Z384" t="s">
        <v>146</v>
      </c>
    </row>
    <row r="385" spans="1:26" x14ac:dyDescent="0.25">
      <c r="A385" t="s">
        <v>1633</v>
      </c>
      <c r="B385" t="s">
        <v>1634</v>
      </c>
      <c r="C385" s="4" t="s">
        <v>1296</v>
      </c>
      <c r="D385" t="s">
        <v>1618</v>
      </c>
      <c r="E385" t="s">
        <v>14</v>
      </c>
      <c r="F385" t="s">
        <v>85</v>
      </c>
      <c r="G385" t="s">
        <v>111</v>
      </c>
      <c r="H385" t="s">
        <v>78</v>
      </c>
      <c r="I385" t="s">
        <v>102</v>
      </c>
      <c r="J385" t="s">
        <v>87</v>
      </c>
      <c r="K385" t="s">
        <v>1630</v>
      </c>
      <c r="L385" t="s">
        <v>89</v>
      </c>
      <c r="M385" t="s">
        <v>318</v>
      </c>
      <c r="N385" t="s">
        <v>1462</v>
      </c>
      <c r="O385" t="s">
        <v>1631</v>
      </c>
      <c r="P385" t="s">
        <v>1631</v>
      </c>
      <c r="Q385" t="s">
        <v>102</v>
      </c>
      <c r="R385" t="s">
        <v>78</v>
      </c>
      <c r="S385" t="s">
        <v>1632</v>
      </c>
      <c r="T385" t="s">
        <v>1634</v>
      </c>
      <c r="U385" t="s">
        <v>322</v>
      </c>
      <c r="V385" t="s">
        <v>82</v>
      </c>
      <c r="W385" t="s">
        <v>1621</v>
      </c>
      <c r="X385" t="s">
        <v>96</v>
      </c>
      <c r="Y385" t="s">
        <v>82</v>
      </c>
      <c r="Z385" t="s">
        <v>146</v>
      </c>
    </row>
    <row r="386" spans="1:26" x14ac:dyDescent="0.25">
      <c r="A386" t="s">
        <v>1635</v>
      </c>
      <c r="B386" t="s">
        <v>1636</v>
      </c>
      <c r="C386" s="4" t="s">
        <v>1296</v>
      </c>
      <c r="D386" t="s">
        <v>1618</v>
      </c>
      <c r="E386" t="s">
        <v>14</v>
      </c>
      <c r="F386" t="s">
        <v>85</v>
      </c>
      <c r="G386" t="s">
        <v>111</v>
      </c>
      <c r="H386" t="s">
        <v>78</v>
      </c>
      <c r="I386" t="s">
        <v>102</v>
      </c>
      <c r="J386" t="s">
        <v>32</v>
      </c>
      <c r="K386" t="s">
        <v>1630</v>
      </c>
      <c r="L386" t="s">
        <v>89</v>
      </c>
      <c r="M386" t="s">
        <v>318</v>
      </c>
      <c r="N386" t="s">
        <v>1462</v>
      </c>
      <c r="O386" t="s">
        <v>1637</v>
      </c>
      <c r="P386" t="s">
        <v>1637</v>
      </c>
      <c r="Q386" t="s">
        <v>102</v>
      </c>
      <c r="R386" t="s">
        <v>78</v>
      </c>
      <c r="S386" t="s">
        <v>1632</v>
      </c>
      <c r="T386" t="s">
        <v>1636</v>
      </c>
      <c r="U386" t="s">
        <v>322</v>
      </c>
      <c r="V386" t="s">
        <v>82</v>
      </c>
      <c r="W386" t="s">
        <v>1621</v>
      </c>
      <c r="X386" t="s">
        <v>96</v>
      </c>
      <c r="Y386" t="s">
        <v>82</v>
      </c>
      <c r="Z386" t="s">
        <v>146</v>
      </c>
    </row>
    <row r="387" spans="1:26" x14ac:dyDescent="0.25">
      <c r="A387" t="s">
        <v>1638</v>
      </c>
      <c r="B387" t="s">
        <v>1639</v>
      </c>
      <c r="C387" s="4" t="s">
        <v>1288</v>
      </c>
      <c r="D387" t="s">
        <v>1618</v>
      </c>
      <c r="E387" t="s">
        <v>14</v>
      </c>
      <c r="F387" t="s">
        <v>85</v>
      </c>
      <c r="G387" t="s">
        <v>111</v>
      </c>
      <c r="H387" t="s">
        <v>78</v>
      </c>
      <c r="I387" t="s">
        <v>102</v>
      </c>
      <c r="J387" t="s">
        <v>32</v>
      </c>
      <c r="K387" t="s">
        <v>604</v>
      </c>
      <c r="L387" t="s">
        <v>89</v>
      </c>
      <c r="M387" t="s">
        <v>318</v>
      </c>
      <c r="N387" t="s">
        <v>1462</v>
      </c>
      <c r="O387" t="s">
        <v>1640</v>
      </c>
      <c r="P387" t="s">
        <v>1641</v>
      </c>
      <c r="Q387" t="s">
        <v>102</v>
      </c>
      <c r="R387" t="s">
        <v>78</v>
      </c>
      <c r="S387" t="s">
        <v>1465</v>
      </c>
      <c r="T387" t="s">
        <v>1639</v>
      </c>
      <c r="U387" t="s">
        <v>322</v>
      </c>
      <c r="V387" t="s">
        <v>82</v>
      </c>
      <c r="W387" t="s">
        <v>1621</v>
      </c>
      <c r="X387" t="s">
        <v>96</v>
      </c>
      <c r="Y387" t="s">
        <v>82</v>
      </c>
      <c r="Z387" t="s">
        <v>146</v>
      </c>
    </row>
    <row r="388" spans="1:26" x14ac:dyDescent="0.25">
      <c r="A388" t="s">
        <v>1642</v>
      </c>
      <c r="B388" t="s">
        <v>1643</v>
      </c>
      <c r="C388" s="4" t="s">
        <v>1288</v>
      </c>
      <c r="D388" t="s">
        <v>1618</v>
      </c>
      <c r="E388" t="s">
        <v>14</v>
      </c>
      <c r="F388" t="s">
        <v>85</v>
      </c>
      <c r="G388" t="s">
        <v>111</v>
      </c>
      <c r="H388" t="s">
        <v>78</v>
      </c>
      <c r="I388" t="s">
        <v>102</v>
      </c>
      <c r="J388" t="s">
        <v>87</v>
      </c>
      <c r="K388" t="s">
        <v>604</v>
      </c>
      <c r="L388" t="s">
        <v>89</v>
      </c>
      <c r="M388" t="s">
        <v>318</v>
      </c>
      <c r="N388" t="s">
        <v>1462</v>
      </c>
      <c r="O388" t="s">
        <v>1640</v>
      </c>
      <c r="P388" t="s">
        <v>1644</v>
      </c>
      <c r="Q388" t="s">
        <v>102</v>
      </c>
      <c r="R388" t="s">
        <v>78</v>
      </c>
      <c r="S388" t="s">
        <v>1465</v>
      </c>
      <c r="T388" t="s">
        <v>1643</v>
      </c>
      <c r="U388" t="s">
        <v>322</v>
      </c>
      <c r="V388" t="s">
        <v>82</v>
      </c>
      <c r="W388" t="s">
        <v>1621</v>
      </c>
      <c r="X388" t="s">
        <v>96</v>
      </c>
      <c r="Y388" t="s">
        <v>82</v>
      </c>
      <c r="Z388" t="s">
        <v>146</v>
      </c>
    </row>
    <row r="389" spans="1:26" x14ac:dyDescent="0.25">
      <c r="A389" t="s">
        <v>1645</v>
      </c>
      <c r="B389" t="s">
        <v>1646</v>
      </c>
      <c r="C389" s="4" t="s">
        <v>1288</v>
      </c>
      <c r="D389" t="s">
        <v>1618</v>
      </c>
      <c r="E389" t="s">
        <v>14</v>
      </c>
      <c r="F389" t="s">
        <v>85</v>
      </c>
      <c r="G389" t="s">
        <v>111</v>
      </c>
      <c r="H389" t="s">
        <v>78</v>
      </c>
      <c r="I389" t="s">
        <v>102</v>
      </c>
      <c r="J389" t="s">
        <v>33</v>
      </c>
      <c r="K389" t="s">
        <v>604</v>
      </c>
      <c r="L389" t="s">
        <v>89</v>
      </c>
      <c r="M389" t="s">
        <v>318</v>
      </c>
      <c r="N389" t="s">
        <v>1462</v>
      </c>
      <c r="O389" t="s">
        <v>1647</v>
      </c>
      <c r="P389" t="s">
        <v>1648</v>
      </c>
      <c r="Q389" t="s">
        <v>102</v>
      </c>
      <c r="R389" t="s">
        <v>78</v>
      </c>
      <c r="S389" t="s">
        <v>1465</v>
      </c>
      <c r="T389" t="s">
        <v>1646</v>
      </c>
      <c r="U389" t="s">
        <v>322</v>
      </c>
      <c r="V389" t="s">
        <v>82</v>
      </c>
      <c r="W389" t="s">
        <v>1621</v>
      </c>
      <c r="X389" t="s">
        <v>96</v>
      </c>
      <c r="Y389" t="s">
        <v>82</v>
      </c>
      <c r="Z389" t="s">
        <v>146</v>
      </c>
    </row>
    <row r="390" spans="1:26" x14ac:dyDescent="0.25">
      <c r="A390" t="s">
        <v>1649</v>
      </c>
      <c r="B390" t="s">
        <v>1650</v>
      </c>
      <c r="C390" s="4" t="s">
        <v>1294</v>
      </c>
      <c r="D390" t="s">
        <v>1618</v>
      </c>
      <c r="E390" t="s">
        <v>14</v>
      </c>
      <c r="F390" t="s">
        <v>85</v>
      </c>
      <c r="G390" t="s">
        <v>111</v>
      </c>
      <c r="H390" t="s">
        <v>78</v>
      </c>
      <c r="I390" t="s">
        <v>102</v>
      </c>
      <c r="J390" t="s">
        <v>33</v>
      </c>
      <c r="K390" t="s">
        <v>1630</v>
      </c>
      <c r="L390" t="s">
        <v>89</v>
      </c>
      <c r="M390" t="s">
        <v>318</v>
      </c>
      <c r="N390" t="s">
        <v>1462</v>
      </c>
      <c r="O390" t="s">
        <v>1651</v>
      </c>
      <c r="P390" t="s">
        <v>1651</v>
      </c>
      <c r="Q390" t="s">
        <v>102</v>
      </c>
      <c r="R390" t="s">
        <v>78</v>
      </c>
      <c r="S390" t="s">
        <v>1632</v>
      </c>
      <c r="T390" t="s">
        <v>1650</v>
      </c>
      <c r="U390" t="s">
        <v>322</v>
      </c>
      <c r="V390" t="s">
        <v>82</v>
      </c>
      <c r="W390" t="s">
        <v>1621</v>
      </c>
      <c r="X390" t="s">
        <v>96</v>
      </c>
      <c r="Y390" t="s">
        <v>82</v>
      </c>
      <c r="Z390" t="s">
        <v>146</v>
      </c>
    </row>
    <row r="391" spans="1:26" x14ac:dyDescent="0.25">
      <c r="A391" t="s">
        <v>1652</v>
      </c>
      <c r="B391" t="s">
        <v>1653</v>
      </c>
      <c r="C391" s="4" t="s">
        <v>1294</v>
      </c>
      <c r="D391" t="s">
        <v>1618</v>
      </c>
      <c r="E391" t="s">
        <v>14</v>
      </c>
      <c r="F391" t="s">
        <v>85</v>
      </c>
      <c r="G391" t="s">
        <v>111</v>
      </c>
      <c r="H391" t="s">
        <v>78</v>
      </c>
      <c r="I391" t="s">
        <v>102</v>
      </c>
      <c r="J391" t="s">
        <v>87</v>
      </c>
      <c r="K391" t="s">
        <v>1630</v>
      </c>
      <c r="L391" t="s">
        <v>89</v>
      </c>
      <c r="M391" t="s">
        <v>318</v>
      </c>
      <c r="N391" t="s">
        <v>1462</v>
      </c>
      <c r="O391" t="s">
        <v>1654</v>
      </c>
      <c r="P391" t="s">
        <v>1654</v>
      </c>
      <c r="Q391" t="s">
        <v>102</v>
      </c>
      <c r="R391" t="s">
        <v>78</v>
      </c>
      <c r="S391" t="s">
        <v>1632</v>
      </c>
      <c r="T391" t="s">
        <v>1653</v>
      </c>
      <c r="U391" t="s">
        <v>322</v>
      </c>
      <c r="V391" t="s">
        <v>82</v>
      </c>
      <c r="W391" t="s">
        <v>1621</v>
      </c>
      <c r="X391" t="s">
        <v>96</v>
      </c>
      <c r="Y391" t="s">
        <v>82</v>
      </c>
      <c r="Z391" t="s">
        <v>146</v>
      </c>
    </row>
    <row r="392" spans="1:26" x14ac:dyDescent="0.25">
      <c r="A392" t="s">
        <v>1655</v>
      </c>
      <c r="B392" t="s">
        <v>1656</v>
      </c>
      <c r="C392" s="4" t="s">
        <v>1294</v>
      </c>
      <c r="D392" t="s">
        <v>1618</v>
      </c>
      <c r="E392" t="s">
        <v>14</v>
      </c>
      <c r="F392" t="s">
        <v>85</v>
      </c>
      <c r="G392" t="s">
        <v>111</v>
      </c>
      <c r="H392" t="s">
        <v>78</v>
      </c>
      <c r="I392" t="s">
        <v>102</v>
      </c>
      <c r="J392" t="s">
        <v>32</v>
      </c>
      <c r="K392" t="s">
        <v>1630</v>
      </c>
      <c r="L392" t="s">
        <v>89</v>
      </c>
      <c r="M392" t="s">
        <v>318</v>
      </c>
      <c r="N392" t="s">
        <v>1462</v>
      </c>
      <c r="O392" t="s">
        <v>1654</v>
      </c>
      <c r="P392" t="s">
        <v>1654</v>
      </c>
      <c r="Q392" t="s">
        <v>102</v>
      </c>
      <c r="R392" t="s">
        <v>78</v>
      </c>
      <c r="S392" t="s">
        <v>1632</v>
      </c>
      <c r="T392" t="s">
        <v>1656</v>
      </c>
      <c r="U392" t="s">
        <v>322</v>
      </c>
      <c r="V392" t="s">
        <v>82</v>
      </c>
      <c r="W392" t="s">
        <v>1621</v>
      </c>
      <c r="X392" t="s">
        <v>96</v>
      </c>
      <c r="Y392" t="s">
        <v>82</v>
      </c>
      <c r="Z392" t="s">
        <v>146</v>
      </c>
    </row>
    <row r="393" spans="1:26" x14ac:dyDescent="0.25">
      <c r="A393" t="s">
        <v>1657</v>
      </c>
      <c r="B393" t="s">
        <v>1658</v>
      </c>
      <c r="C393" s="4" t="s">
        <v>1659</v>
      </c>
      <c r="D393" t="s">
        <v>1606</v>
      </c>
      <c r="E393" t="s">
        <v>14</v>
      </c>
      <c r="F393" t="s">
        <v>83</v>
      </c>
      <c r="G393" t="s">
        <v>105</v>
      </c>
      <c r="H393" t="s">
        <v>78</v>
      </c>
      <c r="I393" t="s">
        <v>102</v>
      </c>
      <c r="J393" t="s">
        <v>1472</v>
      </c>
      <c r="K393" t="s">
        <v>1660</v>
      </c>
      <c r="L393" t="s">
        <v>89</v>
      </c>
      <c r="M393" t="s">
        <v>318</v>
      </c>
      <c r="N393" t="s">
        <v>1608</v>
      </c>
      <c r="O393" t="s">
        <v>1661</v>
      </c>
      <c r="P393" t="s">
        <v>1661</v>
      </c>
      <c r="Q393" t="s">
        <v>102</v>
      </c>
      <c r="R393" t="s">
        <v>78</v>
      </c>
      <c r="S393" t="s">
        <v>1662</v>
      </c>
      <c r="T393" t="s">
        <v>1658</v>
      </c>
      <c r="U393" t="s">
        <v>322</v>
      </c>
      <c r="V393" t="s">
        <v>82</v>
      </c>
      <c r="W393" t="s">
        <v>1663</v>
      </c>
      <c r="X393" t="s">
        <v>96</v>
      </c>
      <c r="Y393" t="s">
        <v>82</v>
      </c>
      <c r="Z393" t="s">
        <v>146</v>
      </c>
    </row>
    <row r="394" spans="1:26" x14ac:dyDescent="0.25">
      <c r="A394" t="s">
        <v>1664</v>
      </c>
      <c r="B394" t="s">
        <v>1665</v>
      </c>
      <c r="C394" s="4" t="s">
        <v>1659</v>
      </c>
      <c r="D394" t="s">
        <v>1606</v>
      </c>
      <c r="E394" t="s">
        <v>14</v>
      </c>
      <c r="F394" t="s">
        <v>83</v>
      </c>
      <c r="G394" t="s">
        <v>105</v>
      </c>
      <c r="H394" t="s">
        <v>78</v>
      </c>
      <c r="I394" t="s">
        <v>102</v>
      </c>
      <c r="J394" t="s">
        <v>87</v>
      </c>
      <c r="K394" t="s">
        <v>1660</v>
      </c>
      <c r="L394" t="s">
        <v>89</v>
      </c>
      <c r="M394" t="s">
        <v>318</v>
      </c>
      <c r="N394" t="s">
        <v>1608</v>
      </c>
      <c r="O394" t="s">
        <v>1661</v>
      </c>
      <c r="P394" t="s">
        <v>1661</v>
      </c>
      <c r="Q394" t="s">
        <v>102</v>
      </c>
      <c r="R394" t="s">
        <v>78</v>
      </c>
      <c r="S394" t="s">
        <v>1662</v>
      </c>
      <c r="T394" t="s">
        <v>1665</v>
      </c>
      <c r="U394" t="s">
        <v>322</v>
      </c>
      <c r="V394" t="s">
        <v>82</v>
      </c>
      <c r="W394" t="s">
        <v>1663</v>
      </c>
      <c r="X394" t="s">
        <v>96</v>
      </c>
      <c r="Y394" t="s">
        <v>82</v>
      </c>
      <c r="Z394" t="s">
        <v>146</v>
      </c>
    </row>
    <row r="395" spans="1:26" x14ac:dyDescent="0.25">
      <c r="A395" t="s">
        <v>1605</v>
      </c>
      <c r="B395" t="s">
        <v>1666</v>
      </c>
      <c r="C395" s="4" t="s">
        <v>1659</v>
      </c>
      <c r="D395" t="s">
        <v>1606</v>
      </c>
      <c r="E395" t="s">
        <v>14</v>
      </c>
      <c r="F395" t="s">
        <v>83</v>
      </c>
      <c r="G395" t="s">
        <v>105</v>
      </c>
      <c r="H395" t="s">
        <v>78</v>
      </c>
      <c r="I395" t="s">
        <v>102</v>
      </c>
      <c r="J395" t="s">
        <v>1477</v>
      </c>
      <c r="K395" t="s">
        <v>1660</v>
      </c>
      <c r="L395" t="s">
        <v>89</v>
      </c>
      <c r="M395" t="s">
        <v>318</v>
      </c>
      <c r="N395" t="s">
        <v>1608</v>
      </c>
      <c r="O395" t="s">
        <v>1667</v>
      </c>
      <c r="P395" t="s">
        <v>1667</v>
      </c>
      <c r="Q395" t="s">
        <v>102</v>
      </c>
      <c r="R395" t="s">
        <v>78</v>
      </c>
      <c r="S395" t="s">
        <v>1662</v>
      </c>
      <c r="T395" t="s">
        <v>1666</v>
      </c>
      <c r="U395" t="s">
        <v>322</v>
      </c>
      <c r="V395" t="s">
        <v>82</v>
      </c>
      <c r="W395" t="s">
        <v>1663</v>
      </c>
      <c r="X395" t="s">
        <v>96</v>
      </c>
      <c r="Y395" t="s">
        <v>82</v>
      </c>
      <c r="Z395" t="s">
        <v>146</v>
      </c>
    </row>
    <row r="396" spans="1:26" x14ac:dyDescent="0.25">
      <c r="A396" t="s">
        <v>1668</v>
      </c>
      <c r="B396" t="s">
        <v>1669</v>
      </c>
      <c r="C396" s="4" t="s">
        <v>1306</v>
      </c>
      <c r="D396" t="s">
        <v>1670</v>
      </c>
      <c r="E396" t="s">
        <v>14</v>
      </c>
      <c r="F396" t="s">
        <v>85</v>
      </c>
      <c r="G396" t="s">
        <v>102</v>
      </c>
      <c r="H396" t="s">
        <v>78</v>
      </c>
      <c r="I396" t="s">
        <v>86</v>
      </c>
      <c r="J396" t="s">
        <v>1472</v>
      </c>
      <c r="K396" t="s">
        <v>799</v>
      </c>
      <c r="L396" t="s">
        <v>89</v>
      </c>
      <c r="M396" t="s">
        <v>318</v>
      </c>
      <c r="N396" t="s">
        <v>937</v>
      </c>
      <c r="O396" t="s">
        <v>1671</v>
      </c>
      <c r="P396" t="s">
        <v>1672</v>
      </c>
      <c r="Q396" t="s">
        <v>102</v>
      </c>
      <c r="R396" t="s">
        <v>128</v>
      </c>
      <c r="S396" t="s">
        <v>1523</v>
      </c>
      <c r="T396" t="s">
        <v>1669</v>
      </c>
      <c r="U396" t="s">
        <v>322</v>
      </c>
      <c r="V396" t="s">
        <v>82</v>
      </c>
      <c r="W396" t="s">
        <v>1673</v>
      </c>
      <c r="X396" t="s">
        <v>96</v>
      </c>
      <c r="Y396" t="s">
        <v>82</v>
      </c>
      <c r="Z396" t="s">
        <v>82</v>
      </c>
    </row>
    <row r="397" spans="1:26" x14ac:dyDescent="0.25">
      <c r="A397" t="s">
        <v>1674</v>
      </c>
      <c r="B397" t="s">
        <v>1675</v>
      </c>
      <c r="C397" s="4" t="s">
        <v>1306</v>
      </c>
      <c r="D397" t="s">
        <v>1670</v>
      </c>
      <c r="E397" t="s">
        <v>14</v>
      </c>
      <c r="F397" t="s">
        <v>85</v>
      </c>
      <c r="G397" t="s">
        <v>102</v>
      </c>
      <c r="H397" t="s">
        <v>78</v>
      </c>
      <c r="I397" t="s">
        <v>86</v>
      </c>
      <c r="J397" t="s">
        <v>87</v>
      </c>
      <c r="K397" t="s">
        <v>799</v>
      </c>
      <c r="L397" t="s">
        <v>89</v>
      </c>
      <c r="M397" t="s">
        <v>318</v>
      </c>
      <c r="N397" t="s">
        <v>937</v>
      </c>
      <c r="O397" t="s">
        <v>1676</v>
      </c>
      <c r="P397" t="s">
        <v>1677</v>
      </c>
      <c r="Q397" t="s">
        <v>102</v>
      </c>
      <c r="R397" t="s">
        <v>128</v>
      </c>
      <c r="S397" t="s">
        <v>1523</v>
      </c>
      <c r="T397" t="s">
        <v>1675</v>
      </c>
      <c r="U397" t="s">
        <v>322</v>
      </c>
      <c r="V397" t="s">
        <v>82</v>
      </c>
      <c r="W397" t="s">
        <v>1673</v>
      </c>
      <c r="X397" t="s">
        <v>96</v>
      </c>
      <c r="Y397" t="s">
        <v>82</v>
      </c>
      <c r="Z397" t="s">
        <v>82</v>
      </c>
    </row>
    <row r="398" spans="1:26" x14ac:dyDescent="0.25">
      <c r="A398" t="s">
        <v>1659</v>
      </c>
      <c r="B398" t="s">
        <v>1678</v>
      </c>
      <c r="C398" s="4" t="s">
        <v>1306</v>
      </c>
      <c r="D398" t="s">
        <v>1670</v>
      </c>
      <c r="E398" t="s">
        <v>14</v>
      </c>
      <c r="F398" t="s">
        <v>85</v>
      </c>
      <c r="G398" t="s">
        <v>102</v>
      </c>
      <c r="H398" t="s">
        <v>78</v>
      </c>
      <c r="I398" t="s">
        <v>86</v>
      </c>
      <c r="J398" t="s">
        <v>33</v>
      </c>
      <c r="K398" t="s">
        <v>799</v>
      </c>
      <c r="L398" t="s">
        <v>89</v>
      </c>
      <c r="M398" t="s">
        <v>318</v>
      </c>
      <c r="N398" t="s">
        <v>937</v>
      </c>
      <c r="O398" t="s">
        <v>1676</v>
      </c>
      <c r="P398" t="s">
        <v>1679</v>
      </c>
      <c r="Q398" t="s">
        <v>102</v>
      </c>
      <c r="R398" t="s">
        <v>128</v>
      </c>
      <c r="S398" t="s">
        <v>1523</v>
      </c>
      <c r="T398" t="s">
        <v>1678</v>
      </c>
      <c r="U398" t="s">
        <v>322</v>
      </c>
      <c r="V398" t="s">
        <v>82</v>
      </c>
      <c r="W398" t="s">
        <v>1673</v>
      </c>
      <c r="X398" t="s">
        <v>96</v>
      </c>
      <c r="Y398" t="s">
        <v>82</v>
      </c>
      <c r="Z398" t="s">
        <v>146</v>
      </c>
    </row>
    <row r="399" spans="1:26" x14ac:dyDescent="0.25">
      <c r="A399" t="s">
        <v>1680</v>
      </c>
      <c r="B399" t="s">
        <v>1681</v>
      </c>
      <c r="C399" s="4" t="s">
        <v>1306</v>
      </c>
      <c r="D399" t="s">
        <v>1670</v>
      </c>
      <c r="E399" t="s">
        <v>14</v>
      </c>
      <c r="F399" t="s">
        <v>85</v>
      </c>
      <c r="G399" t="s">
        <v>102</v>
      </c>
      <c r="H399" t="s">
        <v>78</v>
      </c>
      <c r="I399" t="s">
        <v>85</v>
      </c>
      <c r="J399" t="s">
        <v>1682</v>
      </c>
      <c r="K399" t="s">
        <v>799</v>
      </c>
      <c r="L399" t="s">
        <v>89</v>
      </c>
      <c r="M399" t="s">
        <v>318</v>
      </c>
      <c r="N399" t="s">
        <v>937</v>
      </c>
      <c r="O399" t="s">
        <v>1676</v>
      </c>
      <c r="P399" t="s">
        <v>1683</v>
      </c>
      <c r="Q399" t="s">
        <v>102</v>
      </c>
      <c r="R399" t="s">
        <v>128</v>
      </c>
      <c r="S399" t="s">
        <v>354</v>
      </c>
      <c r="T399" t="s">
        <v>1681</v>
      </c>
      <c r="U399" t="s">
        <v>322</v>
      </c>
      <c r="V399" t="s">
        <v>82</v>
      </c>
      <c r="W399" t="s">
        <v>1673</v>
      </c>
      <c r="X399" t="s">
        <v>96</v>
      </c>
      <c r="Y399" t="s">
        <v>82</v>
      </c>
      <c r="Z399" t="s">
        <v>146</v>
      </c>
    </row>
    <row r="400" spans="1:26" x14ac:dyDescent="0.25">
      <c r="A400" t="s">
        <v>1684</v>
      </c>
      <c r="B400" t="s">
        <v>1685</v>
      </c>
      <c r="C400" s="4" t="s">
        <v>1309</v>
      </c>
      <c r="D400" t="s">
        <v>1670</v>
      </c>
      <c r="E400" t="s">
        <v>14</v>
      </c>
      <c r="F400" t="s">
        <v>85</v>
      </c>
      <c r="G400" t="s">
        <v>102</v>
      </c>
      <c r="H400" t="s">
        <v>78</v>
      </c>
      <c r="I400" t="s">
        <v>86</v>
      </c>
      <c r="J400" t="s">
        <v>1682</v>
      </c>
      <c r="K400" t="s">
        <v>799</v>
      </c>
      <c r="L400" t="s">
        <v>89</v>
      </c>
      <c r="M400" t="s">
        <v>318</v>
      </c>
      <c r="N400" t="s">
        <v>937</v>
      </c>
      <c r="O400" t="s">
        <v>1686</v>
      </c>
      <c r="P400" t="s">
        <v>1687</v>
      </c>
      <c r="Q400" t="s">
        <v>102</v>
      </c>
      <c r="R400" t="s">
        <v>128</v>
      </c>
      <c r="S400" t="s">
        <v>1523</v>
      </c>
      <c r="T400" t="s">
        <v>1685</v>
      </c>
      <c r="U400" t="s">
        <v>322</v>
      </c>
      <c r="V400" t="s">
        <v>82</v>
      </c>
      <c r="W400" t="s">
        <v>1673</v>
      </c>
      <c r="X400" t="s">
        <v>96</v>
      </c>
      <c r="Y400" t="s">
        <v>82</v>
      </c>
      <c r="Z400" t="s">
        <v>82</v>
      </c>
    </row>
    <row r="401" spans="1:26" x14ac:dyDescent="0.25">
      <c r="A401" t="s">
        <v>1688</v>
      </c>
      <c r="B401" t="s">
        <v>1689</v>
      </c>
      <c r="C401" s="4" t="s">
        <v>1309</v>
      </c>
      <c r="D401" t="s">
        <v>1670</v>
      </c>
      <c r="E401" t="s">
        <v>14</v>
      </c>
      <c r="F401" t="s">
        <v>85</v>
      </c>
      <c r="G401" t="s">
        <v>102</v>
      </c>
      <c r="H401" t="s">
        <v>78</v>
      </c>
      <c r="I401" t="s">
        <v>78</v>
      </c>
      <c r="J401" t="s">
        <v>87</v>
      </c>
      <c r="K401" t="s">
        <v>799</v>
      </c>
      <c r="L401" t="s">
        <v>89</v>
      </c>
      <c r="M401" t="s">
        <v>318</v>
      </c>
      <c r="N401" t="s">
        <v>937</v>
      </c>
      <c r="O401" t="s">
        <v>1686</v>
      </c>
      <c r="P401" t="s">
        <v>1690</v>
      </c>
      <c r="Q401" t="s">
        <v>102</v>
      </c>
      <c r="R401" t="s">
        <v>128</v>
      </c>
      <c r="S401" t="s">
        <v>799</v>
      </c>
      <c r="T401" t="s">
        <v>1689</v>
      </c>
      <c r="U401" t="s">
        <v>322</v>
      </c>
      <c r="V401" t="s">
        <v>82</v>
      </c>
      <c r="W401" t="s">
        <v>1673</v>
      </c>
      <c r="X401" t="s">
        <v>96</v>
      </c>
      <c r="Y401" t="s">
        <v>82</v>
      </c>
      <c r="Z401" t="s">
        <v>82</v>
      </c>
    </row>
    <row r="402" spans="1:26" x14ac:dyDescent="0.25">
      <c r="A402" t="s">
        <v>1691</v>
      </c>
      <c r="B402" t="s">
        <v>1692</v>
      </c>
      <c r="C402" s="4" t="s">
        <v>1309</v>
      </c>
      <c r="D402" t="s">
        <v>1670</v>
      </c>
      <c r="E402" t="s">
        <v>14</v>
      </c>
      <c r="F402" t="s">
        <v>85</v>
      </c>
      <c r="G402" t="s">
        <v>102</v>
      </c>
      <c r="H402" t="s">
        <v>78</v>
      </c>
      <c r="I402" t="s">
        <v>86</v>
      </c>
      <c r="J402" t="s">
        <v>33</v>
      </c>
      <c r="K402" t="s">
        <v>799</v>
      </c>
      <c r="L402" t="s">
        <v>89</v>
      </c>
      <c r="M402" t="s">
        <v>318</v>
      </c>
      <c r="N402" t="s">
        <v>937</v>
      </c>
      <c r="O402" t="s">
        <v>1693</v>
      </c>
      <c r="P402" t="s">
        <v>1694</v>
      </c>
      <c r="Q402" t="s">
        <v>102</v>
      </c>
      <c r="R402" t="s">
        <v>128</v>
      </c>
      <c r="S402" t="s">
        <v>1523</v>
      </c>
      <c r="T402" t="s">
        <v>1692</v>
      </c>
      <c r="U402" t="s">
        <v>322</v>
      </c>
      <c r="V402" t="s">
        <v>82</v>
      </c>
      <c r="W402" t="s">
        <v>1673</v>
      </c>
      <c r="X402" t="s">
        <v>96</v>
      </c>
      <c r="Y402" t="s">
        <v>82</v>
      </c>
      <c r="Z402" t="s">
        <v>82</v>
      </c>
    </row>
    <row r="403" spans="1:26" x14ac:dyDescent="0.25">
      <c r="A403" t="s">
        <v>1695</v>
      </c>
      <c r="B403" t="s">
        <v>1696</v>
      </c>
      <c r="C403" s="4" t="s">
        <v>1309</v>
      </c>
      <c r="D403" t="s">
        <v>1670</v>
      </c>
      <c r="E403" t="s">
        <v>14</v>
      </c>
      <c r="F403" t="s">
        <v>85</v>
      </c>
      <c r="G403" t="s">
        <v>102</v>
      </c>
      <c r="H403" t="s">
        <v>78</v>
      </c>
      <c r="I403" t="s">
        <v>86</v>
      </c>
      <c r="J403" t="s">
        <v>1472</v>
      </c>
      <c r="K403" t="s">
        <v>799</v>
      </c>
      <c r="L403" t="s">
        <v>89</v>
      </c>
      <c r="M403" t="s">
        <v>318</v>
      </c>
      <c r="N403" t="s">
        <v>937</v>
      </c>
      <c r="O403" t="s">
        <v>1693</v>
      </c>
      <c r="P403" t="s">
        <v>1697</v>
      </c>
      <c r="Q403" t="s">
        <v>102</v>
      </c>
      <c r="R403" t="s">
        <v>128</v>
      </c>
      <c r="S403" t="s">
        <v>1523</v>
      </c>
      <c r="T403" t="s">
        <v>1696</v>
      </c>
      <c r="U403" t="s">
        <v>322</v>
      </c>
      <c r="V403" t="s">
        <v>82</v>
      </c>
      <c r="W403" t="s">
        <v>1673</v>
      </c>
      <c r="X403" t="s">
        <v>96</v>
      </c>
      <c r="Y403" t="s">
        <v>82</v>
      </c>
      <c r="Z403" t="s">
        <v>82</v>
      </c>
    </row>
    <row r="404" spans="1:26" x14ac:dyDescent="0.25">
      <c r="A404" t="s">
        <v>1698</v>
      </c>
      <c r="B404" t="s">
        <v>1699</v>
      </c>
      <c r="C404" s="4" t="s">
        <v>1698</v>
      </c>
      <c r="D404" t="s">
        <v>1700</v>
      </c>
      <c r="E404" t="s">
        <v>14</v>
      </c>
      <c r="F404" t="s">
        <v>83</v>
      </c>
      <c r="G404" t="s">
        <v>105</v>
      </c>
      <c r="H404" t="s">
        <v>78</v>
      </c>
      <c r="I404" t="s">
        <v>102</v>
      </c>
      <c r="J404" t="s">
        <v>1472</v>
      </c>
      <c r="K404" t="s">
        <v>1357</v>
      </c>
      <c r="L404" t="s">
        <v>89</v>
      </c>
      <c r="M404" t="s">
        <v>318</v>
      </c>
      <c r="N404" t="s">
        <v>1701</v>
      </c>
      <c r="O404" t="s">
        <v>1702</v>
      </c>
      <c r="P404" t="s">
        <v>1702</v>
      </c>
      <c r="Q404" t="s">
        <v>102</v>
      </c>
      <c r="R404" t="s">
        <v>128</v>
      </c>
      <c r="S404" t="s">
        <v>636</v>
      </c>
      <c r="T404" t="s">
        <v>1699</v>
      </c>
      <c r="U404" t="s">
        <v>322</v>
      </c>
      <c r="V404" t="s">
        <v>82</v>
      </c>
      <c r="W404" t="s">
        <v>1703</v>
      </c>
      <c r="X404" t="s">
        <v>96</v>
      </c>
      <c r="Y404" t="s">
        <v>82</v>
      </c>
      <c r="Z404" t="s">
        <v>82</v>
      </c>
    </row>
    <row r="405" spans="1:26" x14ac:dyDescent="0.25">
      <c r="A405" t="s">
        <v>1704</v>
      </c>
      <c r="B405" t="s">
        <v>1705</v>
      </c>
      <c r="C405" s="4" t="s">
        <v>1698</v>
      </c>
      <c r="D405" t="s">
        <v>1700</v>
      </c>
      <c r="E405" t="s">
        <v>14</v>
      </c>
      <c r="F405" t="s">
        <v>83</v>
      </c>
      <c r="G405" t="s">
        <v>105</v>
      </c>
      <c r="H405" t="s">
        <v>78</v>
      </c>
      <c r="I405" t="s">
        <v>102</v>
      </c>
      <c r="J405" t="s">
        <v>33</v>
      </c>
      <c r="K405" t="s">
        <v>1357</v>
      </c>
      <c r="L405" t="s">
        <v>89</v>
      </c>
      <c r="M405" t="s">
        <v>318</v>
      </c>
      <c r="N405" t="s">
        <v>1701</v>
      </c>
      <c r="O405" t="s">
        <v>1706</v>
      </c>
      <c r="P405" t="s">
        <v>1706</v>
      </c>
      <c r="Q405" t="s">
        <v>102</v>
      </c>
      <c r="R405" t="s">
        <v>128</v>
      </c>
      <c r="S405" t="s">
        <v>636</v>
      </c>
      <c r="T405" t="s">
        <v>1705</v>
      </c>
      <c r="U405" t="s">
        <v>322</v>
      </c>
      <c r="V405" t="s">
        <v>82</v>
      </c>
      <c r="W405" t="s">
        <v>1703</v>
      </c>
      <c r="X405" t="s">
        <v>96</v>
      </c>
      <c r="Y405" t="s">
        <v>82</v>
      </c>
      <c r="Z405" t="s">
        <v>82</v>
      </c>
    </row>
    <row r="406" spans="1:26" x14ac:dyDescent="0.25">
      <c r="A406" t="s">
        <v>1707</v>
      </c>
      <c r="B406" t="s">
        <v>1708</v>
      </c>
      <c r="C406" s="4" t="s">
        <v>1698</v>
      </c>
      <c r="D406" t="s">
        <v>1700</v>
      </c>
      <c r="E406" t="s">
        <v>14</v>
      </c>
      <c r="F406" t="s">
        <v>83</v>
      </c>
      <c r="G406" t="s">
        <v>105</v>
      </c>
      <c r="H406" t="s">
        <v>78</v>
      </c>
      <c r="I406" t="s">
        <v>102</v>
      </c>
      <c r="J406" t="s">
        <v>87</v>
      </c>
      <c r="K406" t="s">
        <v>1357</v>
      </c>
      <c r="L406" t="s">
        <v>89</v>
      </c>
      <c r="M406" t="s">
        <v>318</v>
      </c>
      <c r="N406" t="s">
        <v>1701</v>
      </c>
      <c r="O406" t="s">
        <v>1709</v>
      </c>
      <c r="P406" t="s">
        <v>1709</v>
      </c>
      <c r="Q406" t="s">
        <v>102</v>
      </c>
      <c r="R406" t="s">
        <v>128</v>
      </c>
      <c r="S406" t="s">
        <v>636</v>
      </c>
      <c r="T406" t="s">
        <v>1708</v>
      </c>
      <c r="U406" t="s">
        <v>322</v>
      </c>
      <c r="V406" t="s">
        <v>82</v>
      </c>
      <c r="W406" t="s">
        <v>1703</v>
      </c>
      <c r="X406" t="s">
        <v>96</v>
      </c>
      <c r="Y406" t="s">
        <v>82</v>
      </c>
      <c r="Z406" t="s">
        <v>82</v>
      </c>
    </row>
    <row r="407" spans="1:26" x14ac:dyDescent="0.25">
      <c r="A407" t="s">
        <v>1710</v>
      </c>
      <c r="B407" t="s">
        <v>1711</v>
      </c>
      <c r="C407" s="4" t="s">
        <v>1698</v>
      </c>
      <c r="D407" t="s">
        <v>1700</v>
      </c>
      <c r="E407" t="s">
        <v>14</v>
      </c>
      <c r="F407" t="s">
        <v>83</v>
      </c>
      <c r="G407" t="s">
        <v>105</v>
      </c>
      <c r="H407" t="s">
        <v>78</v>
      </c>
      <c r="I407" t="s">
        <v>102</v>
      </c>
      <c r="J407" t="s">
        <v>546</v>
      </c>
      <c r="K407" t="s">
        <v>1357</v>
      </c>
      <c r="L407" t="s">
        <v>89</v>
      </c>
      <c r="M407" t="s">
        <v>318</v>
      </c>
      <c r="N407" t="s">
        <v>1701</v>
      </c>
      <c r="O407" t="s">
        <v>1709</v>
      </c>
      <c r="P407" t="s">
        <v>1709</v>
      </c>
      <c r="Q407" t="s">
        <v>102</v>
      </c>
      <c r="R407" t="s">
        <v>128</v>
      </c>
      <c r="S407" t="s">
        <v>636</v>
      </c>
      <c r="T407" t="s">
        <v>1711</v>
      </c>
      <c r="U407" t="s">
        <v>322</v>
      </c>
      <c r="V407" t="s">
        <v>82</v>
      </c>
      <c r="W407" t="s">
        <v>1703</v>
      </c>
      <c r="X407" t="s">
        <v>96</v>
      </c>
      <c r="Y407" t="s">
        <v>82</v>
      </c>
      <c r="Z407" t="s">
        <v>82</v>
      </c>
    </row>
    <row r="408" spans="1:26" x14ac:dyDescent="0.25">
      <c r="A408" t="s">
        <v>1712</v>
      </c>
      <c r="B408" t="s">
        <v>1713</v>
      </c>
      <c r="C408" s="4" t="s">
        <v>1695</v>
      </c>
      <c r="D408" t="s">
        <v>1700</v>
      </c>
      <c r="E408" t="s">
        <v>14</v>
      </c>
      <c r="F408" t="s">
        <v>83</v>
      </c>
      <c r="G408" t="s">
        <v>105</v>
      </c>
      <c r="H408" t="s">
        <v>78</v>
      </c>
      <c r="I408" t="s">
        <v>86</v>
      </c>
      <c r="J408" t="s">
        <v>546</v>
      </c>
      <c r="K408" t="s">
        <v>1357</v>
      </c>
      <c r="L408" t="s">
        <v>89</v>
      </c>
      <c r="M408" t="s">
        <v>318</v>
      </c>
      <c r="N408" t="s">
        <v>1701</v>
      </c>
      <c r="O408" t="s">
        <v>1714</v>
      </c>
      <c r="P408" t="s">
        <v>1715</v>
      </c>
      <c r="Q408" t="s">
        <v>102</v>
      </c>
      <c r="R408" t="s">
        <v>128</v>
      </c>
      <c r="S408" t="s">
        <v>679</v>
      </c>
      <c r="T408" t="s">
        <v>1713</v>
      </c>
      <c r="U408" t="s">
        <v>322</v>
      </c>
      <c r="V408" t="s">
        <v>82</v>
      </c>
      <c r="W408" t="s">
        <v>1703</v>
      </c>
      <c r="X408" t="s">
        <v>96</v>
      </c>
      <c r="Y408" t="s">
        <v>82</v>
      </c>
      <c r="Z408" t="s">
        <v>82</v>
      </c>
    </row>
    <row r="409" spans="1:26" x14ac:dyDescent="0.25">
      <c r="A409" t="s">
        <v>1716</v>
      </c>
      <c r="B409" t="s">
        <v>1717</v>
      </c>
      <c r="C409" s="4" t="s">
        <v>1695</v>
      </c>
      <c r="D409" t="s">
        <v>1700</v>
      </c>
      <c r="E409" t="s">
        <v>14</v>
      </c>
      <c r="F409" t="s">
        <v>83</v>
      </c>
      <c r="G409" t="s">
        <v>105</v>
      </c>
      <c r="H409" t="s">
        <v>78</v>
      </c>
      <c r="I409" t="s">
        <v>86</v>
      </c>
      <c r="J409" t="s">
        <v>33</v>
      </c>
      <c r="K409" t="s">
        <v>1357</v>
      </c>
      <c r="L409" t="s">
        <v>89</v>
      </c>
      <c r="M409" t="s">
        <v>318</v>
      </c>
      <c r="N409" t="s">
        <v>1701</v>
      </c>
      <c r="O409" t="s">
        <v>1714</v>
      </c>
      <c r="P409" t="s">
        <v>1718</v>
      </c>
      <c r="Q409" t="s">
        <v>102</v>
      </c>
      <c r="R409" t="s">
        <v>128</v>
      </c>
      <c r="S409" t="s">
        <v>679</v>
      </c>
      <c r="T409" t="s">
        <v>1717</v>
      </c>
      <c r="U409" t="s">
        <v>322</v>
      </c>
      <c r="V409" t="s">
        <v>82</v>
      </c>
      <c r="W409" t="s">
        <v>1703</v>
      </c>
      <c r="X409" t="s">
        <v>96</v>
      </c>
      <c r="Y409" t="s">
        <v>82</v>
      </c>
      <c r="Z409" t="s">
        <v>82</v>
      </c>
    </row>
    <row r="410" spans="1:26" x14ac:dyDescent="0.25">
      <c r="A410" t="s">
        <v>1719</v>
      </c>
      <c r="B410" t="s">
        <v>1720</v>
      </c>
      <c r="C410" s="4" t="s">
        <v>1695</v>
      </c>
      <c r="D410" t="s">
        <v>1700</v>
      </c>
      <c r="E410" t="s">
        <v>14</v>
      </c>
      <c r="F410" t="s">
        <v>83</v>
      </c>
      <c r="G410" t="s">
        <v>105</v>
      </c>
      <c r="H410" t="s">
        <v>78</v>
      </c>
      <c r="I410" t="s">
        <v>86</v>
      </c>
      <c r="J410" t="s">
        <v>87</v>
      </c>
      <c r="K410" t="s">
        <v>1357</v>
      </c>
      <c r="L410" t="s">
        <v>89</v>
      </c>
      <c r="M410" t="s">
        <v>318</v>
      </c>
      <c r="N410" t="s">
        <v>1701</v>
      </c>
      <c r="O410" t="s">
        <v>1721</v>
      </c>
      <c r="P410" t="s">
        <v>1722</v>
      </c>
      <c r="Q410" t="s">
        <v>102</v>
      </c>
      <c r="R410" t="s">
        <v>128</v>
      </c>
      <c r="S410" t="s">
        <v>679</v>
      </c>
      <c r="T410" t="s">
        <v>1720</v>
      </c>
      <c r="U410" t="s">
        <v>322</v>
      </c>
      <c r="V410" t="s">
        <v>82</v>
      </c>
      <c r="W410" t="s">
        <v>1703</v>
      </c>
      <c r="X410" t="s">
        <v>96</v>
      </c>
      <c r="Y410" t="s">
        <v>82</v>
      </c>
      <c r="Z410" t="s">
        <v>82</v>
      </c>
    </row>
    <row r="411" spans="1:26" x14ac:dyDescent="0.25">
      <c r="A411" t="s">
        <v>1723</v>
      </c>
      <c r="B411" t="s">
        <v>1724</v>
      </c>
      <c r="C411" s="4" t="s">
        <v>1695</v>
      </c>
      <c r="D411" t="s">
        <v>1700</v>
      </c>
      <c r="E411" t="s">
        <v>14</v>
      </c>
      <c r="F411" t="s">
        <v>83</v>
      </c>
      <c r="G411" t="s">
        <v>105</v>
      </c>
      <c r="H411" t="s">
        <v>78</v>
      </c>
      <c r="I411" t="s">
        <v>86</v>
      </c>
      <c r="J411" t="s">
        <v>1472</v>
      </c>
      <c r="K411" t="s">
        <v>1357</v>
      </c>
      <c r="L411" t="s">
        <v>89</v>
      </c>
      <c r="M411" t="s">
        <v>318</v>
      </c>
      <c r="N411" t="s">
        <v>1701</v>
      </c>
      <c r="O411" t="s">
        <v>1721</v>
      </c>
      <c r="P411" t="s">
        <v>1725</v>
      </c>
      <c r="Q411" t="s">
        <v>102</v>
      </c>
      <c r="R411" t="s">
        <v>128</v>
      </c>
      <c r="S411" t="s">
        <v>679</v>
      </c>
      <c r="T411" t="s">
        <v>1724</v>
      </c>
      <c r="U411" t="s">
        <v>322</v>
      </c>
      <c r="V411" t="s">
        <v>82</v>
      </c>
      <c r="W411" t="s">
        <v>1703</v>
      </c>
      <c r="X411" t="s">
        <v>96</v>
      </c>
      <c r="Y411" t="s">
        <v>82</v>
      </c>
      <c r="Z411" t="s">
        <v>82</v>
      </c>
    </row>
    <row r="412" spans="1:26" x14ac:dyDescent="0.25">
      <c r="A412" t="s">
        <v>1726</v>
      </c>
      <c r="B412" t="s">
        <v>1727</v>
      </c>
      <c r="C412" s="4" t="s">
        <v>1688</v>
      </c>
      <c r="D412" t="s">
        <v>1700</v>
      </c>
      <c r="E412" t="s">
        <v>14</v>
      </c>
      <c r="F412" t="s">
        <v>83</v>
      </c>
      <c r="G412" t="s">
        <v>84</v>
      </c>
      <c r="H412" t="s">
        <v>85</v>
      </c>
      <c r="I412" t="s">
        <v>86</v>
      </c>
      <c r="J412" t="s">
        <v>1472</v>
      </c>
      <c r="K412" t="s">
        <v>1357</v>
      </c>
      <c r="L412" t="s">
        <v>89</v>
      </c>
      <c r="M412" t="s">
        <v>318</v>
      </c>
      <c r="N412" t="s">
        <v>1701</v>
      </c>
      <c r="O412" t="s">
        <v>1728</v>
      </c>
      <c r="P412" t="s">
        <v>1729</v>
      </c>
      <c r="Q412" t="s">
        <v>102</v>
      </c>
      <c r="R412" t="s">
        <v>128</v>
      </c>
      <c r="S412" t="s">
        <v>679</v>
      </c>
      <c r="T412" t="s">
        <v>1727</v>
      </c>
      <c r="U412" t="s">
        <v>322</v>
      </c>
      <c r="V412" t="s">
        <v>82</v>
      </c>
      <c r="W412" t="s">
        <v>1703</v>
      </c>
      <c r="X412" t="s">
        <v>96</v>
      </c>
      <c r="Y412" t="s">
        <v>82</v>
      </c>
      <c r="Z412" t="s">
        <v>82</v>
      </c>
    </row>
    <row r="413" spans="1:26" x14ac:dyDescent="0.25">
      <c r="A413" t="s">
        <v>1730</v>
      </c>
      <c r="B413" t="s">
        <v>1731</v>
      </c>
      <c r="C413" s="4" t="s">
        <v>1688</v>
      </c>
      <c r="D413" t="s">
        <v>1700</v>
      </c>
      <c r="E413" t="s">
        <v>14</v>
      </c>
      <c r="F413" t="s">
        <v>83</v>
      </c>
      <c r="G413" t="s">
        <v>84</v>
      </c>
      <c r="H413" t="s">
        <v>85</v>
      </c>
      <c r="I413" t="s">
        <v>85</v>
      </c>
      <c r="J413" t="s">
        <v>87</v>
      </c>
      <c r="K413" t="s">
        <v>1357</v>
      </c>
      <c r="L413" t="s">
        <v>89</v>
      </c>
      <c r="M413" t="s">
        <v>318</v>
      </c>
      <c r="N413" t="s">
        <v>1701</v>
      </c>
      <c r="O413" t="s">
        <v>1732</v>
      </c>
      <c r="P413" t="s">
        <v>1733</v>
      </c>
      <c r="Q413" t="s">
        <v>102</v>
      </c>
      <c r="R413" t="s">
        <v>128</v>
      </c>
      <c r="S413" t="s">
        <v>604</v>
      </c>
      <c r="T413" t="s">
        <v>1731</v>
      </c>
      <c r="U413" t="s">
        <v>322</v>
      </c>
      <c r="V413" t="s">
        <v>82</v>
      </c>
      <c r="W413" t="s">
        <v>1703</v>
      </c>
      <c r="X413" t="s">
        <v>96</v>
      </c>
      <c r="Y413" t="s">
        <v>82</v>
      </c>
      <c r="Z413" t="s">
        <v>82</v>
      </c>
    </row>
    <row r="414" spans="1:26" x14ac:dyDescent="0.25">
      <c r="A414" t="s">
        <v>1734</v>
      </c>
      <c r="B414" t="s">
        <v>1735</v>
      </c>
      <c r="C414" s="4" t="s">
        <v>1688</v>
      </c>
      <c r="D414" t="s">
        <v>1700</v>
      </c>
      <c r="E414" t="s">
        <v>14</v>
      </c>
      <c r="F414" t="s">
        <v>83</v>
      </c>
      <c r="G414" t="s">
        <v>84</v>
      </c>
      <c r="H414" t="s">
        <v>85</v>
      </c>
      <c r="I414" t="s">
        <v>86</v>
      </c>
      <c r="J414" t="s">
        <v>33</v>
      </c>
      <c r="K414" t="s">
        <v>1357</v>
      </c>
      <c r="L414" t="s">
        <v>89</v>
      </c>
      <c r="M414" t="s">
        <v>318</v>
      </c>
      <c r="N414" t="s">
        <v>1701</v>
      </c>
      <c r="O414" t="s">
        <v>1732</v>
      </c>
      <c r="P414" t="s">
        <v>1736</v>
      </c>
      <c r="Q414" t="s">
        <v>102</v>
      </c>
      <c r="R414" t="s">
        <v>128</v>
      </c>
      <c r="S414" t="s">
        <v>679</v>
      </c>
      <c r="T414" t="s">
        <v>1735</v>
      </c>
      <c r="U414" t="s">
        <v>322</v>
      </c>
      <c r="V414" t="s">
        <v>82</v>
      </c>
      <c r="W414" t="s">
        <v>1703</v>
      </c>
      <c r="X414" t="s">
        <v>96</v>
      </c>
      <c r="Y414" t="s">
        <v>82</v>
      </c>
      <c r="Z414" t="s">
        <v>82</v>
      </c>
    </row>
    <row r="415" spans="1:26" x14ac:dyDescent="0.25">
      <c r="A415" t="s">
        <v>1737</v>
      </c>
      <c r="B415" t="s">
        <v>1738</v>
      </c>
      <c r="C415" s="4" t="s">
        <v>1688</v>
      </c>
      <c r="D415" t="s">
        <v>1700</v>
      </c>
      <c r="E415" t="s">
        <v>14</v>
      </c>
      <c r="F415" t="s">
        <v>83</v>
      </c>
      <c r="G415" t="s">
        <v>84</v>
      </c>
      <c r="H415" t="s">
        <v>85</v>
      </c>
      <c r="I415" t="s">
        <v>86</v>
      </c>
      <c r="J415" t="s">
        <v>546</v>
      </c>
      <c r="K415" t="s">
        <v>1357</v>
      </c>
      <c r="L415" t="s">
        <v>89</v>
      </c>
      <c r="M415" t="s">
        <v>318</v>
      </c>
      <c r="N415" t="s">
        <v>1701</v>
      </c>
      <c r="O415" t="s">
        <v>1739</v>
      </c>
      <c r="P415" t="s">
        <v>1740</v>
      </c>
      <c r="Q415" t="s">
        <v>102</v>
      </c>
      <c r="R415" t="s">
        <v>128</v>
      </c>
      <c r="S415" t="s">
        <v>679</v>
      </c>
      <c r="T415" t="s">
        <v>1738</v>
      </c>
      <c r="U415" t="s">
        <v>322</v>
      </c>
      <c r="V415" t="s">
        <v>82</v>
      </c>
      <c r="W415" t="s">
        <v>1703</v>
      </c>
      <c r="X415" t="s">
        <v>96</v>
      </c>
      <c r="Y415" t="s">
        <v>82</v>
      </c>
      <c r="Z415" t="s">
        <v>82</v>
      </c>
    </row>
    <row r="416" spans="1:26" x14ac:dyDescent="0.25">
      <c r="A416" t="s">
        <v>1741</v>
      </c>
      <c r="B416" t="s">
        <v>1742</v>
      </c>
      <c r="C416" s="4" t="s">
        <v>1260</v>
      </c>
      <c r="D416" t="s">
        <v>1743</v>
      </c>
      <c r="E416" t="s">
        <v>14</v>
      </c>
      <c r="F416" t="s">
        <v>78</v>
      </c>
      <c r="G416" t="s">
        <v>102</v>
      </c>
      <c r="H416" t="s">
        <v>78</v>
      </c>
      <c r="I416" t="s">
        <v>102</v>
      </c>
      <c r="J416" t="s">
        <v>1461</v>
      </c>
      <c r="K416" t="s">
        <v>374</v>
      </c>
      <c r="L416" t="s">
        <v>89</v>
      </c>
      <c r="M416" t="s">
        <v>318</v>
      </c>
      <c r="N416" t="s">
        <v>375</v>
      </c>
      <c r="O416" t="s">
        <v>1744</v>
      </c>
      <c r="P416" t="s">
        <v>1744</v>
      </c>
      <c r="Q416" t="s">
        <v>102</v>
      </c>
      <c r="R416" t="s">
        <v>78</v>
      </c>
      <c r="S416" t="s">
        <v>1745</v>
      </c>
      <c r="T416" t="s">
        <v>1742</v>
      </c>
      <c r="U416" t="s">
        <v>322</v>
      </c>
      <c r="V416" t="s">
        <v>82</v>
      </c>
      <c r="W416" t="s">
        <v>802</v>
      </c>
      <c r="X416" t="s">
        <v>96</v>
      </c>
      <c r="Y416" t="s">
        <v>82</v>
      </c>
      <c r="Z416" t="s">
        <v>82</v>
      </c>
    </row>
    <row r="417" spans="1:26" x14ac:dyDescent="0.25">
      <c r="A417" t="s">
        <v>1746</v>
      </c>
      <c r="B417" t="s">
        <v>1747</v>
      </c>
      <c r="C417" s="4" t="s">
        <v>1748</v>
      </c>
      <c r="D417" t="s">
        <v>1749</v>
      </c>
      <c r="E417" t="s">
        <v>14</v>
      </c>
      <c r="F417" t="s">
        <v>85</v>
      </c>
      <c r="G417" t="s">
        <v>102</v>
      </c>
      <c r="H417" t="s">
        <v>78</v>
      </c>
      <c r="I417" t="s">
        <v>86</v>
      </c>
      <c r="J417" t="s">
        <v>87</v>
      </c>
      <c r="K417" t="s">
        <v>1283</v>
      </c>
      <c r="L417" t="s">
        <v>89</v>
      </c>
      <c r="M417" t="s">
        <v>318</v>
      </c>
      <c r="N417" t="s">
        <v>1750</v>
      </c>
      <c r="O417" t="s">
        <v>1751</v>
      </c>
      <c r="P417" t="s">
        <v>1752</v>
      </c>
      <c r="Q417" t="s">
        <v>102</v>
      </c>
      <c r="R417" t="s">
        <v>78</v>
      </c>
      <c r="S417" t="s">
        <v>1286</v>
      </c>
      <c r="T417" t="s">
        <v>1747</v>
      </c>
      <c r="U417" t="s">
        <v>322</v>
      </c>
      <c r="V417" t="s">
        <v>82</v>
      </c>
      <c r="W417" t="s">
        <v>1753</v>
      </c>
      <c r="X417" t="s">
        <v>96</v>
      </c>
      <c r="Y417" t="s">
        <v>82</v>
      </c>
      <c r="Z417" t="s">
        <v>149</v>
      </c>
    </row>
    <row r="418" spans="1:26" x14ac:dyDescent="0.25">
      <c r="A418" t="s">
        <v>1754</v>
      </c>
      <c r="B418" t="s">
        <v>1755</v>
      </c>
      <c r="C418" s="4" t="s">
        <v>1748</v>
      </c>
      <c r="D418" t="s">
        <v>1749</v>
      </c>
      <c r="E418" t="s">
        <v>14</v>
      </c>
      <c r="F418" t="s">
        <v>85</v>
      </c>
      <c r="G418" t="s">
        <v>102</v>
      </c>
      <c r="H418" t="s">
        <v>78</v>
      </c>
      <c r="I418" t="s">
        <v>86</v>
      </c>
      <c r="J418" t="s">
        <v>33</v>
      </c>
      <c r="K418" t="s">
        <v>1283</v>
      </c>
      <c r="L418" t="s">
        <v>89</v>
      </c>
      <c r="M418" t="s">
        <v>318</v>
      </c>
      <c r="N418" t="s">
        <v>1750</v>
      </c>
      <c r="O418" t="s">
        <v>1751</v>
      </c>
      <c r="P418" t="s">
        <v>1756</v>
      </c>
      <c r="Q418" t="s">
        <v>102</v>
      </c>
      <c r="R418" t="s">
        <v>78</v>
      </c>
      <c r="S418" t="s">
        <v>1286</v>
      </c>
      <c r="T418" t="s">
        <v>1755</v>
      </c>
      <c r="U418" t="s">
        <v>322</v>
      </c>
      <c r="V418" t="s">
        <v>82</v>
      </c>
      <c r="W418" t="s">
        <v>1753</v>
      </c>
      <c r="X418" t="s">
        <v>96</v>
      </c>
      <c r="Y418" t="s">
        <v>82</v>
      </c>
      <c r="Z418" t="s">
        <v>149</v>
      </c>
    </row>
    <row r="419" spans="1:26" x14ac:dyDescent="0.25">
      <c r="A419" t="s">
        <v>1757</v>
      </c>
      <c r="B419" t="s">
        <v>1758</v>
      </c>
      <c r="C419" s="4" t="s">
        <v>1748</v>
      </c>
      <c r="D419" t="s">
        <v>1749</v>
      </c>
      <c r="E419" t="s">
        <v>14</v>
      </c>
      <c r="F419" t="s">
        <v>85</v>
      </c>
      <c r="G419" t="s">
        <v>102</v>
      </c>
      <c r="H419" t="s">
        <v>78</v>
      </c>
      <c r="I419" t="s">
        <v>86</v>
      </c>
      <c r="J419" t="s">
        <v>1759</v>
      </c>
      <c r="K419" t="s">
        <v>1283</v>
      </c>
      <c r="L419" t="s">
        <v>89</v>
      </c>
      <c r="M419" t="s">
        <v>318</v>
      </c>
      <c r="N419" t="s">
        <v>1750</v>
      </c>
      <c r="O419" t="s">
        <v>1760</v>
      </c>
      <c r="P419" t="s">
        <v>1761</v>
      </c>
      <c r="Q419" t="s">
        <v>102</v>
      </c>
      <c r="R419" t="s">
        <v>78</v>
      </c>
      <c r="S419" t="s">
        <v>1286</v>
      </c>
      <c r="T419" t="s">
        <v>1758</v>
      </c>
      <c r="U419" t="s">
        <v>322</v>
      </c>
      <c r="V419" t="s">
        <v>82</v>
      </c>
      <c r="W419" t="s">
        <v>1753</v>
      </c>
      <c r="X419" t="s">
        <v>96</v>
      </c>
      <c r="Y419" t="s">
        <v>82</v>
      </c>
      <c r="Z419" t="s">
        <v>149</v>
      </c>
    </row>
    <row r="420" spans="1:26" x14ac:dyDescent="0.25">
      <c r="A420" t="s">
        <v>1762</v>
      </c>
      <c r="B420" t="s">
        <v>1763</v>
      </c>
      <c r="C420" s="4" t="s">
        <v>1764</v>
      </c>
      <c r="D420" t="s">
        <v>1749</v>
      </c>
      <c r="E420" t="s">
        <v>14</v>
      </c>
      <c r="F420" t="s">
        <v>124</v>
      </c>
      <c r="G420" t="s">
        <v>146</v>
      </c>
      <c r="H420" t="s">
        <v>78</v>
      </c>
      <c r="I420" t="s">
        <v>102</v>
      </c>
      <c r="J420" t="s">
        <v>15</v>
      </c>
      <c r="K420" t="s">
        <v>1765</v>
      </c>
      <c r="L420" t="s">
        <v>89</v>
      </c>
      <c r="M420" t="s">
        <v>318</v>
      </c>
      <c r="N420" t="s">
        <v>1766</v>
      </c>
      <c r="O420" t="s">
        <v>1767</v>
      </c>
      <c r="P420" t="s">
        <v>1768</v>
      </c>
      <c r="Q420" t="s">
        <v>102</v>
      </c>
      <c r="R420" t="s">
        <v>78</v>
      </c>
      <c r="S420" t="s">
        <v>1769</v>
      </c>
      <c r="T420" t="s">
        <v>1763</v>
      </c>
      <c r="U420" t="s">
        <v>322</v>
      </c>
      <c r="V420" t="s">
        <v>82</v>
      </c>
      <c r="W420" t="s">
        <v>1770</v>
      </c>
      <c r="X420" t="s">
        <v>96</v>
      </c>
      <c r="Y420" t="s">
        <v>82</v>
      </c>
      <c r="Z420" t="s">
        <v>149</v>
      </c>
    </row>
    <row r="421" spans="1:26" x14ac:dyDescent="0.25">
      <c r="A421" t="s">
        <v>1771</v>
      </c>
      <c r="B421" t="s">
        <v>1772</v>
      </c>
      <c r="C421" s="4" t="s">
        <v>1764</v>
      </c>
      <c r="D421" t="s">
        <v>1749</v>
      </c>
      <c r="E421" t="s">
        <v>14</v>
      </c>
      <c r="F421" t="s">
        <v>124</v>
      </c>
      <c r="G421" t="s">
        <v>146</v>
      </c>
      <c r="H421" t="s">
        <v>78</v>
      </c>
      <c r="I421" t="s">
        <v>102</v>
      </c>
      <c r="J421" t="s">
        <v>130</v>
      </c>
      <c r="K421" t="s">
        <v>1765</v>
      </c>
      <c r="L421" t="s">
        <v>89</v>
      </c>
      <c r="M421" t="s">
        <v>318</v>
      </c>
      <c r="N421" t="s">
        <v>1766</v>
      </c>
      <c r="O421" t="s">
        <v>1773</v>
      </c>
      <c r="P421" t="s">
        <v>1774</v>
      </c>
      <c r="Q421" t="s">
        <v>102</v>
      </c>
      <c r="R421" t="s">
        <v>78</v>
      </c>
      <c r="S421" t="s">
        <v>1769</v>
      </c>
      <c r="T421" t="s">
        <v>1772</v>
      </c>
      <c r="U421" t="s">
        <v>322</v>
      </c>
      <c r="V421" t="s">
        <v>82</v>
      </c>
      <c r="W421" t="s">
        <v>1770</v>
      </c>
      <c r="X421" t="s">
        <v>96</v>
      </c>
      <c r="Y421" t="s">
        <v>82</v>
      </c>
      <c r="Z421" t="s">
        <v>149</v>
      </c>
    </row>
    <row r="422" spans="1:26" x14ac:dyDescent="0.25">
      <c r="A422" t="s">
        <v>1775</v>
      </c>
      <c r="B422" t="s">
        <v>1776</v>
      </c>
      <c r="C422" s="4" t="s">
        <v>1777</v>
      </c>
      <c r="D422" t="s">
        <v>1778</v>
      </c>
      <c r="E422" t="s">
        <v>14</v>
      </c>
      <c r="F422" t="s">
        <v>85</v>
      </c>
      <c r="G422" t="s">
        <v>111</v>
      </c>
      <c r="H422" t="s">
        <v>78</v>
      </c>
      <c r="I422" t="s">
        <v>86</v>
      </c>
      <c r="J422" t="s">
        <v>130</v>
      </c>
      <c r="K422" t="s">
        <v>1779</v>
      </c>
      <c r="L422" t="s">
        <v>89</v>
      </c>
      <c r="M422" t="s">
        <v>318</v>
      </c>
      <c r="N422" t="s">
        <v>347</v>
      </c>
      <c r="O422" t="s">
        <v>1780</v>
      </c>
      <c r="P422" t="s">
        <v>1781</v>
      </c>
      <c r="Q422" t="s">
        <v>102</v>
      </c>
      <c r="R422" t="s">
        <v>84</v>
      </c>
      <c r="S422" t="s">
        <v>1782</v>
      </c>
      <c r="T422" t="s">
        <v>1776</v>
      </c>
      <c r="U422" t="s">
        <v>322</v>
      </c>
      <c r="V422" t="s">
        <v>82</v>
      </c>
      <c r="W422" t="s">
        <v>1783</v>
      </c>
      <c r="X422" t="s">
        <v>96</v>
      </c>
      <c r="Y422" t="s">
        <v>82</v>
      </c>
      <c r="Z422" t="s">
        <v>149</v>
      </c>
    </row>
    <row r="423" spans="1:26" x14ac:dyDescent="0.25">
      <c r="A423" t="s">
        <v>1784</v>
      </c>
      <c r="B423" t="s">
        <v>1785</v>
      </c>
      <c r="C423" s="4" t="s">
        <v>1777</v>
      </c>
      <c r="D423" t="s">
        <v>1778</v>
      </c>
      <c r="E423" t="s">
        <v>14</v>
      </c>
      <c r="F423" t="s">
        <v>85</v>
      </c>
      <c r="G423" t="s">
        <v>111</v>
      </c>
      <c r="H423" t="s">
        <v>78</v>
      </c>
      <c r="I423" t="s">
        <v>86</v>
      </c>
      <c r="J423" t="s">
        <v>1786</v>
      </c>
      <c r="K423" t="s">
        <v>1779</v>
      </c>
      <c r="L423" t="s">
        <v>89</v>
      </c>
      <c r="M423" t="s">
        <v>318</v>
      </c>
      <c r="N423" t="s">
        <v>347</v>
      </c>
      <c r="O423" t="s">
        <v>1780</v>
      </c>
      <c r="P423" t="s">
        <v>1787</v>
      </c>
      <c r="Q423" t="s">
        <v>102</v>
      </c>
      <c r="R423" t="s">
        <v>84</v>
      </c>
      <c r="S423" t="s">
        <v>1782</v>
      </c>
      <c r="T423" t="s">
        <v>1785</v>
      </c>
      <c r="U423" t="s">
        <v>322</v>
      </c>
      <c r="V423" t="s">
        <v>82</v>
      </c>
      <c r="W423" t="s">
        <v>1783</v>
      </c>
      <c r="X423" t="s">
        <v>96</v>
      </c>
      <c r="Y423" t="s">
        <v>82</v>
      </c>
      <c r="Z423" t="s">
        <v>149</v>
      </c>
    </row>
    <row r="424" spans="1:26" x14ac:dyDescent="0.25">
      <c r="A424" t="s">
        <v>1547</v>
      </c>
      <c r="B424" t="s">
        <v>1788</v>
      </c>
      <c r="C424" s="4" t="s">
        <v>1777</v>
      </c>
      <c r="D424" t="s">
        <v>1778</v>
      </c>
      <c r="E424" t="s">
        <v>14</v>
      </c>
      <c r="F424" t="s">
        <v>85</v>
      </c>
      <c r="G424" t="s">
        <v>111</v>
      </c>
      <c r="H424" t="s">
        <v>78</v>
      </c>
      <c r="I424" t="s">
        <v>86</v>
      </c>
      <c r="J424" t="s">
        <v>265</v>
      </c>
      <c r="K424" t="s">
        <v>1779</v>
      </c>
      <c r="L424" t="s">
        <v>89</v>
      </c>
      <c r="M424" t="s">
        <v>318</v>
      </c>
      <c r="N424" t="s">
        <v>347</v>
      </c>
      <c r="O424" t="s">
        <v>1780</v>
      </c>
      <c r="P424" t="s">
        <v>1789</v>
      </c>
      <c r="Q424" t="s">
        <v>102</v>
      </c>
      <c r="R424" t="s">
        <v>84</v>
      </c>
      <c r="S424" t="s">
        <v>1782</v>
      </c>
      <c r="T424" t="s">
        <v>1788</v>
      </c>
      <c r="U424" t="s">
        <v>322</v>
      </c>
      <c r="V424" t="s">
        <v>82</v>
      </c>
      <c r="W424" t="s">
        <v>1783</v>
      </c>
      <c r="X424" t="s">
        <v>96</v>
      </c>
      <c r="Y424" t="s">
        <v>82</v>
      </c>
      <c r="Z424" t="s">
        <v>149</v>
      </c>
    </row>
    <row r="425" spans="1:26" x14ac:dyDescent="0.25">
      <c r="A425" t="s">
        <v>1590</v>
      </c>
      <c r="B425" t="s">
        <v>1790</v>
      </c>
      <c r="C425" s="4" t="s">
        <v>1791</v>
      </c>
      <c r="D425" t="s">
        <v>1792</v>
      </c>
      <c r="E425" t="s">
        <v>14</v>
      </c>
      <c r="F425" t="s">
        <v>83</v>
      </c>
      <c r="G425" t="s">
        <v>84</v>
      </c>
      <c r="H425" t="s">
        <v>78</v>
      </c>
      <c r="I425" t="s">
        <v>86</v>
      </c>
      <c r="J425" t="s">
        <v>265</v>
      </c>
      <c r="K425" t="s">
        <v>604</v>
      </c>
      <c r="L425" t="s">
        <v>89</v>
      </c>
      <c r="M425" t="s">
        <v>318</v>
      </c>
      <c r="N425" t="s">
        <v>815</v>
      </c>
      <c r="O425" t="s">
        <v>1793</v>
      </c>
      <c r="P425" t="s">
        <v>1794</v>
      </c>
      <c r="Q425" t="s">
        <v>102</v>
      </c>
      <c r="R425" t="s">
        <v>84</v>
      </c>
      <c r="S425" t="s">
        <v>1745</v>
      </c>
      <c r="T425" t="s">
        <v>1790</v>
      </c>
      <c r="U425" t="s">
        <v>322</v>
      </c>
      <c r="V425" t="s">
        <v>82</v>
      </c>
      <c r="W425" t="s">
        <v>802</v>
      </c>
      <c r="X425" t="s">
        <v>96</v>
      </c>
      <c r="Y425" t="s">
        <v>82</v>
      </c>
      <c r="Z425" t="s">
        <v>149</v>
      </c>
    </row>
    <row r="426" spans="1:26" x14ac:dyDescent="0.25">
      <c r="A426" t="s">
        <v>1795</v>
      </c>
      <c r="B426" t="s">
        <v>1796</v>
      </c>
      <c r="C426" s="4" t="s">
        <v>1791</v>
      </c>
      <c r="D426" t="s">
        <v>1792</v>
      </c>
      <c r="E426" t="s">
        <v>14</v>
      </c>
      <c r="F426" t="s">
        <v>83</v>
      </c>
      <c r="G426" t="s">
        <v>84</v>
      </c>
      <c r="H426" t="s">
        <v>78</v>
      </c>
      <c r="I426" t="s">
        <v>86</v>
      </c>
      <c r="J426" t="s">
        <v>1786</v>
      </c>
      <c r="K426" t="s">
        <v>604</v>
      </c>
      <c r="L426" t="s">
        <v>89</v>
      </c>
      <c r="M426" t="s">
        <v>318</v>
      </c>
      <c r="N426" t="s">
        <v>815</v>
      </c>
      <c r="O426" t="s">
        <v>1793</v>
      </c>
      <c r="P426" t="s">
        <v>1797</v>
      </c>
      <c r="Q426" t="s">
        <v>102</v>
      </c>
      <c r="R426" t="s">
        <v>84</v>
      </c>
      <c r="S426" t="s">
        <v>1745</v>
      </c>
      <c r="T426" t="s">
        <v>1796</v>
      </c>
      <c r="U426" t="s">
        <v>322</v>
      </c>
      <c r="V426" t="s">
        <v>82</v>
      </c>
      <c r="W426" t="s">
        <v>802</v>
      </c>
      <c r="X426" t="s">
        <v>96</v>
      </c>
      <c r="Y426" t="s">
        <v>82</v>
      </c>
      <c r="Z426" t="s">
        <v>149</v>
      </c>
    </row>
    <row r="427" spans="1:26" x14ac:dyDescent="0.25">
      <c r="A427" t="s">
        <v>1798</v>
      </c>
      <c r="B427" t="s">
        <v>1799</v>
      </c>
      <c r="C427" s="4" t="s">
        <v>1791</v>
      </c>
      <c r="D427" t="s">
        <v>1792</v>
      </c>
      <c r="E427" t="s">
        <v>14</v>
      </c>
      <c r="F427" t="s">
        <v>83</v>
      </c>
      <c r="G427" t="s">
        <v>84</v>
      </c>
      <c r="H427" t="s">
        <v>78</v>
      </c>
      <c r="I427" t="s">
        <v>86</v>
      </c>
      <c r="J427" t="s">
        <v>340</v>
      </c>
      <c r="K427" t="s">
        <v>604</v>
      </c>
      <c r="L427" t="s">
        <v>89</v>
      </c>
      <c r="M427" t="s">
        <v>318</v>
      </c>
      <c r="N427" t="s">
        <v>815</v>
      </c>
      <c r="O427" t="s">
        <v>1800</v>
      </c>
      <c r="P427" t="s">
        <v>1801</v>
      </c>
      <c r="Q427" t="s">
        <v>102</v>
      </c>
      <c r="R427" t="s">
        <v>84</v>
      </c>
      <c r="S427" t="s">
        <v>1745</v>
      </c>
      <c r="T427" t="s">
        <v>1799</v>
      </c>
      <c r="U427" t="s">
        <v>322</v>
      </c>
      <c r="V427" t="s">
        <v>82</v>
      </c>
      <c r="W427" t="s">
        <v>802</v>
      </c>
      <c r="X427" t="s">
        <v>96</v>
      </c>
      <c r="Y427" t="s">
        <v>82</v>
      </c>
      <c r="Z427" t="s">
        <v>149</v>
      </c>
    </row>
    <row r="428" spans="1:26" x14ac:dyDescent="0.25">
      <c r="A428" t="s">
        <v>1802</v>
      </c>
      <c r="B428" t="s">
        <v>1803</v>
      </c>
      <c r="C428" s="4" t="s">
        <v>1804</v>
      </c>
      <c r="D428" t="s">
        <v>1805</v>
      </c>
      <c r="E428" t="s">
        <v>14</v>
      </c>
      <c r="F428" t="s">
        <v>146</v>
      </c>
      <c r="G428" t="s">
        <v>160</v>
      </c>
      <c r="H428" t="s">
        <v>78</v>
      </c>
      <c r="I428" t="s">
        <v>86</v>
      </c>
      <c r="J428" t="s">
        <v>340</v>
      </c>
      <c r="K428" t="s">
        <v>1607</v>
      </c>
      <c r="L428" t="s">
        <v>89</v>
      </c>
      <c r="M428" t="s">
        <v>318</v>
      </c>
      <c r="N428" t="s">
        <v>1608</v>
      </c>
      <c r="O428" t="s">
        <v>1806</v>
      </c>
      <c r="P428" t="s">
        <v>1806</v>
      </c>
      <c r="Q428" t="s">
        <v>102</v>
      </c>
      <c r="R428" t="s">
        <v>84</v>
      </c>
      <c r="S428" t="s">
        <v>1807</v>
      </c>
      <c r="T428" t="s">
        <v>1803</v>
      </c>
      <c r="U428" t="s">
        <v>322</v>
      </c>
      <c r="V428" t="s">
        <v>82</v>
      </c>
      <c r="W428" t="s">
        <v>1611</v>
      </c>
      <c r="X428" t="s">
        <v>96</v>
      </c>
      <c r="Y428" t="s">
        <v>82</v>
      </c>
      <c r="Z428" t="s">
        <v>149</v>
      </c>
    </row>
    <row r="429" spans="1:26" x14ac:dyDescent="0.25">
      <c r="A429" t="s">
        <v>1808</v>
      </c>
      <c r="B429" t="s">
        <v>1809</v>
      </c>
      <c r="C429" s="4" t="s">
        <v>1804</v>
      </c>
      <c r="D429" t="s">
        <v>1805</v>
      </c>
      <c r="E429" t="s">
        <v>14</v>
      </c>
      <c r="F429" t="s">
        <v>146</v>
      </c>
      <c r="G429" t="s">
        <v>160</v>
      </c>
      <c r="H429" t="s">
        <v>78</v>
      </c>
      <c r="I429" t="s">
        <v>86</v>
      </c>
      <c r="J429" t="s">
        <v>1786</v>
      </c>
      <c r="K429" t="s">
        <v>1607</v>
      </c>
      <c r="L429" t="s">
        <v>89</v>
      </c>
      <c r="M429" t="s">
        <v>318</v>
      </c>
      <c r="N429" t="s">
        <v>1608</v>
      </c>
      <c r="O429" t="s">
        <v>1810</v>
      </c>
      <c r="P429" t="s">
        <v>1810</v>
      </c>
      <c r="Q429" t="s">
        <v>102</v>
      </c>
      <c r="R429" t="s">
        <v>84</v>
      </c>
      <c r="S429" t="s">
        <v>1807</v>
      </c>
      <c r="T429" t="s">
        <v>1809</v>
      </c>
      <c r="U429" t="s">
        <v>322</v>
      </c>
      <c r="V429" t="s">
        <v>82</v>
      </c>
      <c r="W429" t="s">
        <v>1611</v>
      </c>
      <c r="X429" t="s">
        <v>96</v>
      </c>
      <c r="Y429" t="s">
        <v>82</v>
      </c>
      <c r="Z429" t="s">
        <v>149</v>
      </c>
    </row>
    <row r="430" spans="1:26" x14ac:dyDescent="0.25">
      <c r="A430" t="s">
        <v>1811</v>
      </c>
      <c r="B430" t="s">
        <v>1812</v>
      </c>
      <c r="C430" s="4" t="s">
        <v>1804</v>
      </c>
      <c r="D430" t="s">
        <v>1805</v>
      </c>
      <c r="E430" t="s">
        <v>14</v>
      </c>
      <c r="F430" t="s">
        <v>146</v>
      </c>
      <c r="G430" t="s">
        <v>160</v>
      </c>
      <c r="H430" t="s">
        <v>78</v>
      </c>
      <c r="I430" t="s">
        <v>86</v>
      </c>
      <c r="J430" t="s">
        <v>265</v>
      </c>
      <c r="K430" t="s">
        <v>1607</v>
      </c>
      <c r="L430" t="s">
        <v>89</v>
      </c>
      <c r="M430" t="s">
        <v>318</v>
      </c>
      <c r="N430" t="s">
        <v>1608</v>
      </c>
      <c r="O430" t="s">
        <v>1810</v>
      </c>
      <c r="P430" t="s">
        <v>1810</v>
      </c>
      <c r="Q430" t="s">
        <v>102</v>
      </c>
      <c r="R430" t="s">
        <v>84</v>
      </c>
      <c r="S430" t="s">
        <v>1807</v>
      </c>
      <c r="T430" t="s">
        <v>1812</v>
      </c>
      <c r="U430" t="s">
        <v>322</v>
      </c>
      <c r="V430" t="s">
        <v>82</v>
      </c>
      <c r="W430" t="s">
        <v>1611</v>
      </c>
      <c r="X430" t="s">
        <v>96</v>
      </c>
      <c r="Y430" t="s">
        <v>82</v>
      </c>
      <c r="Z430" t="s">
        <v>149</v>
      </c>
    </row>
    <row r="431" spans="1:26" x14ac:dyDescent="0.25">
      <c r="A431" t="s">
        <v>1813</v>
      </c>
      <c r="B431" t="s">
        <v>1814</v>
      </c>
      <c r="C431" s="4" t="s">
        <v>1815</v>
      </c>
      <c r="D431" t="s">
        <v>1816</v>
      </c>
      <c r="E431" t="s">
        <v>14</v>
      </c>
      <c r="F431" t="s">
        <v>85</v>
      </c>
      <c r="G431" t="s">
        <v>102</v>
      </c>
      <c r="H431" t="s">
        <v>78</v>
      </c>
      <c r="I431" t="s">
        <v>102</v>
      </c>
      <c r="J431" t="s">
        <v>87</v>
      </c>
      <c r="K431" t="s">
        <v>940</v>
      </c>
      <c r="L431" t="s">
        <v>89</v>
      </c>
      <c r="M431" t="s">
        <v>318</v>
      </c>
      <c r="N431" t="s">
        <v>1536</v>
      </c>
      <c r="O431" t="s">
        <v>1817</v>
      </c>
      <c r="P431" t="s">
        <v>1818</v>
      </c>
      <c r="Q431" t="s">
        <v>102</v>
      </c>
      <c r="R431" t="s">
        <v>85</v>
      </c>
      <c r="S431" t="s">
        <v>1538</v>
      </c>
      <c r="T431" t="s">
        <v>1814</v>
      </c>
      <c r="U431" t="s">
        <v>322</v>
      </c>
      <c r="V431" t="s">
        <v>82</v>
      </c>
      <c r="W431" t="s">
        <v>1539</v>
      </c>
      <c r="X431" t="s">
        <v>96</v>
      </c>
      <c r="Y431" t="s">
        <v>82</v>
      </c>
      <c r="Z431" t="s">
        <v>149</v>
      </c>
    </row>
    <row r="432" spans="1:26" x14ac:dyDescent="0.25">
      <c r="A432" t="s">
        <v>1819</v>
      </c>
      <c r="B432" t="s">
        <v>1820</v>
      </c>
      <c r="C432" s="4" t="s">
        <v>1815</v>
      </c>
      <c r="D432" t="s">
        <v>1816</v>
      </c>
      <c r="E432" t="s">
        <v>14</v>
      </c>
      <c r="F432" t="s">
        <v>85</v>
      </c>
      <c r="G432" t="s">
        <v>102</v>
      </c>
      <c r="H432" t="s">
        <v>78</v>
      </c>
      <c r="I432" t="s">
        <v>102</v>
      </c>
      <c r="J432" t="s">
        <v>1472</v>
      </c>
      <c r="K432" t="s">
        <v>940</v>
      </c>
      <c r="L432" t="s">
        <v>89</v>
      </c>
      <c r="M432" t="s">
        <v>318</v>
      </c>
      <c r="N432" t="s">
        <v>1536</v>
      </c>
      <c r="O432" t="s">
        <v>1817</v>
      </c>
      <c r="P432" t="s">
        <v>1821</v>
      </c>
      <c r="Q432" t="s">
        <v>102</v>
      </c>
      <c r="R432" t="s">
        <v>85</v>
      </c>
      <c r="S432" t="s">
        <v>1538</v>
      </c>
      <c r="T432" t="s">
        <v>1820</v>
      </c>
      <c r="U432" t="s">
        <v>322</v>
      </c>
      <c r="V432" t="s">
        <v>82</v>
      </c>
      <c r="W432" t="s">
        <v>1539</v>
      </c>
      <c r="X432" t="s">
        <v>96</v>
      </c>
      <c r="Y432" t="s">
        <v>82</v>
      </c>
      <c r="Z432" t="s">
        <v>149</v>
      </c>
    </row>
    <row r="433" spans="1:26" x14ac:dyDescent="0.25">
      <c r="A433" t="s">
        <v>1822</v>
      </c>
      <c r="B433" t="s">
        <v>1823</v>
      </c>
      <c r="C433" s="4" t="s">
        <v>1815</v>
      </c>
      <c r="D433" t="s">
        <v>1816</v>
      </c>
      <c r="E433" t="s">
        <v>14</v>
      </c>
      <c r="F433" t="s">
        <v>85</v>
      </c>
      <c r="G433" t="s">
        <v>102</v>
      </c>
      <c r="H433" t="s">
        <v>78</v>
      </c>
      <c r="I433" t="s">
        <v>102</v>
      </c>
      <c r="J433" t="s">
        <v>1786</v>
      </c>
      <c r="K433" t="s">
        <v>940</v>
      </c>
      <c r="L433" t="s">
        <v>89</v>
      </c>
      <c r="M433" t="s">
        <v>318</v>
      </c>
      <c r="N433" t="s">
        <v>1536</v>
      </c>
      <c r="O433" t="s">
        <v>1824</v>
      </c>
      <c r="P433" t="s">
        <v>1825</v>
      </c>
      <c r="Q433" t="s">
        <v>102</v>
      </c>
      <c r="R433" t="s">
        <v>85</v>
      </c>
      <c r="S433" t="s">
        <v>1538</v>
      </c>
      <c r="T433" t="s">
        <v>1823</v>
      </c>
      <c r="U433" t="s">
        <v>322</v>
      </c>
      <c r="V433" t="s">
        <v>82</v>
      </c>
      <c r="W433" t="s">
        <v>1539</v>
      </c>
      <c r="X433" t="s">
        <v>96</v>
      </c>
      <c r="Y433" t="s">
        <v>82</v>
      </c>
      <c r="Z433" t="s">
        <v>149</v>
      </c>
    </row>
    <row r="434" spans="1:26" x14ac:dyDescent="0.25">
      <c r="A434" t="s">
        <v>1826</v>
      </c>
      <c r="B434" t="s">
        <v>1827</v>
      </c>
      <c r="C434" s="4" t="s">
        <v>1828</v>
      </c>
      <c r="D434" t="s">
        <v>1829</v>
      </c>
      <c r="E434" t="s">
        <v>14</v>
      </c>
      <c r="F434" t="s">
        <v>111</v>
      </c>
      <c r="G434" t="s">
        <v>105</v>
      </c>
      <c r="H434" t="s">
        <v>78</v>
      </c>
      <c r="I434" t="s">
        <v>111</v>
      </c>
      <c r="J434" t="s">
        <v>265</v>
      </c>
      <c r="K434" t="s">
        <v>1573</v>
      </c>
      <c r="L434" t="s">
        <v>89</v>
      </c>
      <c r="M434" t="s">
        <v>318</v>
      </c>
      <c r="N434" t="s">
        <v>1004</v>
      </c>
      <c r="O434" t="s">
        <v>1830</v>
      </c>
      <c r="P434" t="s">
        <v>1831</v>
      </c>
      <c r="Q434" t="s">
        <v>102</v>
      </c>
      <c r="R434" t="s">
        <v>84</v>
      </c>
      <c r="S434" t="s">
        <v>1832</v>
      </c>
      <c r="T434" t="s">
        <v>1827</v>
      </c>
      <c r="U434" t="s">
        <v>322</v>
      </c>
      <c r="V434" t="s">
        <v>82</v>
      </c>
      <c r="W434" t="s">
        <v>1576</v>
      </c>
      <c r="X434" t="s">
        <v>96</v>
      </c>
      <c r="Y434" t="s">
        <v>82</v>
      </c>
      <c r="Z434" t="s">
        <v>149</v>
      </c>
    </row>
    <row r="435" spans="1:26" x14ac:dyDescent="0.25">
      <c r="A435" t="s">
        <v>1833</v>
      </c>
      <c r="B435" t="s">
        <v>1834</v>
      </c>
      <c r="C435" s="4" t="s">
        <v>1835</v>
      </c>
      <c r="D435" t="s">
        <v>1829</v>
      </c>
      <c r="E435" t="s">
        <v>14</v>
      </c>
      <c r="F435" t="s">
        <v>83</v>
      </c>
      <c r="G435" t="s">
        <v>84</v>
      </c>
      <c r="H435" t="s">
        <v>78</v>
      </c>
      <c r="I435" t="s">
        <v>111</v>
      </c>
      <c r="J435" t="s">
        <v>33</v>
      </c>
      <c r="K435" t="s">
        <v>1573</v>
      </c>
      <c r="L435" t="s">
        <v>89</v>
      </c>
      <c r="M435" t="s">
        <v>318</v>
      </c>
      <c r="N435" t="s">
        <v>1004</v>
      </c>
      <c r="O435" t="s">
        <v>1836</v>
      </c>
      <c r="P435" t="s">
        <v>1837</v>
      </c>
      <c r="Q435" t="s">
        <v>102</v>
      </c>
      <c r="R435" t="s">
        <v>84</v>
      </c>
      <c r="S435" t="s">
        <v>1832</v>
      </c>
      <c r="T435" t="s">
        <v>1834</v>
      </c>
      <c r="U435" t="s">
        <v>322</v>
      </c>
      <c r="V435" t="s">
        <v>82</v>
      </c>
      <c r="W435" t="s">
        <v>1576</v>
      </c>
      <c r="X435" t="s">
        <v>96</v>
      </c>
      <c r="Y435" t="s">
        <v>82</v>
      </c>
      <c r="Z435" t="s">
        <v>149</v>
      </c>
    </row>
    <row r="436" spans="1:26" x14ac:dyDescent="0.25">
      <c r="A436" t="s">
        <v>1838</v>
      </c>
      <c r="B436" t="s">
        <v>1839</v>
      </c>
      <c r="C436" s="4" t="s">
        <v>1840</v>
      </c>
      <c r="D436" t="s">
        <v>1829</v>
      </c>
      <c r="E436" t="s">
        <v>14</v>
      </c>
      <c r="F436" t="s">
        <v>111</v>
      </c>
      <c r="G436" t="s">
        <v>105</v>
      </c>
      <c r="H436" t="s">
        <v>78</v>
      </c>
      <c r="I436" t="s">
        <v>102</v>
      </c>
      <c r="J436" t="s">
        <v>1477</v>
      </c>
      <c r="K436" t="s">
        <v>1573</v>
      </c>
      <c r="L436" t="s">
        <v>89</v>
      </c>
      <c r="M436" t="s">
        <v>318</v>
      </c>
      <c r="N436" t="s">
        <v>1004</v>
      </c>
      <c r="O436" t="s">
        <v>1841</v>
      </c>
      <c r="P436" t="s">
        <v>1842</v>
      </c>
      <c r="Q436" t="s">
        <v>102</v>
      </c>
      <c r="R436" t="s">
        <v>84</v>
      </c>
      <c r="S436" t="s">
        <v>1575</v>
      </c>
      <c r="T436" t="s">
        <v>1839</v>
      </c>
      <c r="U436" t="s">
        <v>322</v>
      </c>
      <c r="V436" t="s">
        <v>82</v>
      </c>
      <c r="W436" t="s">
        <v>1576</v>
      </c>
      <c r="X436" t="s">
        <v>96</v>
      </c>
      <c r="Y436" t="s">
        <v>82</v>
      </c>
      <c r="Z436" t="s">
        <v>149</v>
      </c>
    </row>
    <row r="437" spans="1:26" x14ac:dyDescent="0.25">
      <c r="A437" t="s">
        <v>1843</v>
      </c>
      <c r="B437" t="s">
        <v>1844</v>
      </c>
      <c r="C437" s="4" t="s">
        <v>1845</v>
      </c>
      <c r="D437" t="s">
        <v>1846</v>
      </c>
      <c r="E437" t="s">
        <v>14</v>
      </c>
      <c r="F437" t="s">
        <v>83</v>
      </c>
      <c r="G437" t="s">
        <v>84</v>
      </c>
      <c r="H437" t="s">
        <v>78</v>
      </c>
      <c r="I437" t="s">
        <v>86</v>
      </c>
      <c r="J437" t="s">
        <v>546</v>
      </c>
      <c r="K437" t="s">
        <v>802</v>
      </c>
      <c r="L437" t="s">
        <v>89</v>
      </c>
      <c r="M437" t="s">
        <v>318</v>
      </c>
      <c r="N437" t="s">
        <v>1847</v>
      </c>
      <c r="O437" t="s">
        <v>1848</v>
      </c>
      <c r="P437" t="s">
        <v>1848</v>
      </c>
      <c r="Q437" t="s">
        <v>102</v>
      </c>
      <c r="R437" t="s">
        <v>78</v>
      </c>
      <c r="S437" t="s">
        <v>1525</v>
      </c>
      <c r="T437" t="s">
        <v>1844</v>
      </c>
      <c r="U437" t="s">
        <v>322</v>
      </c>
      <c r="V437" t="s">
        <v>82</v>
      </c>
      <c r="W437" t="s">
        <v>718</v>
      </c>
      <c r="X437" t="s">
        <v>96</v>
      </c>
      <c r="Y437" t="s">
        <v>82</v>
      </c>
      <c r="Z437" t="s">
        <v>149</v>
      </c>
    </row>
    <row r="438" spans="1:26" x14ac:dyDescent="0.25">
      <c r="A438" t="s">
        <v>1849</v>
      </c>
      <c r="B438" t="s">
        <v>1850</v>
      </c>
      <c r="C438" s="4" t="s">
        <v>1845</v>
      </c>
      <c r="D438" t="s">
        <v>1846</v>
      </c>
      <c r="E438" t="s">
        <v>14</v>
      </c>
      <c r="F438" t="s">
        <v>83</v>
      </c>
      <c r="G438" t="s">
        <v>84</v>
      </c>
      <c r="H438" t="s">
        <v>78</v>
      </c>
      <c r="I438" t="s">
        <v>86</v>
      </c>
      <c r="J438" t="s">
        <v>1682</v>
      </c>
      <c r="K438" t="s">
        <v>802</v>
      </c>
      <c r="L438" t="s">
        <v>89</v>
      </c>
      <c r="M438" t="s">
        <v>318</v>
      </c>
      <c r="N438" t="s">
        <v>1847</v>
      </c>
      <c r="O438" t="s">
        <v>1851</v>
      </c>
      <c r="P438" t="s">
        <v>1851</v>
      </c>
      <c r="Q438" t="s">
        <v>102</v>
      </c>
      <c r="R438" t="s">
        <v>78</v>
      </c>
      <c r="S438" t="s">
        <v>1525</v>
      </c>
      <c r="T438" t="s">
        <v>1850</v>
      </c>
      <c r="U438" t="s">
        <v>322</v>
      </c>
      <c r="V438" t="s">
        <v>82</v>
      </c>
      <c r="W438" t="s">
        <v>718</v>
      </c>
      <c r="X438" t="s">
        <v>96</v>
      </c>
      <c r="Y438" t="s">
        <v>82</v>
      </c>
      <c r="Z438" t="s">
        <v>149</v>
      </c>
    </row>
    <row r="439" spans="1:26" x14ac:dyDescent="0.25">
      <c r="A439" t="s">
        <v>1852</v>
      </c>
      <c r="B439" t="s">
        <v>1853</v>
      </c>
      <c r="C439" s="4" t="s">
        <v>1845</v>
      </c>
      <c r="D439" t="s">
        <v>1846</v>
      </c>
      <c r="E439" t="s">
        <v>14</v>
      </c>
      <c r="F439" t="s">
        <v>83</v>
      </c>
      <c r="G439" t="s">
        <v>84</v>
      </c>
      <c r="H439" t="s">
        <v>78</v>
      </c>
      <c r="I439" t="s">
        <v>86</v>
      </c>
      <c r="J439" t="s">
        <v>1786</v>
      </c>
      <c r="K439" t="s">
        <v>802</v>
      </c>
      <c r="L439" t="s">
        <v>89</v>
      </c>
      <c r="M439" t="s">
        <v>318</v>
      </c>
      <c r="N439" t="s">
        <v>1847</v>
      </c>
      <c r="O439" t="s">
        <v>1851</v>
      </c>
      <c r="P439" t="s">
        <v>1851</v>
      </c>
      <c r="Q439" t="s">
        <v>102</v>
      </c>
      <c r="R439" t="s">
        <v>78</v>
      </c>
      <c r="S439" t="s">
        <v>1525</v>
      </c>
      <c r="T439" t="s">
        <v>1853</v>
      </c>
      <c r="U439" t="s">
        <v>322</v>
      </c>
      <c r="V439" t="s">
        <v>82</v>
      </c>
      <c r="W439" t="s">
        <v>718</v>
      </c>
      <c r="X439" t="s">
        <v>96</v>
      </c>
      <c r="Y439" t="s">
        <v>82</v>
      </c>
      <c r="Z439" t="s">
        <v>149</v>
      </c>
    </row>
    <row r="440" spans="1:26" x14ac:dyDescent="0.25">
      <c r="A440" t="s">
        <v>1854</v>
      </c>
      <c r="B440" t="s">
        <v>1855</v>
      </c>
      <c r="C440" s="4" t="s">
        <v>470</v>
      </c>
      <c r="D440" t="s">
        <v>1856</v>
      </c>
      <c r="E440" t="s">
        <v>14</v>
      </c>
      <c r="F440" t="s">
        <v>85</v>
      </c>
      <c r="G440" t="s">
        <v>102</v>
      </c>
      <c r="H440" t="s">
        <v>78</v>
      </c>
      <c r="I440" t="s">
        <v>86</v>
      </c>
      <c r="J440" t="s">
        <v>32</v>
      </c>
      <c r="K440" t="s">
        <v>1357</v>
      </c>
      <c r="L440" t="s">
        <v>89</v>
      </c>
      <c r="M440" t="s">
        <v>318</v>
      </c>
      <c r="N440" t="s">
        <v>420</v>
      </c>
      <c r="O440" t="s">
        <v>1857</v>
      </c>
      <c r="P440" t="s">
        <v>1857</v>
      </c>
      <c r="Q440" t="s">
        <v>102</v>
      </c>
      <c r="R440" t="s">
        <v>134</v>
      </c>
      <c r="S440" t="s">
        <v>679</v>
      </c>
      <c r="T440" t="s">
        <v>1855</v>
      </c>
      <c r="U440" t="s">
        <v>322</v>
      </c>
      <c r="V440" t="s">
        <v>82</v>
      </c>
      <c r="W440" t="s">
        <v>1673</v>
      </c>
      <c r="X440" t="s">
        <v>96</v>
      </c>
      <c r="Y440" t="s">
        <v>82</v>
      </c>
      <c r="Z440" t="s">
        <v>149</v>
      </c>
    </row>
    <row r="441" spans="1:26" x14ac:dyDescent="0.25">
      <c r="A441" t="s">
        <v>1858</v>
      </c>
      <c r="B441" t="s">
        <v>1859</v>
      </c>
      <c r="C441" s="4" t="s">
        <v>473</v>
      </c>
      <c r="D441" t="s">
        <v>1856</v>
      </c>
      <c r="E441" t="s">
        <v>14</v>
      </c>
      <c r="F441" t="s">
        <v>83</v>
      </c>
      <c r="G441" t="s">
        <v>84</v>
      </c>
      <c r="H441" t="s">
        <v>78</v>
      </c>
      <c r="I441" t="s">
        <v>86</v>
      </c>
      <c r="J441" t="s">
        <v>32</v>
      </c>
      <c r="K441" t="s">
        <v>1250</v>
      </c>
      <c r="L441" t="s">
        <v>89</v>
      </c>
      <c r="M441" t="s">
        <v>318</v>
      </c>
      <c r="N441" t="s">
        <v>326</v>
      </c>
      <c r="O441" t="s">
        <v>1860</v>
      </c>
      <c r="P441" t="s">
        <v>1860</v>
      </c>
      <c r="Q441" t="s">
        <v>102</v>
      </c>
      <c r="R441" t="s">
        <v>134</v>
      </c>
      <c r="S441" t="s">
        <v>1861</v>
      </c>
      <c r="T441" t="s">
        <v>1859</v>
      </c>
      <c r="U441" t="s">
        <v>322</v>
      </c>
      <c r="V441" t="s">
        <v>82</v>
      </c>
      <c r="W441" t="s">
        <v>198</v>
      </c>
      <c r="X441" t="s">
        <v>96</v>
      </c>
      <c r="Y441" t="s">
        <v>82</v>
      </c>
      <c r="Z441" t="s">
        <v>149</v>
      </c>
    </row>
    <row r="442" spans="1:26" x14ac:dyDescent="0.25">
      <c r="A442" t="s">
        <v>1862</v>
      </c>
      <c r="B442" t="s">
        <v>1863</v>
      </c>
      <c r="C442" s="4" t="s">
        <v>467</v>
      </c>
      <c r="D442" t="s">
        <v>1856</v>
      </c>
      <c r="E442" t="s">
        <v>14</v>
      </c>
      <c r="F442" t="s">
        <v>105</v>
      </c>
      <c r="G442" t="s">
        <v>106</v>
      </c>
      <c r="H442" t="s">
        <v>78</v>
      </c>
      <c r="I442" t="s">
        <v>86</v>
      </c>
      <c r="J442" t="s">
        <v>32</v>
      </c>
      <c r="K442" t="s">
        <v>1091</v>
      </c>
      <c r="L442" t="s">
        <v>89</v>
      </c>
      <c r="M442" t="s">
        <v>318</v>
      </c>
      <c r="N442" t="s">
        <v>1075</v>
      </c>
      <c r="O442" t="s">
        <v>1864</v>
      </c>
      <c r="P442" t="s">
        <v>1864</v>
      </c>
      <c r="Q442" t="s">
        <v>102</v>
      </c>
      <c r="R442" t="s">
        <v>134</v>
      </c>
      <c r="S442" t="s">
        <v>585</v>
      </c>
      <c r="T442" t="s">
        <v>1863</v>
      </c>
      <c r="U442" t="s">
        <v>322</v>
      </c>
      <c r="V442" t="s">
        <v>82</v>
      </c>
      <c r="W442" t="s">
        <v>1865</v>
      </c>
      <c r="X442" t="s">
        <v>96</v>
      </c>
      <c r="Y442" t="s">
        <v>82</v>
      </c>
      <c r="Z442" t="s">
        <v>149</v>
      </c>
    </row>
    <row r="443" spans="1:26" x14ac:dyDescent="0.25">
      <c r="A443" t="s">
        <v>1866</v>
      </c>
      <c r="B443" t="s">
        <v>1867</v>
      </c>
      <c r="C443" s="4" t="s">
        <v>1868</v>
      </c>
      <c r="D443" t="s">
        <v>1869</v>
      </c>
      <c r="E443" t="s">
        <v>14</v>
      </c>
      <c r="F443" t="s">
        <v>83</v>
      </c>
      <c r="G443" t="s">
        <v>105</v>
      </c>
      <c r="H443" t="s">
        <v>78</v>
      </c>
      <c r="I443" t="s">
        <v>102</v>
      </c>
      <c r="J443" t="s">
        <v>17</v>
      </c>
      <c r="K443" t="s">
        <v>532</v>
      </c>
      <c r="L443" t="s">
        <v>89</v>
      </c>
      <c r="M443" t="s">
        <v>318</v>
      </c>
      <c r="N443" t="s">
        <v>533</v>
      </c>
      <c r="O443" t="s">
        <v>1870</v>
      </c>
      <c r="P443" t="s">
        <v>1870</v>
      </c>
      <c r="Q443" t="s">
        <v>102</v>
      </c>
      <c r="R443" t="s">
        <v>78</v>
      </c>
      <c r="S443" t="s">
        <v>661</v>
      </c>
      <c r="T443" t="s">
        <v>1867</v>
      </c>
      <c r="U443" t="s">
        <v>322</v>
      </c>
      <c r="V443" t="s">
        <v>82</v>
      </c>
      <c r="W443" t="s">
        <v>354</v>
      </c>
      <c r="X443" t="s">
        <v>96</v>
      </c>
      <c r="Y443" t="s">
        <v>82</v>
      </c>
      <c r="Z443" t="s">
        <v>134</v>
      </c>
    </row>
    <row r="444" spans="1:26" x14ac:dyDescent="0.25">
      <c r="A444" t="s">
        <v>1871</v>
      </c>
      <c r="B444" t="s">
        <v>1872</v>
      </c>
      <c r="C444" s="4" t="s">
        <v>1868</v>
      </c>
      <c r="D444" t="s">
        <v>1869</v>
      </c>
      <c r="E444" t="s">
        <v>14</v>
      </c>
      <c r="F444" t="s">
        <v>83</v>
      </c>
      <c r="G444" t="s">
        <v>105</v>
      </c>
      <c r="H444" t="s">
        <v>78</v>
      </c>
      <c r="I444" t="s">
        <v>102</v>
      </c>
      <c r="J444" t="s">
        <v>1530</v>
      </c>
      <c r="K444" t="s">
        <v>532</v>
      </c>
      <c r="L444" t="s">
        <v>89</v>
      </c>
      <c r="M444" t="s">
        <v>318</v>
      </c>
      <c r="N444" t="s">
        <v>533</v>
      </c>
      <c r="O444" t="s">
        <v>1870</v>
      </c>
      <c r="P444" t="s">
        <v>1870</v>
      </c>
      <c r="Q444" t="s">
        <v>102</v>
      </c>
      <c r="R444" t="s">
        <v>78</v>
      </c>
      <c r="S444" t="s">
        <v>661</v>
      </c>
      <c r="T444" t="s">
        <v>1872</v>
      </c>
      <c r="U444" t="s">
        <v>322</v>
      </c>
      <c r="V444" t="s">
        <v>82</v>
      </c>
      <c r="W444" t="s">
        <v>354</v>
      </c>
      <c r="X444" t="s">
        <v>96</v>
      </c>
      <c r="Y444" t="s">
        <v>82</v>
      </c>
      <c r="Z444" t="s">
        <v>134</v>
      </c>
    </row>
    <row r="445" spans="1:26" x14ac:dyDescent="0.25">
      <c r="A445" t="s">
        <v>1873</v>
      </c>
      <c r="B445" t="s">
        <v>1874</v>
      </c>
      <c r="C445" s="4" t="s">
        <v>1868</v>
      </c>
      <c r="D445" t="s">
        <v>1869</v>
      </c>
      <c r="E445" t="s">
        <v>14</v>
      </c>
      <c r="F445" t="s">
        <v>83</v>
      </c>
      <c r="G445" t="s">
        <v>105</v>
      </c>
      <c r="H445" t="s">
        <v>78</v>
      </c>
      <c r="I445" t="s">
        <v>102</v>
      </c>
      <c r="J445" t="s">
        <v>340</v>
      </c>
      <c r="K445" t="s">
        <v>532</v>
      </c>
      <c r="L445" t="s">
        <v>89</v>
      </c>
      <c r="M445" t="s">
        <v>318</v>
      </c>
      <c r="N445" t="s">
        <v>533</v>
      </c>
      <c r="O445" t="s">
        <v>1870</v>
      </c>
      <c r="P445" t="s">
        <v>1870</v>
      </c>
      <c r="Q445" t="s">
        <v>102</v>
      </c>
      <c r="R445" t="s">
        <v>78</v>
      </c>
      <c r="S445" t="s">
        <v>661</v>
      </c>
      <c r="T445" t="s">
        <v>1874</v>
      </c>
      <c r="U445" t="s">
        <v>322</v>
      </c>
      <c r="V445" t="s">
        <v>82</v>
      </c>
      <c r="W445" t="s">
        <v>354</v>
      </c>
      <c r="X445" t="s">
        <v>96</v>
      </c>
      <c r="Y445" t="s">
        <v>82</v>
      </c>
      <c r="Z445" t="s">
        <v>134</v>
      </c>
    </row>
    <row r="446" spans="1:26" x14ac:dyDescent="0.25">
      <c r="A446" t="s">
        <v>1875</v>
      </c>
      <c r="B446" t="s">
        <v>1876</v>
      </c>
      <c r="C446" s="4" t="s">
        <v>1877</v>
      </c>
      <c r="D446" t="s">
        <v>1299</v>
      </c>
      <c r="E446" t="s">
        <v>14</v>
      </c>
      <c r="F446" t="s">
        <v>85</v>
      </c>
      <c r="G446" t="s">
        <v>111</v>
      </c>
      <c r="H446" t="s">
        <v>78</v>
      </c>
      <c r="I446" t="s">
        <v>102</v>
      </c>
      <c r="J446" t="s">
        <v>37</v>
      </c>
      <c r="K446" t="s">
        <v>1878</v>
      </c>
      <c r="L446" t="s">
        <v>89</v>
      </c>
      <c r="M446" t="s">
        <v>318</v>
      </c>
      <c r="N446" t="s">
        <v>1092</v>
      </c>
      <c r="O446" t="s">
        <v>1879</v>
      </c>
      <c r="P446" t="s">
        <v>1879</v>
      </c>
      <c r="Q446" t="s">
        <v>102</v>
      </c>
      <c r="R446" t="s">
        <v>111</v>
      </c>
      <c r="S446" t="s">
        <v>1880</v>
      </c>
      <c r="T446" t="s">
        <v>1876</v>
      </c>
      <c r="U446" t="s">
        <v>322</v>
      </c>
      <c r="V446" t="s">
        <v>82</v>
      </c>
      <c r="W446" t="s">
        <v>1881</v>
      </c>
      <c r="X446" t="s">
        <v>96</v>
      </c>
      <c r="Y446" t="s">
        <v>82</v>
      </c>
      <c r="Z446" t="s">
        <v>102</v>
      </c>
    </row>
    <row r="447" spans="1:26" x14ac:dyDescent="0.25">
      <c r="A447" t="s">
        <v>1882</v>
      </c>
      <c r="B447" t="s">
        <v>1883</v>
      </c>
      <c r="C447" s="4" t="s">
        <v>1877</v>
      </c>
      <c r="D447" t="s">
        <v>1299</v>
      </c>
      <c r="E447" t="s">
        <v>14</v>
      </c>
      <c r="F447" t="s">
        <v>85</v>
      </c>
      <c r="G447" t="s">
        <v>111</v>
      </c>
      <c r="H447" t="s">
        <v>78</v>
      </c>
      <c r="I447" t="s">
        <v>102</v>
      </c>
      <c r="J447" t="s">
        <v>17</v>
      </c>
      <c r="K447" t="s">
        <v>1878</v>
      </c>
      <c r="L447" t="s">
        <v>89</v>
      </c>
      <c r="M447" t="s">
        <v>318</v>
      </c>
      <c r="N447" t="s">
        <v>1092</v>
      </c>
      <c r="O447" t="s">
        <v>1879</v>
      </c>
      <c r="P447" t="s">
        <v>1879</v>
      </c>
      <c r="Q447" t="s">
        <v>102</v>
      </c>
      <c r="R447" t="s">
        <v>111</v>
      </c>
      <c r="S447" t="s">
        <v>1880</v>
      </c>
      <c r="T447" t="s">
        <v>1883</v>
      </c>
      <c r="U447" t="s">
        <v>322</v>
      </c>
      <c r="V447" t="s">
        <v>82</v>
      </c>
      <c r="W447" t="s">
        <v>1881</v>
      </c>
      <c r="X447" t="s">
        <v>96</v>
      </c>
      <c r="Y447" t="s">
        <v>82</v>
      </c>
      <c r="Z447" t="s">
        <v>102</v>
      </c>
    </row>
    <row r="448" spans="1:26" x14ac:dyDescent="0.25">
      <c r="A448" t="s">
        <v>1884</v>
      </c>
      <c r="B448" t="s">
        <v>1885</v>
      </c>
      <c r="C448" s="4" t="s">
        <v>1877</v>
      </c>
      <c r="D448" t="s">
        <v>1299</v>
      </c>
      <c r="E448" t="s">
        <v>14</v>
      </c>
      <c r="F448" t="s">
        <v>85</v>
      </c>
      <c r="G448" t="s">
        <v>111</v>
      </c>
      <c r="H448" t="s">
        <v>78</v>
      </c>
      <c r="I448" t="s">
        <v>102</v>
      </c>
      <c r="J448" t="s">
        <v>130</v>
      </c>
      <c r="K448" t="s">
        <v>1878</v>
      </c>
      <c r="L448" t="s">
        <v>89</v>
      </c>
      <c r="M448" t="s">
        <v>318</v>
      </c>
      <c r="N448" t="s">
        <v>1092</v>
      </c>
      <c r="O448" t="s">
        <v>1879</v>
      </c>
      <c r="P448" t="s">
        <v>1879</v>
      </c>
      <c r="Q448" t="s">
        <v>102</v>
      </c>
      <c r="R448" t="s">
        <v>111</v>
      </c>
      <c r="S448" t="s">
        <v>1880</v>
      </c>
      <c r="T448" t="s">
        <v>1885</v>
      </c>
      <c r="U448" t="s">
        <v>322</v>
      </c>
      <c r="V448" t="s">
        <v>82</v>
      </c>
      <c r="W448" t="s">
        <v>1881</v>
      </c>
      <c r="X448" t="s">
        <v>96</v>
      </c>
      <c r="Y448" t="s">
        <v>82</v>
      </c>
      <c r="Z448" t="s">
        <v>102</v>
      </c>
    </row>
    <row r="449" spans="1:26" x14ac:dyDescent="0.25">
      <c r="A449" t="s">
        <v>1886</v>
      </c>
      <c r="B449" t="s">
        <v>1887</v>
      </c>
      <c r="C449" s="4" t="s">
        <v>1446</v>
      </c>
      <c r="D449" t="s">
        <v>1888</v>
      </c>
      <c r="E449" t="s">
        <v>14</v>
      </c>
      <c r="F449" t="s">
        <v>83</v>
      </c>
      <c r="G449" t="s">
        <v>84</v>
      </c>
      <c r="H449" t="s">
        <v>78</v>
      </c>
      <c r="I449" t="s">
        <v>86</v>
      </c>
      <c r="J449" t="s">
        <v>130</v>
      </c>
      <c r="K449" t="s">
        <v>374</v>
      </c>
      <c r="L449" t="s">
        <v>89</v>
      </c>
      <c r="M449" t="s">
        <v>318</v>
      </c>
      <c r="N449" t="s">
        <v>1136</v>
      </c>
      <c r="O449" t="s">
        <v>1889</v>
      </c>
      <c r="P449" t="s">
        <v>1889</v>
      </c>
      <c r="Q449" t="s">
        <v>102</v>
      </c>
      <c r="R449" t="s">
        <v>111</v>
      </c>
      <c r="S449" t="s">
        <v>186</v>
      </c>
      <c r="T449" t="s">
        <v>1887</v>
      </c>
      <c r="U449" t="s">
        <v>322</v>
      </c>
      <c r="V449" t="s">
        <v>82</v>
      </c>
      <c r="W449" t="s">
        <v>1890</v>
      </c>
      <c r="X449" t="s">
        <v>96</v>
      </c>
      <c r="Y449" t="s">
        <v>82</v>
      </c>
      <c r="Z449" t="s">
        <v>102</v>
      </c>
    </row>
    <row r="450" spans="1:26" x14ac:dyDescent="0.25">
      <c r="A450" t="s">
        <v>1891</v>
      </c>
      <c r="B450" t="s">
        <v>1892</v>
      </c>
      <c r="C450" s="4" t="s">
        <v>1446</v>
      </c>
      <c r="D450" t="s">
        <v>1888</v>
      </c>
      <c r="E450" t="s">
        <v>14</v>
      </c>
      <c r="F450" t="s">
        <v>83</v>
      </c>
      <c r="G450" t="s">
        <v>84</v>
      </c>
      <c r="H450" t="s">
        <v>78</v>
      </c>
      <c r="I450" t="s">
        <v>86</v>
      </c>
      <c r="J450" t="s">
        <v>32</v>
      </c>
      <c r="K450" t="s">
        <v>374</v>
      </c>
      <c r="L450" t="s">
        <v>89</v>
      </c>
      <c r="M450" t="s">
        <v>318</v>
      </c>
      <c r="N450" t="s">
        <v>1136</v>
      </c>
      <c r="O450" t="s">
        <v>1889</v>
      </c>
      <c r="P450" t="s">
        <v>1889</v>
      </c>
      <c r="Q450" t="s">
        <v>102</v>
      </c>
      <c r="R450" t="s">
        <v>111</v>
      </c>
      <c r="S450" t="s">
        <v>186</v>
      </c>
      <c r="T450" t="s">
        <v>1892</v>
      </c>
      <c r="U450" t="s">
        <v>322</v>
      </c>
      <c r="V450" t="s">
        <v>82</v>
      </c>
      <c r="W450" t="s">
        <v>1890</v>
      </c>
      <c r="X450" t="s">
        <v>96</v>
      </c>
      <c r="Y450" t="s">
        <v>82</v>
      </c>
      <c r="Z450" t="s">
        <v>102</v>
      </c>
    </row>
    <row r="451" spans="1:26" x14ac:dyDescent="0.25">
      <c r="A451" t="s">
        <v>1893</v>
      </c>
      <c r="B451" t="s">
        <v>1894</v>
      </c>
      <c r="C451" s="4" t="s">
        <v>1446</v>
      </c>
      <c r="D451" t="s">
        <v>1888</v>
      </c>
      <c r="E451" t="s">
        <v>14</v>
      </c>
      <c r="F451" t="s">
        <v>83</v>
      </c>
      <c r="G451" t="s">
        <v>84</v>
      </c>
      <c r="H451" t="s">
        <v>78</v>
      </c>
      <c r="I451" t="s">
        <v>86</v>
      </c>
      <c r="J451" t="s">
        <v>17</v>
      </c>
      <c r="K451" t="s">
        <v>374</v>
      </c>
      <c r="L451" t="s">
        <v>89</v>
      </c>
      <c r="M451" t="s">
        <v>318</v>
      </c>
      <c r="N451" t="s">
        <v>1136</v>
      </c>
      <c r="O451" t="s">
        <v>1895</v>
      </c>
      <c r="P451" t="s">
        <v>1895</v>
      </c>
      <c r="Q451" t="s">
        <v>102</v>
      </c>
      <c r="R451" t="s">
        <v>111</v>
      </c>
      <c r="S451" t="s">
        <v>186</v>
      </c>
      <c r="T451" t="s">
        <v>1894</v>
      </c>
      <c r="U451" t="s">
        <v>322</v>
      </c>
      <c r="V451" t="s">
        <v>82</v>
      </c>
      <c r="W451" t="s">
        <v>1890</v>
      </c>
      <c r="X451" t="s">
        <v>96</v>
      </c>
      <c r="Y451" t="s">
        <v>82</v>
      </c>
      <c r="Z451" t="s">
        <v>102</v>
      </c>
    </row>
    <row r="452" spans="1:26" x14ac:dyDescent="0.25">
      <c r="A452" t="s">
        <v>1896</v>
      </c>
      <c r="B452" t="s">
        <v>1897</v>
      </c>
      <c r="C452" s="4" t="s">
        <v>1446</v>
      </c>
      <c r="D452" t="s">
        <v>1888</v>
      </c>
      <c r="E452" t="s">
        <v>14</v>
      </c>
      <c r="F452" t="s">
        <v>83</v>
      </c>
      <c r="G452" t="s">
        <v>84</v>
      </c>
      <c r="H452" t="s">
        <v>78</v>
      </c>
      <c r="I452" t="s">
        <v>86</v>
      </c>
      <c r="J452" t="s">
        <v>1002</v>
      </c>
      <c r="K452" t="s">
        <v>374</v>
      </c>
      <c r="L452" t="s">
        <v>89</v>
      </c>
      <c r="M452" t="s">
        <v>318</v>
      </c>
      <c r="N452" t="s">
        <v>1136</v>
      </c>
      <c r="O452" t="s">
        <v>1895</v>
      </c>
      <c r="P452" t="s">
        <v>1895</v>
      </c>
      <c r="Q452" t="s">
        <v>102</v>
      </c>
      <c r="R452" t="s">
        <v>111</v>
      </c>
      <c r="S452" t="s">
        <v>186</v>
      </c>
      <c r="T452" t="s">
        <v>1897</v>
      </c>
      <c r="U452" t="s">
        <v>322</v>
      </c>
      <c r="V452" t="s">
        <v>82</v>
      </c>
      <c r="W452" t="s">
        <v>1890</v>
      </c>
      <c r="X452" t="s">
        <v>96</v>
      </c>
      <c r="Y452" t="s">
        <v>82</v>
      </c>
      <c r="Z452" t="s">
        <v>102</v>
      </c>
    </row>
    <row r="453" spans="1:26" x14ac:dyDescent="0.25">
      <c r="A453" t="s">
        <v>1898</v>
      </c>
      <c r="B453" t="s">
        <v>1899</v>
      </c>
      <c r="C453" s="4" t="s">
        <v>1900</v>
      </c>
      <c r="D453" t="s">
        <v>1312</v>
      </c>
      <c r="E453" t="s">
        <v>14</v>
      </c>
      <c r="F453" t="s">
        <v>111</v>
      </c>
      <c r="G453" t="s">
        <v>124</v>
      </c>
      <c r="H453" t="s">
        <v>78</v>
      </c>
      <c r="I453" t="s">
        <v>102</v>
      </c>
      <c r="J453" t="s">
        <v>17</v>
      </c>
      <c r="K453" t="s">
        <v>676</v>
      </c>
      <c r="L453" t="s">
        <v>89</v>
      </c>
      <c r="M453" t="s">
        <v>318</v>
      </c>
      <c r="N453" t="s">
        <v>493</v>
      </c>
      <c r="O453" t="s">
        <v>1901</v>
      </c>
      <c r="P453" t="s">
        <v>1901</v>
      </c>
      <c r="Q453" t="s">
        <v>102</v>
      </c>
      <c r="R453" t="s">
        <v>86</v>
      </c>
      <c r="S453" t="s">
        <v>679</v>
      </c>
      <c r="T453" t="s">
        <v>1899</v>
      </c>
      <c r="U453" t="s">
        <v>322</v>
      </c>
      <c r="V453" t="s">
        <v>82</v>
      </c>
      <c r="W453" t="s">
        <v>1046</v>
      </c>
      <c r="X453" t="s">
        <v>96</v>
      </c>
      <c r="Y453" t="s">
        <v>82</v>
      </c>
      <c r="Z453" t="s">
        <v>78</v>
      </c>
    </row>
    <row r="454" spans="1:26" x14ac:dyDescent="0.25">
      <c r="A454" t="s">
        <v>1902</v>
      </c>
      <c r="B454" t="s">
        <v>1903</v>
      </c>
      <c r="C454" s="4" t="s">
        <v>1900</v>
      </c>
      <c r="D454" t="s">
        <v>1312</v>
      </c>
      <c r="E454" t="s">
        <v>14</v>
      </c>
      <c r="F454" t="s">
        <v>111</v>
      </c>
      <c r="G454" t="s">
        <v>124</v>
      </c>
      <c r="H454" t="s">
        <v>78</v>
      </c>
      <c r="I454" t="s">
        <v>102</v>
      </c>
      <c r="J454" t="s">
        <v>18</v>
      </c>
      <c r="K454" t="s">
        <v>676</v>
      </c>
      <c r="L454" t="s">
        <v>89</v>
      </c>
      <c r="M454" t="s">
        <v>318</v>
      </c>
      <c r="N454" t="s">
        <v>493</v>
      </c>
      <c r="O454" t="s">
        <v>1904</v>
      </c>
      <c r="P454" t="s">
        <v>1904</v>
      </c>
      <c r="Q454" t="s">
        <v>102</v>
      </c>
      <c r="R454" t="s">
        <v>86</v>
      </c>
      <c r="S454" t="s">
        <v>679</v>
      </c>
      <c r="T454" t="s">
        <v>1903</v>
      </c>
      <c r="U454" t="s">
        <v>322</v>
      </c>
      <c r="V454" t="s">
        <v>82</v>
      </c>
      <c r="W454" t="s">
        <v>1046</v>
      </c>
      <c r="X454" t="s">
        <v>96</v>
      </c>
      <c r="Y454" t="s">
        <v>82</v>
      </c>
      <c r="Z454" t="s">
        <v>78</v>
      </c>
    </row>
    <row r="455" spans="1:26" x14ac:dyDescent="0.25">
      <c r="A455" t="s">
        <v>1905</v>
      </c>
      <c r="B455" t="s">
        <v>1906</v>
      </c>
      <c r="C455" s="4" t="s">
        <v>1900</v>
      </c>
      <c r="D455" t="s">
        <v>1312</v>
      </c>
      <c r="E455" t="s">
        <v>14</v>
      </c>
      <c r="F455" t="s">
        <v>111</v>
      </c>
      <c r="G455" t="s">
        <v>124</v>
      </c>
      <c r="H455" t="s">
        <v>78</v>
      </c>
      <c r="I455" t="s">
        <v>102</v>
      </c>
      <c r="J455" t="s">
        <v>15</v>
      </c>
      <c r="K455" t="s">
        <v>676</v>
      </c>
      <c r="L455" t="s">
        <v>89</v>
      </c>
      <c r="M455" t="s">
        <v>318</v>
      </c>
      <c r="N455" t="s">
        <v>493</v>
      </c>
      <c r="O455" t="s">
        <v>1904</v>
      </c>
      <c r="P455" t="s">
        <v>1904</v>
      </c>
      <c r="Q455" t="s">
        <v>102</v>
      </c>
      <c r="R455" t="s">
        <v>86</v>
      </c>
      <c r="S455" t="s">
        <v>679</v>
      </c>
      <c r="T455" t="s">
        <v>1906</v>
      </c>
      <c r="U455" t="s">
        <v>322</v>
      </c>
      <c r="V455" t="s">
        <v>82</v>
      </c>
      <c r="W455" t="s">
        <v>1046</v>
      </c>
      <c r="X455" t="s">
        <v>96</v>
      </c>
      <c r="Y455" t="s">
        <v>82</v>
      </c>
      <c r="Z455" t="s">
        <v>78</v>
      </c>
    </row>
    <row r="456" spans="1:26" x14ac:dyDescent="0.25">
      <c r="A456" t="s">
        <v>1907</v>
      </c>
      <c r="B456" t="s">
        <v>1908</v>
      </c>
      <c r="C456" s="4" t="s">
        <v>1900</v>
      </c>
      <c r="D456" t="s">
        <v>1312</v>
      </c>
      <c r="E456" t="s">
        <v>14</v>
      </c>
      <c r="F456" t="s">
        <v>111</v>
      </c>
      <c r="G456" t="s">
        <v>124</v>
      </c>
      <c r="H456" t="s">
        <v>78</v>
      </c>
      <c r="I456" t="s">
        <v>102</v>
      </c>
      <c r="J456" t="s">
        <v>20</v>
      </c>
      <c r="K456" t="s">
        <v>676</v>
      </c>
      <c r="L456" t="s">
        <v>89</v>
      </c>
      <c r="M456" t="s">
        <v>318</v>
      </c>
      <c r="N456" t="s">
        <v>493</v>
      </c>
      <c r="O456" t="s">
        <v>1909</v>
      </c>
      <c r="P456" t="s">
        <v>1909</v>
      </c>
      <c r="Q456" t="s">
        <v>102</v>
      </c>
      <c r="R456" t="s">
        <v>86</v>
      </c>
      <c r="S456" t="s">
        <v>679</v>
      </c>
      <c r="T456" t="s">
        <v>1908</v>
      </c>
      <c r="U456" t="s">
        <v>322</v>
      </c>
      <c r="V456" t="s">
        <v>82</v>
      </c>
      <c r="W456" t="s">
        <v>1046</v>
      </c>
      <c r="X456" t="s">
        <v>96</v>
      </c>
      <c r="Y456" t="s">
        <v>82</v>
      </c>
      <c r="Z456" t="s">
        <v>78</v>
      </c>
    </row>
    <row r="457" spans="1:26" x14ac:dyDescent="0.25">
      <c r="A457" t="s">
        <v>1910</v>
      </c>
      <c r="B457" t="s">
        <v>1911</v>
      </c>
      <c r="C457" s="4" t="s">
        <v>1900</v>
      </c>
      <c r="D457" t="s">
        <v>1312</v>
      </c>
      <c r="E457" t="s">
        <v>14</v>
      </c>
      <c r="F457" t="s">
        <v>128</v>
      </c>
      <c r="G457" t="s">
        <v>105</v>
      </c>
      <c r="H457" t="s">
        <v>78</v>
      </c>
      <c r="I457" t="s">
        <v>102</v>
      </c>
      <c r="J457" t="s">
        <v>20</v>
      </c>
      <c r="K457" t="s">
        <v>1912</v>
      </c>
      <c r="L457" t="s">
        <v>89</v>
      </c>
      <c r="M457" t="s">
        <v>318</v>
      </c>
      <c r="N457" t="s">
        <v>1371</v>
      </c>
      <c r="O457" t="s">
        <v>1913</v>
      </c>
      <c r="P457" t="s">
        <v>1913</v>
      </c>
      <c r="Q457" t="s">
        <v>102</v>
      </c>
      <c r="R457" t="s">
        <v>86</v>
      </c>
      <c r="S457" t="s">
        <v>1914</v>
      </c>
      <c r="T457" t="s">
        <v>1911</v>
      </c>
      <c r="U457" t="s">
        <v>322</v>
      </c>
      <c r="V457" t="s">
        <v>82</v>
      </c>
      <c r="W457" t="s">
        <v>1915</v>
      </c>
      <c r="X457" t="s">
        <v>96</v>
      </c>
      <c r="Y457" t="s">
        <v>82</v>
      </c>
      <c r="Z457" t="s">
        <v>78</v>
      </c>
    </row>
    <row r="458" spans="1:26" x14ac:dyDescent="0.25">
      <c r="A458" t="s">
        <v>1916</v>
      </c>
      <c r="B458" t="s">
        <v>1917</v>
      </c>
      <c r="C458" s="4" t="s">
        <v>1900</v>
      </c>
      <c r="D458" t="s">
        <v>1312</v>
      </c>
      <c r="E458" t="s">
        <v>14</v>
      </c>
      <c r="F458" t="s">
        <v>128</v>
      </c>
      <c r="G458" t="s">
        <v>105</v>
      </c>
      <c r="H458" t="s">
        <v>78</v>
      </c>
      <c r="I458" t="s">
        <v>102</v>
      </c>
      <c r="J458" t="s">
        <v>17</v>
      </c>
      <c r="K458" t="s">
        <v>1912</v>
      </c>
      <c r="L458" t="s">
        <v>89</v>
      </c>
      <c r="M458" t="s">
        <v>318</v>
      </c>
      <c r="N458" t="s">
        <v>1371</v>
      </c>
      <c r="O458" t="s">
        <v>1913</v>
      </c>
      <c r="P458" t="s">
        <v>1913</v>
      </c>
      <c r="Q458" t="s">
        <v>102</v>
      </c>
      <c r="R458" t="s">
        <v>86</v>
      </c>
      <c r="S458" t="s">
        <v>1914</v>
      </c>
      <c r="T458" t="s">
        <v>1917</v>
      </c>
      <c r="U458" t="s">
        <v>322</v>
      </c>
      <c r="V458" t="s">
        <v>82</v>
      </c>
      <c r="W458" t="s">
        <v>1915</v>
      </c>
      <c r="X458" t="s">
        <v>96</v>
      </c>
      <c r="Y458" t="s">
        <v>82</v>
      </c>
      <c r="Z458" t="s">
        <v>78</v>
      </c>
    </row>
    <row r="459" spans="1:26" x14ac:dyDescent="0.25">
      <c r="A459" t="s">
        <v>1918</v>
      </c>
      <c r="B459" t="s">
        <v>1919</v>
      </c>
      <c r="C459" s="4" t="s">
        <v>1900</v>
      </c>
      <c r="D459" t="s">
        <v>1312</v>
      </c>
      <c r="E459" t="s">
        <v>14</v>
      </c>
      <c r="F459" t="s">
        <v>128</v>
      </c>
      <c r="G459" t="s">
        <v>105</v>
      </c>
      <c r="H459" t="s">
        <v>78</v>
      </c>
      <c r="I459" t="s">
        <v>102</v>
      </c>
      <c r="J459" t="s">
        <v>18</v>
      </c>
      <c r="K459" t="s">
        <v>1912</v>
      </c>
      <c r="L459" t="s">
        <v>89</v>
      </c>
      <c r="M459" t="s">
        <v>318</v>
      </c>
      <c r="N459" t="s">
        <v>1371</v>
      </c>
      <c r="O459" t="s">
        <v>1913</v>
      </c>
      <c r="P459" t="s">
        <v>1913</v>
      </c>
      <c r="Q459" t="s">
        <v>102</v>
      </c>
      <c r="R459" t="s">
        <v>86</v>
      </c>
      <c r="S459" t="s">
        <v>1914</v>
      </c>
      <c r="T459" t="s">
        <v>1919</v>
      </c>
      <c r="U459" t="s">
        <v>322</v>
      </c>
      <c r="V459" t="s">
        <v>82</v>
      </c>
      <c r="W459" t="s">
        <v>1915</v>
      </c>
      <c r="X459" t="s">
        <v>96</v>
      </c>
      <c r="Y459" t="s">
        <v>82</v>
      </c>
      <c r="Z459" t="s">
        <v>78</v>
      </c>
    </row>
    <row r="460" spans="1:26" x14ac:dyDescent="0.25">
      <c r="A460" t="s">
        <v>1920</v>
      </c>
      <c r="B460" t="s">
        <v>1921</v>
      </c>
      <c r="C460" s="4" t="s">
        <v>1900</v>
      </c>
      <c r="D460" t="s">
        <v>1312</v>
      </c>
      <c r="E460" t="s">
        <v>14</v>
      </c>
      <c r="F460" t="s">
        <v>128</v>
      </c>
      <c r="G460" t="s">
        <v>105</v>
      </c>
      <c r="H460" t="s">
        <v>78</v>
      </c>
      <c r="I460" t="s">
        <v>102</v>
      </c>
      <c r="J460" t="s">
        <v>15</v>
      </c>
      <c r="K460" t="s">
        <v>1912</v>
      </c>
      <c r="L460" t="s">
        <v>89</v>
      </c>
      <c r="M460" t="s">
        <v>318</v>
      </c>
      <c r="N460" t="s">
        <v>1371</v>
      </c>
      <c r="O460" t="s">
        <v>1922</v>
      </c>
      <c r="P460" t="s">
        <v>1922</v>
      </c>
      <c r="Q460" t="s">
        <v>102</v>
      </c>
      <c r="R460" t="s">
        <v>86</v>
      </c>
      <c r="S460" t="s">
        <v>1914</v>
      </c>
      <c r="T460" t="s">
        <v>1921</v>
      </c>
      <c r="U460" t="s">
        <v>322</v>
      </c>
      <c r="V460" t="s">
        <v>82</v>
      </c>
      <c r="W460" t="s">
        <v>1915</v>
      </c>
      <c r="X460" t="s">
        <v>96</v>
      </c>
      <c r="Y460" t="s">
        <v>82</v>
      </c>
      <c r="Z460" t="s">
        <v>78</v>
      </c>
    </row>
    <row r="461" spans="1:26" x14ac:dyDescent="0.25">
      <c r="A461" t="s">
        <v>1923</v>
      </c>
      <c r="B461" t="s">
        <v>1924</v>
      </c>
      <c r="C461" s="4" t="s">
        <v>1900</v>
      </c>
      <c r="D461" t="s">
        <v>1312</v>
      </c>
      <c r="E461" t="s">
        <v>14</v>
      </c>
      <c r="F461" t="s">
        <v>143</v>
      </c>
      <c r="G461" t="s">
        <v>106</v>
      </c>
      <c r="H461" t="s">
        <v>78</v>
      </c>
      <c r="I461" t="s">
        <v>102</v>
      </c>
      <c r="J461" t="s">
        <v>15</v>
      </c>
      <c r="K461" t="s">
        <v>1925</v>
      </c>
      <c r="L461" t="s">
        <v>89</v>
      </c>
      <c r="M461" t="s">
        <v>318</v>
      </c>
      <c r="N461" t="s">
        <v>1926</v>
      </c>
      <c r="O461" t="s">
        <v>1927</v>
      </c>
      <c r="P461" t="s">
        <v>1927</v>
      </c>
      <c r="Q461" t="s">
        <v>102</v>
      </c>
      <c r="R461" t="s">
        <v>86</v>
      </c>
      <c r="S461" t="s">
        <v>1928</v>
      </c>
      <c r="T461" t="s">
        <v>1924</v>
      </c>
      <c r="U461" t="s">
        <v>322</v>
      </c>
      <c r="V461" t="s">
        <v>82</v>
      </c>
      <c r="W461" t="s">
        <v>1929</v>
      </c>
      <c r="X461" t="s">
        <v>96</v>
      </c>
      <c r="Y461" t="s">
        <v>82</v>
      </c>
      <c r="Z461" t="s">
        <v>78</v>
      </c>
    </row>
    <row r="462" spans="1:26" x14ac:dyDescent="0.25">
      <c r="A462" t="s">
        <v>1930</v>
      </c>
      <c r="B462" t="s">
        <v>1931</v>
      </c>
      <c r="C462" s="4" t="s">
        <v>1900</v>
      </c>
      <c r="D462" t="s">
        <v>1312</v>
      </c>
      <c r="E462" t="s">
        <v>14</v>
      </c>
      <c r="F462" t="s">
        <v>143</v>
      </c>
      <c r="G462" t="s">
        <v>106</v>
      </c>
      <c r="H462" t="s">
        <v>78</v>
      </c>
      <c r="I462" t="s">
        <v>102</v>
      </c>
      <c r="J462" t="s">
        <v>18</v>
      </c>
      <c r="K462" t="s">
        <v>1925</v>
      </c>
      <c r="L462" t="s">
        <v>89</v>
      </c>
      <c r="M462" t="s">
        <v>318</v>
      </c>
      <c r="N462" t="s">
        <v>1926</v>
      </c>
      <c r="O462" t="s">
        <v>1932</v>
      </c>
      <c r="P462" t="s">
        <v>1932</v>
      </c>
      <c r="Q462" t="s">
        <v>102</v>
      </c>
      <c r="R462" t="s">
        <v>86</v>
      </c>
      <c r="S462" t="s">
        <v>1928</v>
      </c>
      <c r="T462" t="s">
        <v>1931</v>
      </c>
      <c r="U462" t="s">
        <v>322</v>
      </c>
      <c r="V462" t="s">
        <v>82</v>
      </c>
      <c r="W462" t="s">
        <v>1929</v>
      </c>
      <c r="X462" t="s">
        <v>96</v>
      </c>
      <c r="Y462" t="s">
        <v>82</v>
      </c>
      <c r="Z462" t="s">
        <v>78</v>
      </c>
    </row>
    <row r="463" spans="1:26" x14ac:dyDescent="0.25">
      <c r="A463" t="s">
        <v>1933</v>
      </c>
      <c r="B463" t="s">
        <v>1934</v>
      </c>
      <c r="C463" s="4" t="s">
        <v>1900</v>
      </c>
      <c r="D463" t="s">
        <v>1312</v>
      </c>
      <c r="E463" t="s">
        <v>14</v>
      </c>
      <c r="F463" t="s">
        <v>143</v>
      </c>
      <c r="G463" t="s">
        <v>106</v>
      </c>
      <c r="H463" t="s">
        <v>78</v>
      </c>
      <c r="I463" t="s">
        <v>102</v>
      </c>
      <c r="J463" t="s">
        <v>20</v>
      </c>
      <c r="K463" t="s">
        <v>1925</v>
      </c>
      <c r="L463" t="s">
        <v>89</v>
      </c>
      <c r="M463" t="s">
        <v>318</v>
      </c>
      <c r="N463" t="s">
        <v>1926</v>
      </c>
      <c r="O463" t="s">
        <v>1932</v>
      </c>
      <c r="P463" t="s">
        <v>1932</v>
      </c>
      <c r="Q463" t="s">
        <v>102</v>
      </c>
      <c r="R463" t="s">
        <v>86</v>
      </c>
      <c r="S463" t="s">
        <v>1928</v>
      </c>
      <c r="T463" t="s">
        <v>1934</v>
      </c>
      <c r="U463" t="s">
        <v>322</v>
      </c>
      <c r="V463" t="s">
        <v>82</v>
      </c>
      <c r="W463" t="s">
        <v>1929</v>
      </c>
      <c r="X463" t="s">
        <v>96</v>
      </c>
      <c r="Y463" t="s">
        <v>82</v>
      </c>
      <c r="Z463" t="s">
        <v>78</v>
      </c>
    </row>
    <row r="464" spans="1:26" x14ac:dyDescent="0.25">
      <c r="A464" t="s">
        <v>1935</v>
      </c>
      <c r="B464" t="s">
        <v>1936</v>
      </c>
      <c r="C464" s="4" t="s">
        <v>1900</v>
      </c>
      <c r="D464" t="s">
        <v>1312</v>
      </c>
      <c r="E464" t="s">
        <v>14</v>
      </c>
      <c r="F464" t="s">
        <v>143</v>
      </c>
      <c r="G464" t="s">
        <v>106</v>
      </c>
      <c r="H464" t="s">
        <v>78</v>
      </c>
      <c r="I464" t="s">
        <v>102</v>
      </c>
      <c r="J464" t="s">
        <v>17</v>
      </c>
      <c r="K464" t="s">
        <v>1925</v>
      </c>
      <c r="L464" t="s">
        <v>89</v>
      </c>
      <c r="M464" t="s">
        <v>318</v>
      </c>
      <c r="N464" t="s">
        <v>1926</v>
      </c>
      <c r="O464" t="s">
        <v>1932</v>
      </c>
      <c r="P464" t="s">
        <v>1932</v>
      </c>
      <c r="Q464" t="s">
        <v>102</v>
      </c>
      <c r="R464" t="s">
        <v>86</v>
      </c>
      <c r="S464" t="s">
        <v>1928</v>
      </c>
      <c r="T464" t="s">
        <v>1936</v>
      </c>
      <c r="U464" t="s">
        <v>322</v>
      </c>
      <c r="V464" t="s">
        <v>82</v>
      </c>
      <c r="W464" t="s">
        <v>1929</v>
      </c>
      <c r="X464" t="s">
        <v>96</v>
      </c>
      <c r="Y464" t="s">
        <v>82</v>
      </c>
      <c r="Z464" t="s">
        <v>78</v>
      </c>
    </row>
    <row r="465" spans="1:26" x14ac:dyDescent="0.25">
      <c r="A465" t="s">
        <v>1937</v>
      </c>
      <c r="B465" t="s">
        <v>1938</v>
      </c>
      <c r="C465" s="4" t="s">
        <v>1939</v>
      </c>
      <c r="D465" t="s">
        <v>1940</v>
      </c>
      <c r="E465" t="s">
        <v>14</v>
      </c>
      <c r="F465" t="s">
        <v>85</v>
      </c>
      <c r="G465" t="s">
        <v>111</v>
      </c>
      <c r="H465" t="s">
        <v>78</v>
      </c>
      <c r="I465" t="s">
        <v>102</v>
      </c>
      <c r="J465" t="s">
        <v>546</v>
      </c>
      <c r="K465" t="s">
        <v>1607</v>
      </c>
      <c r="L465" t="s">
        <v>89</v>
      </c>
      <c r="M465" t="s">
        <v>318</v>
      </c>
      <c r="N465" t="s">
        <v>1608</v>
      </c>
      <c r="O465" t="s">
        <v>1941</v>
      </c>
      <c r="P465" t="s">
        <v>1941</v>
      </c>
      <c r="Q465" t="s">
        <v>102</v>
      </c>
      <c r="R465" t="s">
        <v>85</v>
      </c>
      <c r="S465" t="s">
        <v>1610</v>
      </c>
      <c r="T465" t="s">
        <v>1938</v>
      </c>
      <c r="U465" t="s">
        <v>322</v>
      </c>
      <c r="V465" t="s">
        <v>82</v>
      </c>
      <c r="W465" t="s">
        <v>1611</v>
      </c>
      <c r="X465" t="s">
        <v>96</v>
      </c>
      <c r="Y465" t="s">
        <v>82</v>
      </c>
      <c r="Z465" t="s">
        <v>149</v>
      </c>
    </row>
    <row r="466" spans="1:26" x14ac:dyDescent="0.25">
      <c r="A466" t="s">
        <v>1777</v>
      </c>
      <c r="B466" t="s">
        <v>1942</v>
      </c>
      <c r="C466" s="4" t="s">
        <v>1939</v>
      </c>
      <c r="D466" t="s">
        <v>1940</v>
      </c>
      <c r="E466" t="s">
        <v>14</v>
      </c>
      <c r="F466" t="s">
        <v>85</v>
      </c>
      <c r="G466" t="s">
        <v>111</v>
      </c>
      <c r="H466" t="s">
        <v>78</v>
      </c>
      <c r="I466" t="s">
        <v>102</v>
      </c>
      <c r="J466" t="s">
        <v>1530</v>
      </c>
      <c r="K466" t="s">
        <v>1607</v>
      </c>
      <c r="L466" t="s">
        <v>89</v>
      </c>
      <c r="M466" t="s">
        <v>318</v>
      </c>
      <c r="N466" t="s">
        <v>1608</v>
      </c>
      <c r="O466" t="s">
        <v>1941</v>
      </c>
      <c r="P466" t="s">
        <v>1941</v>
      </c>
      <c r="Q466" t="s">
        <v>102</v>
      </c>
      <c r="R466" t="s">
        <v>85</v>
      </c>
      <c r="S466" t="s">
        <v>1610</v>
      </c>
      <c r="T466" t="s">
        <v>1942</v>
      </c>
      <c r="U466" t="s">
        <v>322</v>
      </c>
      <c r="V466" t="s">
        <v>82</v>
      </c>
      <c r="W466" t="s">
        <v>1611</v>
      </c>
      <c r="X466" t="s">
        <v>96</v>
      </c>
      <c r="Y466" t="s">
        <v>82</v>
      </c>
      <c r="Z466" t="s">
        <v>149</v>
      </c>
    </row>
    <row r="467" spans="1:26" x14ac:dyDescent="0.25">
      <c r="A467" t="s">
        <v>1943</v>
      </c>
      <c r="B467" t="s">
        <v>1944</v>
      </c>
      <c r="C467" s="4" t="s">
        <v>1939</v>
      </c>
      <c r="D467" t="s">
        <v>1940</v>
      </c>
      <c r="E467" t="s">
        <v>14</v>
      </c>
      <c r="F467" t="s">
        <v>85</v>
      </c>
      <c r="G467" t="s">
        <v>111</v>
      </c>
      <c r="H467" t="s">
        <v>78</v>
      </c>
      <c r="I467" t="s">
        <v>102</v>
      </c>
      <c r="J467" t="s">
        <v>30</v>
      </c>
      <c r="K467" t="s">
        <v>1607</v>
      </c>
      <c r="L467" t="s">
        <v>89</v>
      </c>
      <c r="M467" t="s">
        <v>318</v>
      </c>
      <c r="N467" t="s">
        <v>1608</v>
      </c>
      <c r="O467" t="s">
        <v>1941</v>
      </c>
      <c r="P467" t="s">
        <v>1941</v>
      </c>
      <c r="Q467" t="s">
        <v>102</v>
      </c>
      <c r="R467" t="s">
        <v>85</v>
      </c>
      <c r="S467" t="s">
        <v>1610</v>
      </c>
      <c r="T467" t="s">
        <v>1944</v>
      </c>
      <c r="U467" t="s">
        <v>322</v>
      </c>
      <c r="V467" t="s">
        <v>82</v>
      </c>
      <c r="W467" t="s">
        <v>1611</v>
      </c>
      <c r="X467" t="s">
        <v>96</v>
      </c>
      <c r="Y467" t="s">
        <v>82</v>
      </c>
      <c r="Z467" t="s">
        <v>149</v>
      </c>
    </row>
    <row r="468" spans="1:26" x14ac:dyDescent="0.25">
      <c r="A468" t="s">
        <v>1945</v>
      </c>
      <c r="B468" t="s">
        <v>1946</v>
      </c>
      <c r="C468" s="4" t="s">
        <v>1939</v>
      </c>
      <c r="D468" t="s">
        <v>1940</v>
      </c>
      <c r="E468" t="s">
        <v>14</v>
      </c>
      <c r="F468" t="s">
        <v>85</v>
      </c>
      <c r="G468" t="s">
        <v>111</v>
      </c>
      <c r="H468" t="s">
        <v>78</v>
      </c>
      <c r="I468" t="s">
        <v>102</v>
      </c>
      <c r="J468" t="s">
        <v>1090</v>
      </c>
      <c r="K468" t="s">
        <v>1607</v>
      </c>
      <c r="L468" t="s">
        <v>89</v>
      </c>
      <c r="M468" t="s">
        <v>318</v>
      </c>
      <c r="N468" t="s">
        <v>1608</v>
      </c>
      <c r="O468" t="s">
        <v>1941</v>
      </c>
      <c r="P468" t="s">
        <v>1941</v>
      </c>
      <c r="Q468" t="s">
        <v>102</v>
      </c>
      <c r="R468" t="s">
        <v>85</v>
      </c>
      <c r="S468" t="s">
        <v>1610</v>
      </c>
      <c r="T468" t="s">
        <v>1946</v>
      </c>
      <c r="U468" t="s">
        <v>322</v>
      </c>
      <c r="V468" t="s">
        <v>82</v>
      </c>
      <c r="W468" t="s">
        <v>1611</v>
      </c>
      <c r="X468" t="s">
        <v>96</v>
      </c>
      <c r="Y468" t="s">
        <v>82</v>
      </c>
      <c r="Z468" t="s">
        <v>149</v>
      </c>
    </row>
    <row r="469" spans="1:26" x14ac:dyDescent="0.25">
      <c r="A469" t="s">
        <v>1947</v>
      </c>
      <c r="B469" t="s">
        <v>1948</v>
      </c>
      <c r="C469" s="4" t="s">
        <v>1949</v>
      </c>
      <c r="D469" t="s">
        <v>1940</v>
      </c>
      <c r="E469" t="s">
        <v>14</v>
      </c>
      <c r="F469" t="s">
        <v>85</v>
      </c>
      <c r="G469" t="s">
        <v>111</v>
      </c>
      <c r="H469" t="s">
        <v>78</v>
      </c>
      <c r="I469" t="s">
        <v>102</v>
      </c>
      <c r="J469" t="s">
        <v>546</v>
      </c>
      <c r="K469" t="s">
        <v>1607</v>
      </c>
      <c r="L469" t="s">
        <v>89</v>
      </c>
      <c r="M469" t="s">
        <v>318</v>
      </c>
      <c r="N469" t="s">
        <v>1608</v>
      </c>
      <c r="O469" t="s">
        <v>1950</v>
      </c>
      <c r="P469" t="s">
        <v>1950</v>
      </c>
      <c r="Q469" t="s">
        <v>102</v>
      </c>
      <c r="R469" t="s">
        <v>85</v>
      </c>
      <c r="S469" t="s">
        <v>1610</v>
      </c>
      <c r="T469" t="s">
        <v>1948</v>
      </c>
      <c r="U469" t="s">
        <v>322</v>
      </c>
      <c r="V469" t="s">
        <v>82</v>
      </c>
      <c r="W469" t="s">
        <v>1611</v>
      </c>
      <c r="X469" t="s">
        <v>96</v>
      </c>
      <c r="Y469" t="s">
        <v>82</v>
      </c>
      <c r="Z469" t="s">
        <v>149</v>
      </c>
    </row>
    <row r="470" spans="1:26" x14ac:dyDescent="0.25">
      <c r="A470" t="s">
        <v>1951</v>
      </c>
      <c r="B470" t="s">
        <v>1952</v>
      </c>
      <c r="C470" s="4" t="s">
        <v>1949</v>
      </c>
      <c r="D470" t="s">
        <v>1940</v>
      </c>
      <c r="E470" t="s">
        <v>14</v>
      </c>
      <c r="F470" t="s">
        <v>85</v>
      </c>
      <c r="G470" t="s">
        <v>111</v>
      </c>
      <c r="H470" t="s">
        <v>78</v>
      </c>
      <c r="I470" t="s">
        <v>102</v>
      </c>
      <c r="J470" t="s">
        <v>30</v>
      </c>
      <c r="K470" t="s">
        <v>1607</v>
      </c>
      <c r="L470" t="s">
        <v>89</v>
      </c>
      <c r="M470" t="s">
        <v>318</v>
      </c>
      <c r="N470" t="s">
        <v>1608</v>
      </c>
      <c r="O470" t="s">
        <v>1950</v>
      </c>
      <c r="P470" t="s">
        <v>1950</v>
      </c>
      <c r="Q470" t="s">
        <v>102</v>
      </c>
      <c r="R470" t="s">
        <v>85</v>
      </c>
      <c r="S470" t="s">
        <v>1610</v>
      </c>
      <c r="T470" t="s">
        <v>1952</v>
      </c>
      <c r="U470" t="s">
        <v>322</v>
      </c>
      <c r="V470" t="s">
        <v>82</v>
      </c>
      <c r="W470" t="s">
        <v>1611</v>
      </c>
      <c r="X470" t="s">
        <v>96</v>
      </c>
      <c r="Y470" t="s">
        <v>82</v>
      </c>
      <c r="Z470" t="s">
        <v>149</v>
      </c>
    </row>
    <row r="471" spans="1:26" x14ac:dyDescent="0.25">
      <c r="A471" t="s">
        <v>1953</v>
      </c>
      <c r="B471" t="s">
        <v>1954</v>
      </c>
      <c r="C471" s="4" t="s">
        <v>1949</v>
      </c>
      <c r="D471" t="s">
        <v>1940</v>
      </c>
      <c r="E471" t="s">
        <v>14</v>
      </c>
      <c r="F471" t="s">
        <v>85</v>
      </c>
      <c r="G471" t="s">
        <v>111</v>
      </c>
      <c r="H471" t="s">
        <v>78</v>
      </c>
      <c r="I471" t="s">
        <v>102</v>
      </c>
      <c r="J471" t="s">
        <v>1530</v>
      </c>
      <c r="K471" t="s">
        <v>1607</v>
      </c>
      <c r="L471" t="s">
        <v>89</v>
      </c>
      <c r="M471" t="s">
        <v>318</v>
      </c>
      <c r="N471" t="s">
        <v>1608</v>
      </c>
      <c r="O471" t="s">
        <v>1950</v>
      </c>
      <c r="P471" t="s">
        <v>1950</v>
      </c>
      <c r="Q471" t="s">
        <v>102</v>
      </c>
      <c r="R471" t="s">
        <v>85</v>
      </c>
      <c r="S471" t="s">
        <v>1610</v>
      </c>
      <c r="T471" t="s">
        <v>1954</v>
      </c>
      <c r="U471" t="s">
        <v>322</v>
      </c>
      <c r="V471" t="s">
        <v>82</v>
      </c>
      <c r="W471" t="s">
        <v>1611</v>
      </c>
      <c r="X471" t="s">
        <v>96</v>
      </c>
      <c r="Y471" t="s">
        <v>82</v>
      </c>
      <c r="Z471" t="s">
        <v>149</v>
      </c>
    </row>
    <row r="472" spans="1:26" x14ac:dyDescent="0.25">
      <c r="A472" t="s">
        <v>1955</v>
      </c>
      <c r="B472" t="s">
        <v>1956</v>
      </c>
      <c r="C472" s="4" t="s">
        <v>1949</v>
      </c>
      <c r="D472" t="s">
        <v>1940</v>
      </c>
      <c r="E472" t="s">
        <v>14</v>
      </c>
      <c r="F472" t="s">
        <v>85</v>
      </c>
      <c r="G472" t="s">
        <v>111</v>
      </c>
      <c r="H472" t="s">
        <v>78</v>
      </c>
      <c r="I472" t="s">
        <v>102</v>
      </c>
      <c r="J472" t="s">
        <v>1461</v>
      </c>
      <c r="K472" t="s">
        <v>1607</v>
      </c>
      <c r="L472" t="s">
        <v>89</v>
      </c>
      <c r="M472" t="s">
        <v>318</v>
      </c>
      <c r="N472" t="s">
        <v>1608</v>
      </c>
      <c r="O472" t="s">
        <v>1957</v>
      </c>
      <c r="P472" t="s">
        <v>1957</v>
      </c>
      <c r="Q472" t="s">
        <v>102</v>
      </c>
      <c r="R472" t="s">
        <v>85</v>
      </c>
      <c r="S472" t="s">
        <v>1610</v>
      </c>
      <c r="T472" t="s">
        <v>1956</v>
      </c>
      <c r="U472" t="s">
        <v>322</v>
      </c>
      <c r="V472" t="s">
        <v>82</v>
      </c>
      <c r="W472" t="s">
        <v>1611</v>
      </c>
      <c r="X472" t="s">
        <v>96</v>
      </c>
      <c r="Y472" t="s">
        <v>82</v>
      </c>
      <c r="Z472" t="s">
        <v>149</v>
      </c>
    </row>
    <row r="473" spans="1:26" x14ac:dyDescent="0.25">
      <c r="A473" t="s">
        <v>1958</v>
      </c>
      <c r="B473" t="s">
        <v>1959</v>
      </c>
      <c r="C473" s="4" t="s">
        <v>1960</v>
      </c>
      <c r="D473" t="s">
        <v>1961</v>
      </c>
      <c r="E473" t="s">
        <v>14</v>
      </c>
      <c r="F473" t="s">
        <v>83</v>
      </c>
      <c r="G473" t="s">
        <v>84</v>
      </c>
      <c r="H473" t="s">
        <v>78</v>
      </c>
      <c r="I473" t="s">
        <v>86</v>
      </c>
      <c r="J473" t="s">
        <v>32</v>
      </c>
      <c r="K473" t="s">
        <v>829</v>
      </c>
      <c r="L473" t="s">
        <v>89</v>
      </c>
      <c r="M473" t="s">
        <v>318</v>
      </c>
      <c r="N473" t="s">
        <v>555</v>
      </c>
      <c r="O473" t="s">
        <v>1962</v>
      </c>
      <c r="P473" t="s">
        <v>1963</v>
      </c>
      <c r="Q473" t="s">
        <v>102</v>
      </c>
      <c r="R473" t="s">
        <v>78</v>
      </c>
      <c r="S473" t="s">
        <v>1964</v>
      </c>
      <c r="T473" t="s">
        <v>1959</v>
      </c>
      <c r="U473" t="s">
        <v>322</v>
      </c>
      <c r="V473" t="s">
        <v>82</v>
      </c>
      <c r="W473" t="s">
        <v>1965</v>
      </c>
      <c r="X473" t="s">
        <v>96</v>
      </c>
      <c r="Y473" t="s">
        <v>82</v>
      </c>
      <c r="Z473" t="s">
        <v>149</v>
      </c>
    </row>
    <row r="474" spans="1:26" x14ac:dyDescent="0.25">
      <c r="A474" t="s">
        <v>1966</v>
      </c>
      <c r="B474" t="s">
        <v>1967</v>
      </c>
      <c r="C474" s="4" t="s">
        <v>1960</v>
      </c>
      <c r="D474" t="s">
        <v>1961</v>
      </c>
      <c r="E474" t="s">
        <v>14</v>
      </c>
      <c r="F474" t="s">
        <v>83</v>
      </c>
      <c r="G474" t="s">
        <v>84</v>
      </c>
      <c r="H474" t="s">
        <v>78</v>
      </c>
      <c r="I474" t="s">
        <v>86</v>
      </c>
      <c r="J474" t="s">
        <v>87</v>
      </c>
      <c r="K474" t="s">
        <v>829</v>
      </c>
      <c r="L474" t="s">
        <v>89</v>
      </c>
      <c r="M474" t="s">
        <v>318</v>
      </c>
      <c r="N474" t="s">
        <v>555</v>
      </c>
      <c r="O474" t="s">
        <v>1968</v>
      </c>
      <c r="P474" t="s">
        <v>1969</v>
      </c>
      <c r="Q474" t="s">
        <v>102</v>
      </c>
      <c r="R474" t="s">
        <v>78</v>
      </c>
      <c r="S474" t="s">
        <v>1964</v>
      </c>
      <c r="T474" t="s">
        <v>1967</v>
      </c>
      <c r="U474" t="s">
        <v>322</v>
      </c>
      <c r="V474" t="s">
        <v>82</v>
      </c>
      <c r="W474" t="s">
        <v>1965</v>
      </c>
      <c r="X474" t="s">
        <v>96</v>
      </c>
      <c r="Y474" t="s">
        <v>82</v>
      </c>
      <c r="Z474" t="s">
        <v>149</v>
      </c>
    </row>
    <row r="475" spans="1:26" x14ac:dyDescent="0.25">
      <c r="A475" t="s">
        <v>1970</v>
      </c>
      <c r="B475" t="s">
        <v>1971</v>
      </c>
      <c r="C475" s="4" t="s">
        <v>1960</v>
      </c>
      <c r="D475" t="s">
        <v>1961</v>
      </c>
      <c r="E475" t="s">
        <v>14</v>
      </c>
      <c r="F475" t="s">
        <v>83</v>
      </c>
      <c r="G475" t="s">
        <v>84</v>
      </c>
      <c r="H475" t="s">
        <v>78</v>
      </c>
      <c r="I475" t="s">
        <v>86</v>
      </c>
      <c r="J475" t="s">
        <v>30</v>
      </c>
      <c r="K475" t="s">
        <v>829</v>
      </c>
      <c r="L475" t="s">
        <v>89</v>
      </c>
      <c r="M475" t="s">
        <v>318</v>
      </c>
      <c r="N475" t="s">
        <v>555</v>
      </c>
      <c r="O475" t="s">
        <v>1968</v>
      </c>
      <c r="P475" t="s">
        <v>1972</v>
      </c>
      <c r="Q475" t="s">
        <v>102</v>
      </c>
      <c r="R475" t="s">
        <v>78</v>
      </c>
      <c r="S475" t="s">
        <v>1964</v>
      </c>
      <c r="T475" t="s">
        <v>1971</v>
      </c>
      <c r="U475" t="s">
        <v>322</v>
      </c>
      <c r="V475" t="s">
        <v>82</v>
      </c>
      <c r="W475" t="s">
        <v>1965</v>
      </c>
      <c r="X475" t="s">
        <v>96</v>
      </c>
      <c r="Y475" t="s">
        <v>82</v>
      </c>
      <c r="Z475" t="s">
        <v>149</v>
      </c>
    </row>
    <row r="476" spans="1:26" x14ac:dyDescent="0.25">
      <c r="A476" t="s">
        <v>1973</v>
      </c>
      <c r="B476" t="s">
        <v>1974</v>
      </c>
      <c r="C476" s="4" t="s">
        <v>1960</v>
      </c>
      <c r="D476" t="s">
        <v>1961</v>
      </c>
      <c r="E476" t="s">
        <v>14</v>
      </c>
      <c r="F476" t="s">
        <v>83</v>
      </c>
      <c r="G476" t="s">
        <v>84</v>
      </c>
      <c r="H476" t="s">
        <v>78</v>
      </c>
      <c r="I476" t="s">
        <v>86</v>
      </c>
      <c r="J476" t="s">
        <v>130</v>
      </c>
      <c r="K476" t="s">
        <v>829</v>
      </c>
      <c r="L476" t="s">
        <v>89</v>
      </c>
      <c r="M476" t="s">
        <v>318</v>
      </c>
      <c r="N476" t="s">
        <v>555</v>
      </c>
      <c r="O476" t="s">
        <v>1975</v>
      </c>
      <c r="P476" t="s">
        <v>1976</v>
      </c>
      <c r="Q476" t="s">
        <v>102</v>
      </c>
      <c r="R476" t="s">
        <v>78</v>
      </c>
      <c r="S476" t="s">
        <v>1964</v>
      </c>
      <c r="T476" t="s">
        <v>1974</v>
      </c>
      <c r="U476" t="s">
        <v>322</v>
      </c>
      <c r="V476" t="s">
        <v>82</v>
      </c>
      <c r="W476" t="s">
        <v>1965</v>
      </c>
      <c r="X476" t="s">
        <v>96</v>
      </c>
      <c r="Y476" t="s">
        <v>82</v>
      </c>
      <c r="Z476" t="s">
        <v>149</v>
      </c>
    </row>
    <row r="477" spans="1:26" x14ac:dyDescent="0.25">
      <c r="A477" t="s">
        <v>1977</v>
      </c>
      <c r="B477" t="s">
        <v>1978</v>
      </c>
      <c r="C477" s="4" t="s">
        <v>1979</v>
      </c>
      <c r="D477" t="s">
        <v>1980</v>
      </c>
      <c r="E477" t="s">
        <v>14</v>
      </c>
      <c r="F477" t="s">
        <v>85</v>
      </c>
      <c r="G477" t="s">
        <v>111</v>
      </c>
      <c r="H477" t="s">
        <v>78</v>
      </c>
      <c r="I477" t="s">
        <v>102</v>
      </c>
      <c r="J477" t="s">
        <v>1002</v>
      </c>
      <c r="K477" t="s">
        <v>1981</v>
      </c>
      <c r="L477" t="s">
        <v>89</v>
      </c>
      <c r="M477" t="s">
        <v>318</v>
      </c>
      <c r="N477" t="s">
        <v>1982</v>
      </c>
      <c r="O477" t="s">
        <v>1983</v>
      </c>
      <c r="P477" t="s">
        <v>1983</v>
      </c>
      <c r="Q477" t="s">
        <v>102</v>
      </c>
      <c r="R477" t="s">
        <v>85</v>
      </c>
      <c r="S477" t="s">
        <v>1984</v>
      </c>
      <c r="T477" t="s">
        <v>1978</v>
      </c>
      <c r="U477" t="s">
        <v>322</v>
      </c>
      <c r="V477" t="s">
        <v>82</v>
      </c>
      <c r="W477" t="s">
        <v>1985</v>
      </c>
      <c r="X477" t="s">
        <v>96</v>
      </c>
      <c r="Y477" t="s">
        <v>82</v>
      </c>
      <c r="Z477" t="s">
        <v>149</v>
      </c>
    </row>
    <row r="478" spans="1:26" x14ac:dyDescent="0.25">
      <c r="A478" t="s">
        <v>1986</v>
      </c>
      <c r="B478" t="s">
        <v>1987</v>
      </c>
      <c r="C478" s="4" t="s">
        <v>1979</v>
      </c>
      <c r="D478" t="s">
        <v>1980</v>
      </c>
      <c r="E478" t="s">
        <v>14</v>
      </c>
      <c r="F478" t="s">
        <v>85</v>
      </c>
      <c r="G478" t="s">
        <v>111</v>
      </c>
      <c r="H478" t="s">
        <v>78</v>
      </c>
      <c r="I478" t="s">
        <v>102</v>
      </c>
      <c r="J478" t="s">
        <v>29</v>
      </c>
      <c r="K478" t="s">
        <v>1981</v>
      </c>
      <c r="L478" t="s">
        <v>89</v>
      </c>
      <c r="M478" t="s">
        <v>318</v>
      </c>
      <c r="N478" t="s">
        <v>1982</v>
      </c>
      <c r="O478" t="s">
        <v>1983</v>
      </c>
      <c r="P478" t="s">
        <v>1983</v>
      </c>
      <c r="Q478" t="s">
        <v>102</v>
      </c>
      <c r="R478" t="s">
        <v>85</v>
      </c>
      <c r="S478" t="s">
        <v>1984</v>
      </c>
      <c r="T478" t="s">
        <v>1987</v>
      </c>
      <c r="U478" t="s">
        <v>322</v>
      </c>
      <c r="V478" t="s">
        <v>82</v>
      </c>
      <c r="W478" t="s">
        <v>1985</v>
      </c>
      <c r="X478" t="s">
        <v>96</v>
      </c>
      <c r="Y478" t="s">
        <v>82</v>
      </c>
      <c r="Z478" t="s">
        <v>149</v>
      </c>
    </row>
    <row r="479" spans="1:26" x14ac:dyDescent="0.25">
      <c r="A479" t="s">
        <v>1988</v>
      </c>
      <c r="B479" t="s">
        <v>1989</v>
      </c>
      <c r="C479" s="4" t="s">
        <v>1979</v>
      </c>
      <c r="D479" t="s">
        <v>1980</v>
      </c>
      <c r="E479" t="s">
        <v>14</v>
      </c>
      <c r="F479" t="s">
        <v>85</v>
      </c>
      <c r="G479" t="s">
        <v>111</v>
      </c>
      <c r="H479" t="s">
        <v>78</v>
      </c>
      <c r="I479" t="s">
        <v>102</v>
      </c>
      <c r="J479" t="s">
        <v>37</v>
      </c>
      <c r="K479" t="s">
        <v>1981</v>
      </c>
      <c r="L479" t="s">
        <v>89</v>
      </c>
      <c r="M479" t="s">
        <v>318</v>
      </c>
      <c r="N479" t="s">
        <v>1982</v>
      </c>
      <c r="O479" t="s">
        <v>1990</v>
      </c>
      <c r="P479" t="s">
        <v>1990</v>
      </c>
      <c r="Q479" t="s">
        <v>102</v>
      </c>
      <c r="R479" t="s">
        <v>85</v>
      </c>
      <c r="S479" t="s">
        <v>1984</v>
      </c>
      <c r="T479" t="s">
        <v>1989</v>
      </c>
      <c r="U479" t="s">
        <v>322</v>
      </c>
      <c r="V479" t="s">
        <v>82</v>
      </c>
      <c r="W479" t="s">
        <v>1985</v>
      </c>
      <c r="X479" t="s">
        <v>96</v>
      </c>
      <c r="Y479" t="s">
        <v>82</v>
      </c>
      <c r="Z479" t="s">
        <v>149</v>
      </c>
    </row>
    <row r="480" spans="1:26" x14ac:dyDescent="0.25">
      <c r="A480" t="s">
        <v>1991</v>
      </c>
      <c r="B480" t="s">
        <v>1992</v>
      </c>
      <c r="C480" s="4" t="s">
        <v>1993</v>
      </c>
      <c r="D480" t="s">
        <v>1994</v>
      </c>
      <c r="E480" t="s">
        <v>14</v>
      </c>
      <c r="F480" t="s">
        <v>83</v>
      </c>
      <c r="G480" t="s">
        <v>105</v>
      </c>
      <c r="H480" t="s">
        <v>78</v>
      </c>
      <c r="I480" t="s">
        <v>102</v>
      </c>
      <c r="J480" t="s">
        <v>1002</v>
      </c>
      <c r="K480" t="s">
        <v>1779</v>
      </c>
      <c r="L480" t="s">
        <v>89</v>
      </c>
      <c r="M480" t="s">
        <v>318</v>
      </c>
      <c r="N480" t="s">
        <v>347</v>
      </c>
      <c r="O480" t="s">
        <v>1995</v>
      </c>
      <c r="P480" t="s">
        <v>1995</v>
      </c>
      <c r="Q480" t="s">
        <v>102</v>
      </c>
      <c r="R480" t="s">
        <v>111</v>
      </c>
      <c r="S480" t="s">
        <v>1996</v>
      </c>
      <c r="T480" t="s">
        <v>1992</v>
      </c>
      <c r="U480" t="s">
        <v>322</v>
      </c>
      <c r="V480" t="s">
        <v>82</v>
      </c>
      <c r="W480" t="s">
        <v>1783</v>
      </c>
      <c r="X480" t="s">
        <v>96</v>
      </c>
      <c r="Y480" t="s">
        <v>82</v>
      </c>
      <c r="Z480" t="s">
        <v>149</v>
      </c>
    </row>
    <row r="481" spans="1:26" x14ac:dyDescent="0.25">
      <c r="A481" t="s">
        <v>1997</v>
      </c>
      <c r="B481" t="s">
        <v>1998</v>
      </c>
      <c r="C481" s="4" t="s">
        <v>1993</v>
      </c>
      <c r="D481" t="s">
        <v>1994</v>
      </c>
      <c r="E481" t="s">
        <v>14</v>
      </c>
      <c r="F481" t="s">
        <v>83</v>
      </c>
      <c r="G481" t="s">
        <v>105</v>
      </c>
      <c r="H481" t="s">
        <v>78</v>
      </c>
      <c r="I481" t="s">
        <v>102</v>
      </c>
      <c r="J481" t="s">
        <v>29</v>
      </c>
      <c r="K481" t="s">
        <v>1779</v>
      </c>
      <c r="L481" t="s">
        <v>89</v>
      </c>
      <c r="M481" t="s">
        <v>318</v>
      </c>
      <c r="N481" t="s">
        <v>347</v>
      </c>
      <c r="O481" t="s">
        <v>1999</v>
      </c>
      <c r="P481" t="s">
        <v>1999</v>
      </c>
      <c r="Q481" t="s">
        <v>102</v>
      </c>
      <c r="R481" t="s">
        <v>111</v>
      </c>
      <c r="S481" t="s">
        <v>1996</v>
      </c>
      <c r="T481" t="s">
        <v>1998</v>
      </c>
      <c r="U481" t="s">
        <v>322</v>
      </c>
      <c r="V481" t="s">
        <v>82</v>
      </c>
      <c r="W481" t="s">
        <v>1783</v>
      </c>
      <c r="X481" t="s">
        <v>96</v>
      </c>
      <c r="Y481" t="s">
        <v>82</v>
      </c>
      <c r="Z481" t="s">
        <v>149</v>
      </c>
    </row>
    <row r="482" spans="1:26" x14ac:dyDescent="0.25">
      <c r="A482" t="s">
        <v>2000</v>
      </c>
      <c r="B482" t="s">
        <v>2001</v>
      </c>
      <c r="C482" s="4" t="s">
        <v>1993</v>
      </c>
      <c r="D482" t="s">
        <v>1994</v>
      </c>
      <c r="E482" t="s">
        <v>14</v>
      </c>
      <c r="F482" t="s">
        <v>83</v>
      </c>
      <c r="G482" t="s">
        <v>105</v>
      </c>
      <c r="H482" t="s">
        <v>78</v>
      </c>
      <c r="I482" t="s">
        <v>102</v>
      </c>
      <c r="J482" t="s">
        <v>1114</v>
      </c>
      <c r="K482" t="s">
        <v>1779</v>
      </c>
      <c r="L482" t="s">
        <v>89</v>
      </c>
      <c r="M482" t="s">
        <v>318</v>
      </c>
      <c r="N482" t="s">
        <v>347</v>
      </c>
      <c r="O482" t="s">
        <v>1999</v>
      </c>
      <c r="P482" t="s">
        <v>1999</v>
      </c>
      <c r="Q482" t="s">
        <v>102</v>
      </c>
      <c r="R482" t="s">
        <v>111</v>
      </c>
      <c r="S482" t="s">
        <v>1996</v>
      </c>
      <c r="T482" t="s">
        <v>2001</v>
      </c>
      <c r="U482" t="s">
        <v>322</v>
      </c>
      <c r="V482" t="s">
        <v>82</v>
      </c>
      <c r="W482" t="s">
        <v>1783</v>
      </c>
      <c r="X482" t="s">
        <v>96</v>
      </c>
      <c r="Y482" t="s">
        <v>82</v>
      </c>
      <c r="Z482" t="s">
        <v>149</v>
      </c>
    </row>
    <row r="483" spans="1:26" x14ac:dyDescent="0.25">
      <c r="A483" t="s">
        <v>2002</v>
      </c>
      <c r="B483" t="s">
        <v>2003</v>
      </c>
      <c r="C483" s="4" t="s">
        <v>1993</v>
      </c>
      <c r="D483" t="s">
        <v>1994</v>
      </c>
      <c r="E483" t="s">
        <v>14</v>
      </c>
      <c r="F483" t="s">
        <v>83</v>
      </c>
      <c r="G483" t="s">
        <v>105</v>
      </c>
      <c r="H483" t="s">
        <v>78</v>
      </c>
      <c r="I483" t="s">
        <v>102</v>
      </c>
      <c r="J483" t="s">
        <v>30</v>
      </c>
      <c r="K483" t="s">
        <v>1779</v>
      </c>
      <c r="L483" t="s">
        <v>89</v>
      </c>
      <c r="M483" t="s">
        <v>318</v>
      </c>
      <c r="N483" t="s">
        <v>347</v>
      </c>
      <c r="O483" t="s">
        <v>2004</v>
      </c>
      <c r="P483" t="s">
        <v>2004</v>
      </c>
      <c r="Q483" t="s">
        <v>102</v>
      </c>
      <c r="R483" t="s">
        <v>111</v>
      </c>
      <c r="S483" t="s">
        <v>1996</v>
      </c>
      <c r="T483" t="s">
        <v>2003</v>
      </c>
      <c r="U483" t="s">
        <v>322</v>
      </c>
      <c r="V483" t="s">
        <v>82</v>
      </c>
      <c r="W483" t="s">
        <v>1783</v>
      </c>
      <c r="X483" t="s">
        <v>96</v>
      </c>
      <c r="Y483" t="s">
        <v>82</v>
      </c>
      <c r="Z483" t="s">
        <v>149</v>
      </c>
    </row>
    <row r="484" spans="1:26" x14ac:dyDescent="0.25">
      <c r="A484" t="s">
        <v>2005</v>
      </c>
      <c r="B484" t="s">
        <v>2006</v>
      </c>
      <c r="C484" s="4" t="s">
        <v>2007</v>
      </c>
      <c r="D484" t="s">
        <v>2008</v>
      </c>
      <c r="E484" t="s">
        <v>14</v>
      </c>
      <c r="F484" t="s">
        <v>85</v>
      </c>
      <c r="G484" t="s">
        <v>111</v>
      </c>
      <c r="H484" t="s">
        <v>78</v>
      </c>
      <c r="I484" t="s">
        <v>102</v>
      </c>
      <c r="J484" t="s">
        <v>30</v>
      </c>
      <c r="K484" t="s">
        <v>2009</v>
      </c>
      <c r="L484" t="s">
        <v>89</v>
      </c>
      <c r="M484" t="s">
        <v>318</v>
      </c>
      <c r="N484" t="s">
        <v>1092</v>
      </c>
      <c r="O484" t="s">
        <v>2010</v>
      </c>
      <c r="P484" t="s">
        <v>2010</v>
      </c>
      <c r="Q484" t="s">
        <v>102</v>
      </c>
      <c r="R484" t="s">
        <v>111</v>
      </c>
      <c r="S484" t="s">
        <v>2011</v>
      </c>
      <c r="T484" t="s">
        <v>2006</v>
      </c>
      <c r="U484" t="s">
        <v>322</v>
      </c>
      <c r="V484" t="s">
        <v>82</v>
      </c>
      <c r="W484" t="s">
        <v>2012</v>
      </c>
      <c r="X484" t="s">
        <v>96</v>
      </c>
      <c r="Y484" t="s">
        <v>82</v>
      </c>
      <c r="Z484" t="s">
        <v>149</v>
      </c>
    </row>
    <row r="485" spans="1:26" x14ac:dyDescent="0.25">
      <c r="A485" t="s">
        <v>2013</v>
      </c>
      <c r="B485" t="s">
        <v>2014</v>
      </c>
      <c r="C485" s="4" t="s">
        <v>2007</v>
      </c>
      <c r="D485" t="s">
        <v>2008</v>
      </c>
      <c r="E485" t="s">
        <v>14</v>
      </c>
      <c r="F485" t="s">
        <v>85</v>
      </c>
      <c r="G485" t="s">
        <v>111</v>
      </c>
      <c r="H485" t="s">
        <v>78</v>
      </c>
      <c r="I485" t="s">
        <v>102</v>
      </c>
      <c r="J485" t="s">
        <v>1002</v>
      </c>
      <c r="K485" t="s">
        <v>2009</v>
      </c>
      <c r="L485" t="s">
        <v>89</v>
      </c>
      <c r="M485" t="s">
        <v>318</v>
      </c>
      <c r="N485" t="s">
        <v>1092</v>
      </c>
      <c r="O485" t="s">
        <v>2015</v>
      </c>
      <c r="P485" t="s">
        <v>2015</v>
      </c>
      <c r="Q485" t="s">
        <v>102</v>
      </c>
      <c r="R485" t="s">
        <v>111</v>
      </c>
      <c r="S485" t="s">
        <v>2011</v>
      </c>
      <c r="T485" t="s">
        <v>2014</v>
      </c>
      <c r="U485" t="s">
        <v>322</v>
      </c>
      <c r="V485" t="s">
        <v>82</v>
      </c>
      <c r="W485" t="s">
        <v>2012</v>
      </c>
      <c r="X485" t="s">
        <v>96</v>
      </c>
      <c r="Y485" t="s">
        <v>82</v>
      </c>
      <c r="Z485" t="s">
        <v>149</v>
      </c>
    </row>
    <row r="486" spans="1:26" x14ac:dyDescent="0.25">
      <c r="A486" t="s">
        <v>2016</v>
      </c>
      <c r="B486" t="s">
        <v>2017</v>
      </c>
      <c r="C486" s="4" t="s">
        <v>2007</v>
      </c>
      <c r="D486" t="s">
        <v>2008</v>
      </c>
      <c r="E486" t="s">
        <v>14</v>
      </c>
      <c r="F486" t="s">
        <v>85</v>
      </c>
      <c r="G486" t="s">
        <v>111</v>
      </c>
      <c r="H486" t="s">
        <v>78</v>
      </c>
      <c r="I486" t="s">
        <v>102</v>
      </c>
      <c r="J486" t="s">
        <v>37</v>
      </c>
      <c r="K486" t="s">
        <v>2009</v>
      </c>
      <c r="L486" t="s">
        <v>89</v>
      </c>
      <c r="M486" t="s">
        <v>318</v>
      </c>
      <c r="N486" t="s">
        <v>1092</v>
      </c>
      <c r="O486" t="s">
        <v>2015</v>
      </c>
      <c r="P486" t="s">
        <v>2015</v>
      </c>
      <c r="Q486" t="s">
        <v>102</v>
      </c>
      <c r="R486" t="s">
        <v>111</v>
      </c>
      <c r="S486" t="s">
        <v>2011</v>
      </c>
      <c r="T486" t="s">
        <v>2017</v>
      </c>
      <c r="U486" t="s">
        <v>322</v>
      </c>
      <c r="V486" t="s">
        <v>82</v>
      </c>
      <c r="W486" t="s">
        <v>2012</v>
      </c>
      <c r="X486" t="s">
        <v>96</v>
      </c>
      <c r="Y486" t="s">
        <v>82</v>
      </c>
      <c r="Z486" t="s">
        <v>149</v>
      </c>
    </row>
    <row r="487" spans="1:26" x14ac:dyDescent="0.25">
      <c r="A487" t="s">
        <v>2018</v>
      </c>
      <c r="B487" t="s">
        <v>2019</v>
      </c>
      <c r="C487" s="4" t="s">
        <v>2007</v>
      </c>
      <c r="D487" t="s">
        <v>2008</v>
      </c>
      <c r="E487" t="s">
        <v>14</v>
      </c>
      <c r="F487" t="s">
        <v>85</v>
      </c>
      <c r="G487" t="s">
        <v>111</v>
      </c>
      <c r="H487" t="s">
        <v>78</v>
      </c>
      <c r="I487" t="s">
        <v>102</v>
      </c>
      <c r="J487" t="s">
        <v>1292</v>
      </c>
      <c r="K487" t="s">
        <v>2009</v>
      </c>
      <c r="L487" t="s">
        <v>89</v>
      </c>
      <c r="M487" t="s">
        <v>318</v>
      </c>
      <c r="N487" t="s">
        <v>1092</v>
      </c>
      <c r="O487" t="s">
        <v>2015</v>
      </c>
      <c r="P487" t="s">
        <v>2015</v>
      </c>
      <c r="Q487" t="s">
        <v>102</v>
      </c>
      <c r="R487" t="s">
        <v>111</v>
      </c>
      <c r="S487" t="s">
        <v>2011</v>
      </c>
      <c r="T487" t="s">
        <v>2019</v>
      </c>
      <c r="U487" t="s">
        <v>322</v>
      </c>
      <c r="V487" t="s">
        <v>82</v>
      </c>
      <c r="W487" t="s">
        <v>2012</v>
      </c>
      <c r="X487" t="s">
        <v>96</v>
      </c>
      <c r="Y487" t="s">
        <v>82</v>
      </c>
      <c r="Z487" t="s">
        <v>149</v>
      </c>
    </row>
    <row r="488" spans="1:26" x14ac:dyDescent="0.25">
      <c r="A488" t="s">
        <v>2020</v>
      </c>
      <c r="B488" t="s">
        <v>2021</v>
      </c>
      <c r="C488" s="4" t="s">
        <v>2022</v>
      </c>
      <c r="D488" t="s">
        <v>2023</v>
      </c>
      <c r="E488" t="s">
        <v>14</v>
      </c>
      <c r="F488" t="s">
        <v>85</v>
      </c>
      <c r="G488" t="s">
        <v>111</v>
      </c>
      <c r="H488" t="s">
        <v>78</v>
      </c>
      <c r="I488" t="s">
        <v>102</v>
      </c>
      <c r="J488" t="s">
        <v>1292</v>
      </c>
      <c r="K488" t="s">
        <v>2024</v>
      </c>
      <c r="L488" t="s">
        <v>89</v>
      </c>
      <c r="M488" t="s">
        <v>318</v>
      </c>
      <c r="N488" t="s">
        <v>2025</v>
      </c>
      <c r="O488" t="s">
        <v>2026</v>
      </c>
      <c r="P488" t="s">
        <v>2026</v>
      </c>
      <c r="Q488" t="s">
        <v>102</v>
      </c>
      <c r="R488" t="s">
        <v>83</v>
      </c>
      <c r="S488" t="s">
        <v>1782</v>
      </c>
      <c r="T488" t="s">
        <v>2021</v>
      </c>
      <c r="U488" t="s">
        <v>322</v>
      </c>
      <c r="V488" t="s">
        <v>82</v>
      </c>
      <c r="W488" t="s">
        <v>1783</v>
      </c>
      <c r="X488" t="s">
        <v>96</v>
      </c>
      <c r="Y488" t="s">
        <v>82</v>
      </c>
      <c r="Z488" t="s">
        <v>149</v>
      </c>
    </row>
    <row r="489" spans="1:26" x14ac:dyDescent="0.25">
      <c r="A489" t="s">
        <v>2027</v>
      </c>
      <c r="B489" t="s">
        <v>2028</v>
      </c>
      <c r="C489" s="4" t="s">
        <v>2022</v>
      </c>
      <c r="D489" t="s">
        <v>2023</v>
      </c>
      <c r="E489" t="s">
        <v>14</v>
      </c>
      <c r="F489" t="s">
        <v>85</v>
      </c>
      <c r="G489" t="s">
        <v>111</v>
      </c>
      <c r="H489" t="s">
        <v>78</v>
      </c>
      <c r="I489" t="s">
        <v>102</v>
      </c>
      <c r="J489" t="s">
        <v>1682</v>
      </c>
      <c r="K489" t="s">
        <v>2024</v>
      </c>
      <c r="L489" t="s">
        <v>89</v>
      </c>
      <c r="M489" t="s">
        <v>318</v>
      </c>
      <c r="N489" t="s">
        <v>2025</v>
      </c>
      <c r="O489" t="s">
        <v>2029</v>
      </c>
      <c r="P489" t="s">
        <v>2029</v>
      </c>
      <c r="Q489" t="s">
        <v>102</v>
      </c>
      <c r="R489" t="s">
        <v>83</v>
      </c>
      <c r="S489" t="s">
        <v>1782</v>
      </c>
      <c r="T489" t="s">
        <v>2028</v>
      </c>
      <c r="U489" t="s">
        <v>322</v>
      </c>
      <c r="V489" t="s">
        <v>82</v>
      </c>
      <c r="W489" t="s">
        <v>1783</v>
      </c>
      <c r="X489" t="s">
        <v>96</v>
      </c>
      <c r="Y489" t="s">
        <v>82</v>
      </c>
      <c r="Z489" t="s">
        <v>149</v>
      </c>
    </row>
    <row r="490" spans="1:26" x14ac:dyDescent="0.25">
      <c r="A490" t="s">
        <v>2030</v>
      </c>
      <c r="B490" t="s">
        <v>2031</v>
      </c>
      <c r="C490" s="4" t="s">
        <v>2022</v>
      </c>
      <c r="D490" t="s">
        <v>2023</v>
      </c>
      <c r="E490" t="s">
        <v>14</v>
      </c>
      <c r="F490" t="s">
        <v>85</v>
      </c>
      <c r="G490" t="s">
        <v>111</v>
      </c>
      <c r="H490" t="s">
        <v>78</v>
      </c>
      <c r="I490" t="s">
        <v>102</v>
      </c>
      <c r="J490" t="s">
        <v>30</v>
      </c>
      <c r="K490" t="s">
        <v>2024</v>
      </c>
      <c r="L490" t="s">
        <v>89</v>
      </c>
      <c r="M490" t="s">
        <v>318</v>
      </c>
      <c r="N490" t="s">
        <v>2025</v>
      </c>
      <c r="O490" t="s">
        <v>2029</v>
      </c>
      <c r="P490" t="s">
        <v>2029</v>
      </c>
      <c r="Q490" t="s">
        <v>102</v>
      </c>
      <c r="R490" t="s">
        <v>83</v>
      </c>
      <c r="S490" t="s">
        <v>1782</v>
      </c>
      <c r="T490" t="s">
        <v>2031</v>
      </c>
      <c r="U490" t="s">
        <v>322</v>
      </c>
      <c r="V490" t="s">
        <v>82</v>
      </c>
      <c r="W490" t="s">
        <v>1783</v>
      </c>
      <c r="X490" t="s">
        <v>96</v>
      </c>
      <c r="Y490" t="s">
        <v>82</v>
      </c>
      <c r="Z490" t="s">
        <v>149</v>
      </c>
    </row>
    <row r="491" spans="1:26" x14ac:dyDescent="0.25">
      <c r="A491" t="s">
        <v>2032</v>
      </c>
      <c r="B491" t="s">
        <v>2033</v>
      </c>
      <c r="C491" s="4" t="s">
        <v>2022</v>
      </c>
      <c r="D491" t="s">
        <v>2023</v>
      </c>
      <c r="E491" t="s">
        <v>14</v>
      </c>
      <c r="F491" t="s">
        <v>85</v>
      </c>
      <c r="G491" t="s">
        <v>111</v>
      </c>
      <c r="H491" t="s">
        <v>78</v>
      </c>
      <c r="I491" t="s">
        <v>102</v>
      </c>
      <c r="J491" t="s">
        <v>37</v>
      </c>
      <c r="K491" t="s">
        <v>2024</v>
      </c>
      <c r="L491" t="s">
        <v>89</v>
      </c>
      <c r="M491" t="s">
        <v>318</v>
      </c>
      <c r="N491" t="s">
        <v>2025</v>
      </c>
      <c r="O491" t="s">
        <v>2029</v>
      </c>
      <c r="P491" t="s">
        <v>2029</v>
      </c>
      <c r="Q491" t="s">
        <v>102</v>
      </c>
      <c r="R491" t="s">
        <v>83</v>
      </c>
      <c r="S491" t="s">
        <v>1782</v>
      </c>
      <c r="T491" t="s">
        <v>2033</v>
      </c>
      <c r="U491" t="s">
        <v>322</v>
      </c>
      <c r="V491" t="s">
        <v>82</v>
      </c>
      <c r="W491" t="s">
        <v>1783</v>
      </c>
      <c r="X491" t="s">
        <v>96</v>
      </c>
      <c r="Y491" t="s">
        <v>82</v>
      </c>
      <c r="Z491" t="s">
        <v>149</v>
      </c>
    </row>
    <row r="492" spans="1:26" x14ac:dyDescent="0.25">
      <c r="A492" t="s">
        <v>2034</v>
      </c>
      <c r="B492" t="s">
        <v>2035</v>
      </c>
      <c r="C492" s="4" t="s">
        <v>2036</v>
      </c>
      <c r="D492" t="s">
        <v>2037</v>
      </c>
      <c r="E492" t="s">
        <v>14</v>
      </c>
      <c r="F492" t="s">
        <v>83</v>
      </c>
      <c r="G492" t="s">
        <v>134</v>
      </c>
      <c r="H492" t="s">
        <v>78</v>
      </c>
      <c r="I492" t="s">
        <v>105</v>
      </c>
      <c r="J492" t="s">
        <v>32</v>
      </c>
      <c r="K492" t="s">
        <v>1357</v>
      </c>
      <c r="L492" t="s">
        <v>89</v>
      </c>
      <c r="M492" t="s">
        <v>318</v>
      </c>
      <c r="N492" t="s">
        <v>326</v>
      </c>
      <c r="O492" t="s">
        <v>2038</v>
      </c>
      <c r="P492" t="s">
        <v>2039</v>
      </c>
      <c r="Q492" t="s">
        <v>102</v>
      </c>
      <c r="R492" t="s">
        <v>105</v>
      </c>
      <c r="S492" t="s">
        <v>897</v>
      </c>
      <c r="T492" t="s">
        <v>2035</v>
      </c>
      <c r="U492" t="s">
        <v>322</v>
      </c>
      <c r="V492" t="s">
        <v>82</v>
      </c>
      <c r="W492" t="s">
        <v>802</v>
      </c>
      <c r="X492" t="s">
        <v>96</v>
      </c>
      <c r="Y492" t="s">
        <v>82</v>
      </c>
      <c r="Z492" t="s">
        <v>149</v>
      </c>
    </row>
    <row r="493" spans="1:26" x14ac:dyDescent="0.25">
      <c r="A493" t="s">
        <v>2040</v>
      </c>
      <c r="B493" t="s">
        <v>2041</v>
      </c>
      <c r="C493" s="4" t="s">
        <v>1117</v>
      </c>
      <c r="D493" t="s">
        <v>2042</v>
      </c>
      <c r="E493" t="s">
        <v>14</v>
      </c>
      <c r="F493" t="s">
        <v>84</v>
      </c>
      <c r="G493" t="s">
        <v>105</v>
      </c>
      <c r="H493" t="s">
        <v>78</v>
      </c>
      <c r="I493" t="s">
        <v>154</v>
      </c>
      <c r="J493" t="s">
        <v>32</v>
      </c>
      <c r="K493" t="s">
        <v>1357</v>
      </c>
      <c r="L493" t="s">
        <v>89</v>
      </c>
      <c r="M493" t="s">
        <v>318</v>
      </c>
      <c r="N493" t="s">
        <v>326</v>
      </c>
      <c r="O493" t="s">
        <v>2043</v>
      </c>
      <c r="P493" t="s">
        <v>2044</v>
      </c>
      <c r="Q493" t="s">
        <v>102</v>
      </c>
      <c r="R493" t="s">
        <v>105</v>
      </c>
      <c r="S493" t="s">
        <v>2045</v>
      </c>
      <c r="T493" t="s">
        <v>2041</v>
      </c>
      <c r="U493" t="s">
        <v>322</v>
      </c>
      <c r="V493" t="s">
        <v>82</v>
      </c>
      <c r="W493" t="s">
        <v>802</v>
      </c>
      <c r="X493" t="s">
        <v>96</v>
      </c>
      <c r="Y493" t="s">
        <v>82</v>
      </c>
      <c r="Z493" t="s">
        <v>149</v>
      </c>
    </row>
    <row r="494" spans="1:26" x14ac:dyDescent="0.25">
      <c r="A494" t="s">
        <v>2046</v>
      </c>
      <c r="B494" t="s">
        <v>2047</v>
      </c>
      <c r="C494" s="4" t="s">
        <v>2048</v>
      </c>
      <c r="D494" t="s">
        <v>2042</v>
      </c>
      <c r="E494" t="s">
        <v>14</v>
      </c>
      <c r="F494" t="s">
        <v>84</v>
      </c>
      <c r="G494" t="s">
        <v>106</v>
      </c>
      <c r="H494" t="s">
        <v>78</v>
      </c>
      <c r="I494" t="s">
        <v>102</v>
      </c>
      <c r="J494" t="s">
        <v>32</v>
      </c>
      <c r="K494" t="s">
        <v>1357</v>
      </c>
      <c r="L494" t="s">
        <v>89</v>
      </c>
      <c r="M494" t="s">
        <v>318</v>
      </c>
      <c r="N494" t="s">
        <v>420</v>
      </c>
      <c r="O494" t="s">
        <v>2049</v>
      </c>
      <c r="P494" t="s">
        <v>2050</v>
      </c>
      <c r="Q494" t="s">
        <v>102</v>
      </c>
      <c r="R494" t="s">
        <v>105</v>
      </c>
      <c r="S494" t="s">
        <v>636</v>
      </c>
      <c r="T494" t="s">
        <v>2047</v>
      </c>
      <c r="U494" t="s">
        <v>322</v>
      </c>
      <c r="V494" t="s">
        <v>82</v>
      </c>
      <c r="W494" t="s">
        <v>802</v>
      </c>
      <c r="X494" t="s">
        <v>96</v>
      </c>
      <c r="Y494" t="s">
        <v>82</v>
      </c>
      <c r="Z494" t="s">
        <v>149</v>
      </c>
    </row>
    <row r="495" spans="1:26" x14ac:dyDescent="0.25">
      <c r="A495" t="s">
        <v>2051</v>
      </c>
      <c r="B495" t="s">
        <v>2052</v>
      </c>
      <c r="C495" s="4" t="s">
        <v>2053</v>
      </c>
      <c r="D495" t="s">
        <v>2054</v>
      </c>
      <c r="E495" t="s">
        <v>14</v>
      </c>
      <c r="F495" t="s">
        <v>85</v>
      </c>
      <c r="G495" t="s">
        <v>111</v>
      </c>
      <c r="H495" t="s">
        <v>78</v>
      </c>
      <c r="I495" t="s">
        <v>78</v>
      </c>
      <c r="J495" t="s">
        <v>37</v>
      </c>
      <c r="K495" t="s">
        <v>820</v>
      </c>
      <c r="L495" t="s">
        <v>89</v>
      </c>
      <c r="M495" t="s">
        <v>318</v>
      </c>
      <c r="N495" t="s">
        <v>90</v>
      </c>
      <c r="O495" t="s">
        <v>2055</v>
      </c>
      <c r="P495" t="s">
        <v>2056</v>
      </c>
      <c r="Q495" t="s">
        <v>102</v>
      </c>
      <c r="R495" t="s">
        <v>85</v>
      </c>
      <c r="S495" t="s">
        <v>820</v>
      </c>
      <c r="T495" t="s">
        <v>2052</v>
      </c>
      <c r="U495" t="s">
        <v>322</v>
      </c>
      <c r="V495" t="s">
        <v>82</v>
      </c>
      <c r="W495" t="s">
        <v>1108</v>
      </c>
      <c r="X495" t="s">
        <v>96</v>
      </c>
      <c r="Y495" t="s">
        <v>82</v>
      </c>
      <c r="Z495" t="s">
        <v>149</v>
      </c>
    </row>
    <row r="496" spans="1:26" x14ac:dyDescent="0.25">
      <c r="A496" t="s">
        <v>2057</v>
      </c>
      <c r="B496" t="s">
        <v>2058</v>
      </c>
      <c r="C496" s="4" t="s">
        <v>2053</v>
      </c>
      <c r="D496" t="s">
        <v>2054</v>
      </c>
      <c r="E496" t="s">
        <v>14</v>
      </c>
      <c r="F496" t="s">
        <v>85</v>
      </c>
      <c r="G496" t="s">
        <v>111</v>
      </c>
      <c r="H496" t="s">
        <v>78</v>
      </c>
      <c r="I496" t="s">
        <v>86</v>
      </c>
      <c r="J496" t="s">
        <v>87</v>
      </c>
      <c r="K496" t="s">
        <v>820</v>
      </c>
      <c r="L496" t="s">
        <v>89</v>
      </c>
      <c r="M496" t="s">
        <v>318</v>
      </c>
      <c r="N496" t="s">
        <v>90</v>
      </c>
      <c r="O496" t="s">
        <v>2059</v>
      </c>
      <c r="P496" t="s">
        <v>2060</v>
      </c>
      <c r="Q496" t="s">
        <v>102</v>
      </c>
      <c r="R496" t="s">
        <v>85</v>
      </c>
      <c r="S496" t="s">
        <v>2061</v>
      </c>
      <c r="T496" t="s">
        <v>2058</v>
      </c>
      <c r="U496" t="s">
        <v>322</v>
      </c>
      <c r="V496" t="s">
        <v>82</v>
      </c>
      <c r="W496" t="s">
        <v>1108</v>
      </c>
      <c r="X496" t="s">
        <v>96</v>
      </c>
      <c r="Y496" t="s">
        <v>82</v>
      </c>
      <c r="Z496" t="s">
        <v>149</v>
      </c>
    </row>
    <row r="497" spans="1:26" x14ac:dyDescent="0.25">
      <c r="A497" t="s">
        <v>2062</v>
      </c>
      <c r="B497" t="s">
        <v>2063</v>
      </c>
      <c r="C497" s="4" t="s">
        <v>1923</v>
      </c>
      <c r="D497" t="s">
        <v>1778</v>
      </c>
      <c r="E497" t="s">
        <v>14</v>
      </c>
      <c r="F497" t="s">
        <v>85</v>
      </c>
      <c r="G497" t="s">
        <v>111</v>
      </c>
      <c r="H497" t="s">
        <v>78</v>
      </c>
      <c r="I497" t="s">
        <v>86</v>
      </c>
      <c r="J497" t="s">
        <v>37</v>
      </c>
      <c r="K497" t="s">
        <v>1779</v>
      </c>
      <c r="L497" t="s">
        <v>89</v>
      </c>
      <c r="M497" t="s">
        <v>318</v>
      </c>
      <c r="N497" t="s">
        <v>347</v>
      </c>
      <c r="O497" t="s">
        <v>2064</v>
      </c>
      <c r="P497" t="s">
        <v>2065</v>
      </c>
      <c r="Q497" t="s">
        <v>102</v>
      </c>
      <c r="R497" t="s">
        <v>84</v>
      </c>
      <c r="S497" t="s">
        <v>1782</v>
      </c>
      <c r="T497" t="s">
        <v>2063</v>
      </c>
      <c r="U497" t="s">
        <v>322</v>
      </c>
      <c r="V497" t="s">
        <v>82</v>
      </c>
      <c r="W497" t="s">
        <v>1783</v>
      </c>
      <c r="X497" t="s">
        <v>96</v>
      </c>
      <c r="Y497" t="s">
        <v>82</v>
      </c>
      <c r="Z497" t="s">
        <v>149</v>
      </c>
    </row>
    <row r="498" spans="1:26" x14ac:dyDescent="0.25">
      <c r="A498" t="s">
        <v>2066</v>
      </c>
      <c r="B498" t="s">
        <v>2067</v>
      </c>
      <c r="C498" s="4" t="s">
        <v>1923</v>
      </c>
      <c r="D498" t="s">
        <v>1778</v>
      </c>
      <c r="E498" t="s">
        <v>14</v>
      </c>
      <c r="F498" t="s">
        <v>85</v>
      </c>
      <c r="G498" t="s">
        <v>111</v>
      </c>
      <c r="H498" t="s">
        <v>78</v>
      </c>
      <c r="I498" t="s">
        <v>86</v>
      </c>
      <c r="J498" t="s">
        <v>29</v>
      </c>
      <c r="K498" t="s">
        <v>1779</v>
      </c>
      <c r="L498" t="s">
        <v>89</v>
      </c>
      <c r="M498" t="s">
        <v>318</v>
      </c>
      <c r="N498" t="s">
        <v>347</v>
      </c>
      <c r="O498" t="s">
        <v>2068</v>
      </c>
      <c r="P498" t="s">
        <v>2069</v>
      </c>
      <c r="Q498" t="s">
        <v>102</v>
      </c>
      <c r="R498" t="s">
        <v>84</v>
      </c>
      <c r="S498" t="s">
        <v>1782</v>
      </c>
      <c r="T498" t="s">
        <v>2067</v>
      </c>
      <c r="U498" t="s">
        <v>322</v>
      </c>
      <c r="V498" t="s">
        <v>82</v>
      </c>
      <c r="W498" t="s">
        <v>1783</v>
      </c>
      <c r="X498" t="s">
        <v>96</v>
      </c>
      <c r="Y498" t="s">
        <v>82</v>
      </c>
      <c r="Z498" t="s">
        <v>149</v>
      </c>
    </row>
    <row r="499" spans="1:26" x14ac:dyDescent="0.25">
      <c r="A499" t="s">
        <v>2070</v>
      </c>
      <c r="B499" t="s">
        <v>2071</v>
      </c>
      <c r="C499" s="4" t="s">
        <v>1923</v>
      </c>
      <c r="D499" t="s">
        <v>1778</v>
      </c>
      <c r="E499" t="s">
        <v>14</v>
      </c>
      <c r="F499" t="s">
        <v>85</v>
      </c>
      <c r="G499" t="s">
        <v>111</v>
      </c>
      <c r="H499" t="s">
        <v>78</v>
      </c>
      <c r="I499" t="s">
        <v>86</v>
      </c>
      <c r="J499" t="s">
        <v>30</v>
      </c>
      <c r="K499" t="s">
        <v>1779</v>
      </c>
      <c r="L499" t="s">
        <v>89</v>
      </c>
      <c r="M499" t="s">
        <v>318</v>
      </c>
      <c r="N499" t="s">
        <v>347</v>
      </c>
      <c r="O499" t="s">
        <v>2072</v>
      </c>
      <c r="P499" t="s">
        <v>2073</v>
      </c>
      <c r="Q499" t="s">
        <v>102</v>
      </c>
      <c r="R499" t="s">
        <v>84</v>
      </c>
      <c r="S499" t="s">
        <v>1782</v>
      </c>
      <c r="T499" t="s">
        <v>2071</v>
      </c>
      <c r="U499" t="s">
        <v>322</v>
      </c>
      <c r="V499" t="s">
        <v>82</v>
      </c>
      <c r="W499" t="s">
        <v>1783</v>
      </c>
      <c r="X499" t="s">
        <v>96</v>
      </c>
      <c r="Y499" t="s">
        <v>82</v>
      </c>
      <c r="Z499" t="s">
        <v>149</v>
      </c>
    </row>
    <row r="500" spans="1:26" x14ac:dyDescent="0.25">
      <c r="A500" t="s">
        <v>2074</v>
      </c>
      <c r="B500" t="s">
        <v>2075</v>
      </c>
      <c r="C500" s="4" t="s">
        <v>1923</v>
      </c>
      <c r="D500" t="s">
        <v>1778</v>
      </c>
      <c r="E500" t="s">
        <v>14</v>
      </c>
      <c r="F500" t="s">
        <v>85</v>
      </c>
      <c r="G500" t="s">
        <v>111</v>
      </c>
      <c r="H500" t="s">
        <v>78</v>
      </c>
      <c r="I500" t="s">
        <v>86</v>
      </c>
      <c r="J500" t="s">
        <v>1002</v>
      </c>
      <c r="K500" t="s">
        <v>1779</v>
      </c>
      <c r="L500" t="s">
        <v>89</v>
      </c>
      <c r="M500" t="s">
        <v>318</v>
      </c>
      <c r="N500" t="s">
        <v>347</v>
      </c>
      <c r="O500" t="s">
        <v>2072</v>
      </c>
      <c r="P500" t="s">
        <v>2076</v>
      </c>
      <c r="Q500" t="s">
        <v>102</v>
      </c>
      <c r="R500" t="s">
        <v>84</v>
      </c>
      <c r="S500" t="s">
        <v>1782</v>
      </c>
      <c r="T500" t="s">
        <v>2075</v>
      </c>
      <c r="U500" t="s">
        <v>322</v>
      </c>
      <c r="V500" t="s">
        <v>82</v>
      </c>
      <c r="W500" t="s">
        <v>1783</v>
      </c>
      <c r="X500" t="s">
        <v>96</v>
      </c>
      <c r="Y500" t="s">
        <v>82</v>
      </c>
      <c r="Z500" t="s">
        <v>149</v>
      </c>
    </row>
    <row r="501" spans="1:26" x14ac:dyDescent="0.25">
      <c r="A501" t="s">
        <v>2077</v>
      </c>
      <c r="B501" t="s">
        <v>2078</v>
      </c>
      <c r="C501" s="4" t="s">
        <v>2079</v>
      </c>
      <c r="D501" t="s">
        <v>1829</v>
      </c>
      <c r="E501" t="s">
        <v>14</v>
      </c>
      <c r="F501" t="s">
        <v>83</v>
      </c>
      <c r="G501" t="s">
        <v>105</v>
      </c>
      <c r="H501" t="s">
        <v>78</v>
      </c>
      <c r="I501" t="s">
        <v>102</v>
      </c>
      <c r="J501" t="s">
        <v>1002</v>
      </c>
      <c r="K501" t="s">
        <v>604</v>
      </c>
      <c r="L501" t="s">
        <v>89</v>
      </c>
      <c r="M501" t="s">
        <v>318</v>
      </c>
      <c r="N501" t="s">
        <v>815</v>
      </c>
      <c r="O501" t="s">
        <v>2080</v>
      </c>
      <c r="P501" t="s">
        <v>2080</v>
      </c>
      <c r="Q501" t="s">
        <v>102</v>
      </c>
      <c r="R501" t="s">
        <v>84</v>
      </c>
      <c r="S501" t="s">
        <v>1465</v>
      </c>
      <c r="T501" t="s">
        <v>2078</v>
      </c>
      <c r="U501" t="s">
        <v>322</v>
      </c>
      <c r="V501" t="s">
        <v>82</v>
      </c>
      <c r="W501" t="s">
        <v>802</v>
      </c>
      <c r="X501" t="s">
        <v>96</v>
      </c>
      <c r="Y501" t="s">
        <v>82</v>
      </c>
      <c r="Z501" t="s">
        <v>149</v>
      </c>
    </row>
    <row r="502" spans="1:26" x14ac:dyDescent="0.25">
      <c r="A502" t="s">
        <v>2081</v>
      </c>
      <c r="B502" t="s">
        <v>2082</v>
      </c>
      <c r="C502" s="4" t="s">
        <v>2079</v>
      </c>
      <c r="D502" t="s">
        <v>1829</v>
      </c>
      <c r="E502" t="s">
        <v>14</v>
      </c>
      <c r="F502" t="s">
        <v>83</v>
      </c>
      <c r="G502" t="s">
        <v>105</v>
      </c>
      <c r="H502" t="s">
        <v>78</v>
      </c>
      <c r="I502" t="s">
        <v>102</v>
      </c>
      <c r="J502" t="s">
        <v>29</v>
      </c>
      <c r="K502" t="s">
        <v>604</v>
      </c>
      <c r="L502" t="s">
        <v>89</v>
      </c>
      <c r="M502" t="s">
        <v>318</v>
      </c>
      <c r="N502" t="s">
        <v>815</v>
      </c>
      <c r="O502" t="s">
        <v>2083</v>
      </c>
      <c r="P502" t="s">
        <v>2083</v>
      </c>
      <c r="Q502" t="s">
        <v>102</v>
      </c>
      <c r="R502" t="s">
        <v>84</v>
      </c>
      <c r="S502" t="s">
        <v>1465</v>
      </c>
      <c r="T502" t="s">
        <v>2082</v>
      </c>
      <c r="U502" t="s">
        <v>322</v>
      </c>
      <c r="V502" t="s">
        <v>82</v>
      </c>
      <c r="W502" t="s">
        <v>802</v>
      </c>
      <c r="X502" t="s">
        <v>96</v>
      </c>
      <c r="Y502" t="s">
        <v>82</v>
      </c>
      <c r="Z502" t="s">
        <v>149</v>
      </c>
    </row>
    <row r="503" spans="1:26" x14ac:dyDescent="0.25">
      <c r="A503" t="s">
        <v>2084</v>
      </c>
      <c r="B503" t="s">
        <v>2085</v>
      </c>
      <c r="C503" s="4" t="s">
        <v>2079</v>
      </c>
      <c r="D503" t="s">
        <v>1829</v>
      </c>
      <c r="E503" t="s">
        <v>14</v>
      </c>
      <c r="F503" t="s">
        <v>83</v>
      </c>
      <c r="G503" t="s">
        <v>105</v>
      </c>
      <c r="H503" t="s">
        <v>78</v>
      </c>
      <c r="I503" t="s">
        <v>102</v>
      </c>
      <c r="J503" t="s">
        <v>37</v>
      </c>
      <c r="K503" t="s">
        <v>604</v>
      </c>
      <c r="L503" t="s">
        <v>89</v>
      </c>
      <c r="M503" t="s">
        <v>318</v>
      </c>
      <c r="N503" t="s">
        <v>815</v>
      </c>
      <c r="O503" t="s">
        <v>2086</v>
      </c>
      <c r="P503" t="s">
        <v>2086</v>
      </c>
      <c r="Q503" t="s">
        <v>102</v>
      </c>
      <c r="R503" t="s">
        <v>84</v>
      </c>
      <c r="S503" t="s">
        <v>1465</v>
      </c>
      <c r="T503" t="s">
        <v>2085</v>
      </c>
      <c r="U503" t="s">
        <v>322</v>
      </c>
      <c r="V503" t="s">
        <v>82</v>
      </c>
      <c r="W503" t="s">
        <v>802</v>
      </c>
      <c r="X503" t="s">
        <v>96</v>
      </c>
      <c r="Y503" t="s">
        <v>82</v>
      </c>
      <c r="Z503" t="s">
        <v>149</v>
      </c>
    </row>
    <row r="504" spans="1:26" x14ac:dyDescent="0.25">
      <c r="A504" t="s">
        <v>2087</v>
      </c>
      <c r="B504" t="s">
        <v>2088</v>
      </c>
      <c r="C504" s="4" t="s">
        <v>2079</v>
      </c>
      <c r="D504" t="s">
        <v>1829</v>
      </c>
      <c r="E504" t="s">
        <v>14</v>
      </c>
      <c r="F504" t="s">
        <v>83</v>
      </c>
      <c r="G504" t="s">
        <v>105</v>
      </c>
      <c r="H504" t="s">
        <v>78</v>
      </c>
      <c r="I504" t="s">
        <v>102</v>
      </c>
      <c r="J504" t="s">
        <v>531</v>
      </c>
      <c r="K504" t="s">
        <v>604</v>
      </c>
      <c r="L504" t="s">
        <v>89</v>
      </c>
      <c r="M504" t="s">
        <v>318</v>
      </c>
      <c r="N504" t="s">
        <v>815</v>
      </c>
      <c r="O504" t="s">
        <v>2086</v>
      </c>
      <c r="P504" t="s">
        <v>2086</v>
      </c>
      <c r="Q504" t="s">
        <v>102</v>
      </c>
      <c r="R504" t="s">
        <v>84</v>
      </c>
      <c r="S504" t="s">
        <v>1465</v>
      </c>
      <c r="T504" t="s">
        <v>2088</v>
      </c>
      <c r="U504" t="s">
        <v>322</v>
      </c>
      <c r="V504" t="s">
        <v>82</v>
      </c>
      <c r="W504" t="s">
        <v>802</v>
      </c>
      <c r="X504" t="s">
        <v>96</v>
      </c>
      <c r="Y504" t="s">
        <v>82</v>
      </c>
      <c r="Z504" t="s">
        <v>149</v>
      </c>
    </row>
    <row r="505" spans="1:26" x14ac:dyDescent="0.25">
      <c r="A505" t="s">
        <v>2089</v>
      </c>
      <c r="B505" t="s">
        <v>2090</v>
      </c>
      <c r="C505" s="4" t="s">
        <v>1920</v>
      </c>
      <c r="D505" t="s">
        <v>2091</v>
      </c>
      <c r="E505" t="s">
        <v>14</v>
      </c>
      <c r="F505" t="s">
        <v>85</v>
      </c>
      <c r="G505" t="s">
        <v>111</v>
      </c>
      <c r="H505" t="s">
        <v>78</v>
      </c>
      <c r="I505" t="s">
        <v>102</v>
      </c>
      <c r="J505" t="s">
        <v>29</v>
      </c>
      <c r="K505" t="s">
        <v>1779</v>
      </c>
      <c r="L505" t="s">
        <v>89</v>
      </c>
      <c r="M505" t="s">
        <v>318</v>
      </c>
      <c r="N505" t="s">
        <v>347</v>
      </c>
      <c r="O505" t="s">
        <v>2092</v>
      </c>
      <c r="P505" t="s">
        <v>2092</v>
      </c>
      <c r="Q505" t="s">
        <v>102</v>
      </c>
      <c r="R505" t="s">
        <v>84</v>
      </c>
      <c r="S505" t="s">
        <v>1996</v>
      </c>
      <c r="T505" t="s">
        <v>2090</v>
      </c>
      <c r="U505" t="s">
        <v>322</v>
      </c>
      <c r="V505" t="s">
        <v>82</v>
      </c>
      <c r="W505" t="s">
        <v>1783</v>
      </c>
      <c r="X505" t="s">
        <v>96</v>
      </c>
      <c r="Y505" t="s">
        <v>82</v>
      </c>
      <c r="Z505" t="s">
        <v>149</v>
      </c>
    </row>
    <row r="506" spans="1:26" x14ac:dyDescent="0.25">
      <c r="A506" t="s">
        <v>2093</v>
      </c>
      <c r="B506" t="s">
        <v>2094</v>
      </c>
      <c r="C506" s="4" t="s">
        <v>1920</v>
      </c>
      <c r="D506" t="s">
        <v>2091</v>
      </c>
      <c r="E506" t="s">
        <v>14</v>
      </c>
      <c r="F506" t="s">
        <v>85</v>
      </c>
      <c r="G506" t="s">
        <v>111</v>
      </c>
      <c r="H506" t="s">
        <v>78</v>
      </c>
      <c r="I506" t="s">
        <v>102</v>
      </c>
      <c r="J506" t="s">
        <v>130</v>
      </c>
      <c r="K506" t="s">
        <v>1779</v>
      </c>
      <c r="L506" t="s">
        <v>89</v>
      </c>
      <c r="M506" t="s">
        <v>318</v>
      </c>
      <c r="N506" t="s">
        <v>347</v>
      </c>
      <c r="O506" t="s">
        <v>2092</v>
      </c>
      <c r="P506" t="s">
        <v>2092</v>
      </c>
      <c r="Q506" t="s">
        <v>102</v>
      </c>
      <c r="R506" t="s">
        <v>84</v>
      </c>
      <c r="S506" t="s">
        <v>1996</v>
      </c>
      <c r="T506" t="s">
        <v>2094</v>
      </c>
      <c r="U506" t="s">
        <v>322</v>
      </c>
      <c r="V506" t="s">
        <v>82</v>
      </c>
      <c r="W506" t="s">
        <v>1783</v>
      </c>
      <c r="X506" t="s">
        <v>96</v>
      </c>
      <c r="Y506" t="s">
        <v>82</v>
      </c>
      <c r="Z506" t="s">
        <v>149</v>
      </c>
    </row>
    <row r="507" spans="1:26" x14ac:dyDescent="0.25">
      <c r="A507" t="s">
        <v>2095</v>
      </c>
      <c r="B507" t="s">
        <v>2096</v>
      </c>
      <c r="C507" s="4" t="s">
        <v>1920</v>
      </c>
      <c r="D507" t="s">
        <v>2091</v>
      </c>
      <c r="E507" t="s">
        <v>14</v>
      </c>
      <c r="F507" t="s">
        <v>85</v>
      </c>
      <c r="G507" t="s">
        <v>111</v>
      </c>
      <c r="H507" t="s">
        <v>78</v>
      </c>
      <c r="I507" t="s">
        <v>102</v>
      </c>
      <c r="J507" t="s">
        <v>1786</v>
      </c>
      <c r="K507" t="s">
        <v>1779</v>
      </c>
      <c r="L507" t="s">
        <v>89</v>
      </c>
      <c r="M507" t="s">
        <v>318</v>
      </c>
      <c r="N507" t="s">
        <v>347</v>
      </c>
      <c r="O507" t="s">
        <v>2097</v>
      </c>
      <c r="P507" t="s">
        <v>2097</v>
      </c>
      <c r="Q507" t="s">
        <v>102</v>
      </c>
      <c r="R507" t="s">
        <v>84</v>
      </c>
      <c r="S507" t="s">
        <v>1996</v>
      </c>
      <c r="T507" t="s">
        <v>2096</v>
      </c>
      <c r="U507" t="s">
        <v>322</v>
      </c>
      <c r="V507" t="s">
        <v>82</v>
      </c>
      <c r="W507" t="s">
        <v>1783</v>
      </c>
      <c r="X507" t="s">
        <v>96</v>
      </c>
      <c r="Y507" t="s">
        <v>82</v>
      </c>
      <c r="Z507" t="s">
        <v>149</v>
      </c>
    </row>
    <row r="508" spans="1:26" x14ac:dyDescent="0.25">
      <c r="A508" t="s">
        <v>2098</v>
      </c>
      <c r="B508" t="s">
        <v>2099</v>
      </c>
      <c r="C508" s="4" t="s">
        <v>1920</v>
      </c>
      <c r="D508" t="s">
        <v>2091</v>
      </c>
      <c r="E508" t="s">
        <v>14</v>
      </c>
      <c r="F508" t="s">
        <v>85</v>
      </c>
      <c r="G508" t="s">
        <v>111</v>
      </c>
      <c r="H508" t="s">
        <v>78</v>
      </c>
      <c r="I508" t="s">
        <v>102</v>
      </c>
      <c r="J508" t="s">
        <v>37</v>
      </c>
      <c r="K508" t="s">
        <v>1779</v>
      </c>
      <c r="L508" t="s">
        <v>89</v>
      </c>
      <c r="M508" t="s">
        <v>318</v>
      </c>
      <c r="N508" t="s">
        <v>347</v>
      </c>
      <c r="O508" t="s">
        <v>2097</v>
      </c>
      <c r="P508" t="s">
        <v>2097</v>
      </c>
      <c r="Q508" t="s">
        <v>102</v>
      </c>
      <c r="R508" t="s">
        <v>84</v>
      </c>
      <c r="S508" t="s">
        <v>1996</v>
      </c>
      <c r="T508" t="s">
        <v>2099</v>
      </c>
      <c r="U508" t="s">
        <v>322</v>
      </c>
      <c r="V508" t="s">
        <v>82</v>
      </c>
      <c r="W508" t="s">
        <v>1783</v>
      </c>
      <c r="X508" t="s">
        <v>96</v>
      </c>
      <c r="Y508" t="s">
        <v>82</v>
      </c>
      <c r="Z508" t="s">
        <v>149</v>
      </c>
    </row>
    <row r="509" spans="1:26" x14ac:dyDescent="0.25">
      <c r="A509" t="s">
        <v>2100</v>
      </c>
      <c r="B509" t="s">
        <v>2101</v>
      </c>
      <c r="C509" s="4" t="s">
        <v>2102</v>
      </c>
      <c r="D509" t="s">
        <v>1792</v>
      </c>
      <c r="E509" t="s">
        <v>14</v>
      </c>
      <c r="F509" t="s">
        <v>83</v>
      </c>
      <c r="G509" t="s">
        <v>105</v>
      </c>
      <c r="H509" t="s">
        <v>78</v>
      </c>
      <c r="I509" t="s">
        <v>102</v>
      </c>
      <c r="J509" t="s">
        <v>37</v>
      </c>
      <c r="K509" t="s">
        <v>604</v>
      </c>
      <c r="L509" t="s">
        <v>89</v>
      </c>
      <c r="M509" t="s">
        <v>318</v>
      </c>
      <c r="N509" t="s">
        <v>815</v>
      </c>
      <c r="O509" t="s">
        <v>2103</v>
      </c>
      <c r="P509" t="s">
        <v>2103</v>
      </c>
      <c r="Q509" t="s">
        <v>102</v>
      </c>
      <c r="R509" t="s">
        <v>84</v>
      </c>
      <c r="S509" t="s">
        <v>1465</v>
      </c>
      <c r="T509" t="s">
        <v>2101</v>
      </c>
      <c r="U509" t="s">
        <v>322</v>
      </c>
      <c r="V509" t="s">
        <v>82</v>
      </c>
      <c r="W509" t="s">
        <v>802</v>
      </c>
      <c r="X509" t="s">
        <v>96</v>
      </c>
      <c r="Y509" t="s">
        <v>82</v>
      </c>
      <c r="Z509" t="s">
        <v>149</v>
      </c>
    </row>
    <row r="510" spans="1:26" x14ac:dyDescent="0.25">
      <c r="A510" t="s">
        <v>2104</v>
      </c>
      <c r="B510" t="s">
        <v>2105</v>
      </c>
      <c r="C510" s="4" t="s">
        <v>2102</v>
      </c>
      <c r="D510" t="s">
        <v>1792</v>
      </c>
      <c r="E510" t="s">
        <v>14</v>
      </c>
      <c r="F510" t="s">
        <v>83</v>
      </c>
      <c r="G510" t="s">
        <v>105</v>
      </c>
      <c r="H510" t="s">
        <v>78</v>
      </c>
      <c r="I510" t="s">
        <v>102</v>
      </c>
      <c r="J510" t="s">
        <v>30</v>
      </c>
      <c r="K510" t="s">
        <v>604</v>
      </c>
      <c r="L510" t="s">
        <v>89</v>
      </c>
      <c r="M510" t="s">
        <v>318</v>
      </c>
      <c r="N510" t="s">
        <v>815</v>
      </c>
      <c r="O510" t="s">
        <v>2106</v>
      </c>
      <c r="P510" t="s">
        <v>2106</v>
      </c>
      <c r="Q510" t="s">
        <v>102</v>
      </c>
      <c r="R510" t="s">
        <v>84</v>
      </c>
      <c r="S510" t="s">
        <v>1465</v>
      </c>
      <c r="T510" t="s">
        <v>2105</v>
      </c>
      <c r="U510" t="s">
        <v>322</v>
      </c>
      <c r="V510" t="s">
        <v>82</v>
      </c>
      <c r="W510" t="s">
        <v>802</v>
      </c>
      <c r="X510" t="s">
        <v>96</v>
      </c>
      <c r="Y510" t="s">
        <v>82</v>
      </c>
      <c r="Z510" t="s">
        <v>149</v>
      </c>
    </row>
    <row r="511" spans="1:26" x14ac:dyDescent="0.25">
      <c r="A511" t="s">
        <v>2107</v>
      </c>
      <c r="B511" t="s">
        <v>2108</v>
      </c>
      <c r="C511" s="4" t="s">
        <v>2102</v>
      </c>
      <c r="D511" t="s">
        <v>1792</v>
      </c>
      <c r="E511" t="s">
        <v>14</v>
      </c>
      <c r="F511" t="s">
        <v>83</v>
      </c>
      <c r="G511" t="s">
        <v>105</v>
      </c>
      <c r="H511" t="s">
        <v>78</v>
      </c>
      <c r="I511" t="s">
        <v>102</v>
      </c>
      <c r="J511" t="s">
        <v>29</v>
      </c>
      <c r="K511" t="s">
        <v>604</v>
      </c>
      <c r="L511" t="s">
        <v>89</v>
      </c>
      <c r="M511" t="s">
        <v>318</v>
      </c>
      <c r="N511" t="s">
        <v>815</v>
      </c>
      <c r="O511" t="s">
        <v>2106</v>
      </c>
      <c r="P511" t="s">
        <v>2106</v>
      </c>
      <c r="Q511" t="s">
        <v>102</v>
      </c>
      <c r="R511" t="s">
        <v>84</v>
      </c>
      <c r="S511" t="s">
        <v>1465</v>
      </c>
      <c r="T511" t="s">
        <v>2108</v>
      </c>
      <c r="U511" t="s">
        <v>322</v>
      </c>
      <c r="V511" t="s">
        <v>82</v>
      </c>
      <c r="W511" t="s">
        <v>802</v>
      </c>
      <c r="X511" t="s">
        <v>96</v>
      </c>
      <c r="Y511" t="s">
        <v>82</v>
      </c>
      <c r="Z511" t="s">
        <v>149</v>
      </c>
    </row>
    <row r="512" spans="1:26" x14ac:dyDescent="0.25">
      <c r="A512" t="s">
        <v>2109</v>
      </c>
      <c r="B512" t="s">
        <v>2110</v>
      </c>
      <c r="C512" s="4" t="s">
        <v>2111</v>
      </c>
      <c r="D512" t="s">
        <v>2112</v>
      </c>
      <c r="E512" t="s">
        <v>14</v>
      </c>
      <c r="F512" t="s">
        <v>124</v>
      </c>
      <c r="G512" t="s">
        <v>105</v>
      </c>
      <c r="H512" t="s">
        <v>78</v>
      </c>
      <c r="I512" t="s">
        <v>86</v>
      </c>
      <c r="J512" t="s">
        <v>29</v>
      </c>
      <c r="K512" t="s">
        <v>1607</v>
      </c>
      <c r="L512" t="s">
        <v>89</v>
      </c>
      <c r="M512" t="s">
        <v>318</v>
      </c>
      <c r="N512" t="s">
        <v>1608</v>
      </c>
      <c r="O512" t="s">
        <v>2113</v>
      </c>
      <c r="P512" t="s">
        <v>2114</v>
      </c>
      <c r="Q512" t="s">
        <v>102</v>
      </c>
      <c r="R512" t="s">
        <v>84</v>
      </c>
      <c r="S512" t="s">
        <v>1807</v>
      </c>
      <c r="T512" t="s">
        <v>2110</v>
      </c>
      <c r="U512" t="s">
        <v>322</v>
      </c>
      <c r="V512" t="s">
        <v>82</v>
      </c>
      <c r="W512" t="s">
        <v>1611</v>
      </c>
      <c r="X512" t="s">
        <v>96</v>
      </c>
      <c r="Y512" t="s">
        <v>82</v>
      </c>
      <c r="Z512" t="s">
        <v>149</v>
      </c>
    </row>
    <row r="513" spans="1:26" x14ac:dyDescent="0.25">
      <c r="A513" t="s">
        <v>2115</v>
      </c>
      <c r="B513" t="s">
        <v>2116</v>
      </c>
      <c r="C513" s="4" t="s">
        <v>2111</v>
      </c>
      <c r="D513" t="s">
        <v>2112</v>
      </c>
      <c r="E513" t="s">
        <v>14</v>
      </c>
      <c r="F513" t="s">
        <v>124</v>
      </c>
      <c r="G513" t="s">
        <v>105</v>
      </c>
      <c r="H513" t="s">
        <v>78</v>
      </c>
      <c r="I513" t="s">
        <v>86</v>
      </c>
      <c r="J513" t="s">
        <v>1053</v>
      </c>
      <c r="K513" t="s">
        <v>1607</v>
      </c>
      <c r="L513" t="s">
        <v>89</v>
      </c>
      <c r="M513" t="s">
        <v>318</v>
      </c>
      <c r="N513" t="s">
        <v>1608</v>
      </c>
      <c r="O513" t="s">
        <v>2113</v>
      </c>
      <c r="P513" t="s">
        <v>2117</v>
      </c>
      <c r="Q513" t="s">
        <v>102</v>
      </c>
      <c r="R513" t="s">
        <v>84</v>
      </c>
      <c r="S513" t="s">
        <v>1807</v>
      </c>
      <c r="T513" t="s">
        <v>2116</v>
      </c>
      <c r="U513" t="s">
        <v>322</v>
      </c>
      <c r="V513" t="s">
        <v>82</v>
      </c>
      <c r="W513" t="s">
        <v>1611</v>
      </c>
      <c r="X513" t="s">
        <v>96</v>
      </c>
      <c r="Y513" t="s">
        <v>82</v>
      </c>
      <c r="Z513" t="s">
        <v>149</v>
      </c>
    </row>
    <row r="514" spans="1:26" x14ac:dyDescent="0.25">
      <c r="A514" t="s">
        <v>2118</v>
      </c>
      <c r="B514" t="s">
        <v>2119</v>
      </c>
      <c r="C514" s="4" t="s">
        <v>2111</v>
      </c>
      <c r="D514" t="s">
        <v>2112</v>
      </c>
      <c r="E514" t="s">
        <v>14</v>
      </c>
      <c r="F514" t="s">
        <v>124</v>
      </c>
      <c r="G514" t="s">
        <v>105</v>
      </c>
      <c r="H514" t="s">
        <v>78</v>
      </c>
      <c r="I514" t="s">
        <v>86</v>
      </c>
      <c r="J514" t="s">
        <v>130</v>
      </c>
      <c r="K514" t="s">
        <v>1607</v>
      </c>
      <c r="L514" t="s">
        <v>89</v>
      </c>
      <c r="M514" t="s">
        <v>318</v>
      </c>
      <c r="N514" t="s">
        <v>1608</v>
      </c>
      <c r="O514" t="s">
        <v>2120</v>
      </c>
      <c r="P514" t="s">
        <v>2121</v>
      </c>
      <c r="Q514" t="s">
        <v>102</v>
      </c>
      <c r="R514" t="s">
        <v>84</v>
      </c>
      <c r="S514" t="s">
        <v>1807</v>
      </c>
      <c r="T514" t="s">
        <v>2119</v>
      </c>
      <c r="U514" t="s">
        <v>322</v>
      </c>
      <c r="V514" t="s">
        <v>82</v>
      </c>
      <c r="W514" t="s">
        <v>1611</v>
      </c>
      <c r="X514" t="s">
        <v>96</v>
      </c>
      <c r="Y514" t="s">
        <v>82</v>
      </c>
      <c r="Z514" t="s">
        <v>149</v>
      </c>
    </row>
    <row r="515" spans="1:26" x14ac:dyDescent="0.25">
      <c r="A515" t="s">
        <v>2122</v>
      </c>
      <c r="B515" t="s">
        <v>2123</v>
      </c>
      <c r="C515" s="4" t="s">
        <v>2111</v>
      </c>
      <c r="D515" t="s">
        <v>2112</v>
      </c>
      <c r="E515" t="s">
        <v>14</v>
      </c>
      <c r="F515" t="s">
        <v>124</v>
      </c>
      <c r="G515" t="s">
        <v>105</v>
      </c>
      <c r="H515" t="s">
        <v>78</v>
      </c>
      <c r="I515" t="s">
        <v>86</v>
      </c>
      <c r="J515" t="s">
        <v>1786</v>
      </c>
      <c r="K515" t="s">
        <v>1607</v>
      </c>
      <c r="L515" t="s">
        <v>89</v>
      </c>
      <c r="M515" t="s">
        <v>318</v>
      </c>
      <c r="N515" t="s">
        <v>1608</v>
      </c>
      <c r="O515" t="s">
        <v>2124</v>
      </c>
      <c r="P515" t="s">
        <v>2125</v>
      </c>
      <c r="Q515" t="s">
        <v>102</v>
      </c>
      <c r="R515" t="s">
        <v>84</v>
      </c>
      <c r="S515" t="s">
        <v>1807</v>
      </c>
      <c r="T515" t="s">
        <v>2123</v>
      </c>
      <c r="U515" t="s">
        <v>322</v>
      </c>
      <c r="V515" t="s">
        <v>82</v>
      </c>
      <c r="W515" t="s">
        <v>1611</v>
      </c>
      <c r="X515" t="s">
        <v>96</v>
      </c>
      <c r="Y515" t="s">
        <v>82</v>
      </c>
      <c r="Z515" t="s">
        <v>149</v>
      </c>
    </row>
    <row r="516" spans="1:26" x14ac:dyDescent="0.25">
      <c r="A516" t="s">
        <v>2126</v>
      </c>
      <c r="B516" t="s">
        <v>2127</v>
      </c>
      <c r="C516" s="4" t="s">
        <v>1966</v>
      </c>
      <c r="D516" t="s">
        <v>2091</v>
      </c>
      <c r="E516" t="s">
        <v>14</v>
      </c>
      <c r="F516" t="s">
        <v>85</v>
      </c>
      <c r="G516" t="s">
        <v>102</v>
      </c>
      <c r="H516" t="s">
        <v>78</v>
      </c>
      <c r="I516" t="s">
        <v>86</v>
      </c>
      <c r="J516" t="s">
        <v>1053</v>
      </c>
      <c r="K516" t="s">
        <v>1779</v>
      </c>
      <c r="L516" t="s">
        <v>89</v>
      </c>
      <c r="M516" t="s">
        <v>318</v>
      </c>
      <c r="N516" t="s">
        <v>347</v>
      </c>
      <c r="O516" t="s">
        <v>2128</v>
      </c>
      <c r="P516" t="s">
        <v>2128</v>
      </c>
      <c r="Q516" t="s">
        <v>102</v>
      </c>
      <c r="R516" t="s">
        <v>84</v>
      </c>
      <c r="S516" t="s">
        <v>1782</v>
      </c>
      <c r="T516" t="s">
        <v>2127</v>
      </c>
      <c r="U516" t="s">
        <v>322</v>
      </c>
      <c r="V516" t="s">
        <v>82</v>
      </c>
      <c r="W516" t="s">
        <v>1783</v>
      </c>
      <c r="X516" t="s">
        <v>96</v>
      </c>
      <c r="Y516" t="s">
        <v>82</v>
      </c>
      <c r="Z516" t="s">
        <v>149</v>
      </c>
    </row>
    <row r="517" spans="1:26" x14ac:dyDescent="0.25">
      <c r="A517" t="s">
        <v>2129</v>
      </c>
      <c r="B517" t="s">
        <v>2130</v>
      </c>
      <c r="C517" s="4" t="s">
        <v>1966</v>
      </c>
      <c r="D517" t="s">
        <v>2091</v>
      </c>
      <c r="E517" t="s">
        <v>14</v>
      </c>
      <c r="F517" t="s">
        <v>85</v>
      </c>
      <c r="G517" t="s">
        <v>102</v>
      </c>
      <c r="H517" t="s">
        <v>78</v>
      </c>
      <c r="I517" t="s">
        <v>86</v>
      </c>
      <c r="J517" t="s">
        <v>1002</v>
      </c>
      <c r="K517" t="s">
        <v>1779</v>
      </c>
      <c r="L517" t="s">
        <v>89</v>
      </c>
      <c r="M517" t="s">
        <v>318</v>
      </c>
      <c r="N517" t="s">
        <v>347</v>
      </c>
      <c r="O517" t="s">
        <v>2131</v>
      </c>
      <c r="P517" t="s">
        <v>2131</v>
      </c>
      <c r="Q517" t="s">
        <v>102</v>
      </c>
      <c r="R517" t="s">
        <v>84</v>
      </c>
      <c r="S517" t="s">
        <v>1782</v>
      </c>
      <c r="T517" t="s">
        <v>2130</v>
      </c>
      <c r="U517" t="s">
        <v>322</v>
      </c>
      <c r="V517" t="s">
        <v>82</v>
      </c>
      <c r="W517" t="s">
        <v>1783</v>
      </c>
      <c r="X517" t="s">
        <v>96</v>
      </c>
      <c r="Y517" t="s">
        <v>82</v>
      </c>
      <c r="Z517" t="s">
        <v>149</v>
      </c>
    </row>
    <row r="518" spans="1:26" x14ac:dyDescent="0.25">
      <c r="A518" t="s">
        <v>2132</v>
      </c>
      <c r="B518" t="s">
        <v>2133</v>
      </c>
      <c r="C518" s="4" t="s">
        <v>1966</v>
      </c>
      <c r="D518" t="s">
        <v>2091</v>
      </c>
      <c r="E518" t="s">
        <v>14</v>
      </c>
      <c r="F518" t="s">
        <v>85</v>
      </c>
      <c r="G518" t="s">
        <v>102</v>
      </c>
      <c r="H518" t="s">
        <v>78</v>
      </c>
      <c r="I518" t="s">
        <v>86</v>
      </c>
      <c r="J518" t="s">
        <v>130</v>
      </c>
      <c r="K518" t="s">
        <v>1779</v>
      </c>
      <c r="L518" t="s">
        <v>89</v>
      </c>
      <c r="M518" t="s">
        <v>318</v>
      </c>
      <c r="N518" t="s">
        <v>347</v>
      </c>
      <c r="O518" t="s">
        <v>2134</v>
      </c>
      <c r="P518" t="s">
        <v>2134</v>
      </c>
      <c r="Q518" t="s">
        <v>102</v>
      </c>
      <c r="R518" t="s">
        <v>84</v>
      </c>
      <c r="S518" t="s">
        <v>1782</v>
      </c>
      <c r="T518" t="s">
        <v>2133</v>
      </c>
      <c r="U518" t="s">
        <v>322</v>
      </c>
      <c r="V518" t="s">
        <v>82</v>
      </c>
      <c r="W518" t="s">
        <v>1783</v>
      </c>
      <c r="X518" t="s">
        <v>96</v>
      </c>
      <c r="Y518" t="s">
        <v>82</v>
      </c>
      <c r="Z518" t="s">
        <v>149</v>
      </c>
    </row>
    <row r="519" spans="1:26" x14ac:dyDescent="0.25">
      <c r="A519" t="s">
        <v>2135</v>
      </c>
      <c r="B519" t="s">
        <v>2136</v>
      </c>
      <c r="C519" s="4" t="s">
        <v>2137</v>
      </c>
      <c r="D519" t="s">
        <v>1829</v>
      </c>
      <c r="E519" t="s">
        <v>14</v>
      </c>
      <c r="F519" t="s">
        <v>83</v>
      </c>
      <c r="G519" t="s">
        <v>105</v>
      </c>
      <c r="H519" t="s">
        <v>78</v>
      </c>
      <c r="I519" t="s">
        <v>102</v>
      </c>
      <c r="J519" t="s">
        <v>130</v>
      </c>
      <c r="K519" t="s">
        <v>604</v>
      </c>
      <c r="L519" t="s">
        <v>89</v>
      </c>
      <c r="M519" t="s">
        <v>318</v>
      </c>
      <c r="N519" t="s">
        <v>815</v>
      </c>
      <c r="O519" t="s">
        <v>2138</v>
      </c>
      <c r="P519" t="s">
        <v>2138</v>
      </c>
      <c r="Q519" t="s">
        <v>102</v>
      </c>
      <c r="R519" t="s">
        <v>84</v>
      </c>
      <c r="S519" t="s">
        <v>1465</v>
      </c>
      <c r="T519" t="s">
        <v>2136</v>
      </c>
      <c r="U519" t="s">
        <v>322</v>
      </c>
      <c r="V519" t="s">
        <v>82</v>
      </c>
      <c r="W519" t="s">
        <v>802</v>
      </c>
      <c r="X519" t="s">
        <v>96</v>
      </c>
      <c r="Y519" t="s">
        <v>82</v>
      </c>
      <c r="Z519" t="s">
        <v>149</v>
      </c>
    </row>
    <row r="520" spans="1:26" x14ac:dyDescent="0.25">
      <c r="A520" t="s">
        <v>2139</v>
      </c>
      <c r="B520" t="s">
        <v>2140</v>
      </c>
      <c r="C520" s="4" t="s">
        <v>2137</v>
      </c>
      <c r="D520" t="s">
        <v>1829</v>
      </c>
      <c r="E520" t="s">
        <v>14</v>
      </c>
      <c r="F520" t="s">
        <v>83</v>
      </c>
      <c r="G520" t="s">
        <v>105</v>
      </c>
      <c r="H520" t="s">
        <v>78</v>
      </c>
      <c r="I520" t="s">
        <v>102</v>
      </c>
      <c r="J520" t="s">
        <v>1002</v>
      </c>
      <c r="K520" t="s">
        <v>604</v>
      </c>
      <c r="L520" t="s">
        <v>89</v>
      </c>
      <c r="M520" t="s">
        <v>318</v>
      </c>
      <c r="N520" t="s">
        <v>815</v>
      </c>
      <c r="O520" t="s">
        <v>2138</v>
      </c>
      <c r="P520" t="s">
        <v>2138</v>
      </c>
      <c r="Q520" t="s">
        <v>102</v>
      </c>
      <c r="R520" t="s">
        <v>84</v>
      </c>
      <c r="S520" t="s">
        <v>1465</v>
      </c>
      <c r="T520" t="s">
        <v>2140</v>
      </c>
      <c r="U520" t="s">
        <v>322</v>
      </c>
      <c r="V520" t="s">
        <v>82</v>
      </c>
      <c r="W520" t="s">
        <v>802</v>
      </c>
      <c r="X520" t="s">
        <v>96</v>
      </c>
      <c r="Y520" t="s">
        <v>82</v>
      </c>
      <c r="Z520" t="s">
        <v>149</v>
      </c>
    </row>
    <row r="521" spans="1:26" x14ac:dyDescent="0.25">
      <c r="A521" t="s">
        <v>2141</v>
      </c>
      <c r="B521" t="s">
        <v>2142</v>
      </c>
      <c r="C521" s="4" t="s">
        <v>2137</v>
      </c>
      <c r="D521" t="s">
        <v>1829</v>
      </c>
      <c r="E521" t="s">
        <v>14</v>
      </c>
      <c r="F521" t="s">
        <v>83</v>
      </c>
      <c r="G521" t="s">
        <v>105</v>
      </c>
      <c r="H521" t="s">
        <v>78</v>
      </c>
      <c r="I521" t="s">
        <v>102</v>
      </c>
      <c r="J521" t="s">
        <v>1053</v>
      </c>
      <c r="K521" t="s">
        <v>604</v>
      </c>
      <c r="L521" t="s">
        <v>89</v>
      </c>
      <c r="M521" t="s">
        <v>318</v>
      </c>
      <c r="N521" t="s">
        <v>815</v>
      </c>
      <c r="O521" t="s">
        <v>2143</v>
      </c>
      <c r="P521" t="s">
        <v>2143</v>
      </c>
      <c r="Q521" t="s">
        <v>102</v>
      </c>
      <c r="R521" t="s">
        <v>84</v>
      </c>
      <c r="S521" t="s">
        <v>1465</v>
      </c>
      <c r="T521" t="s">
        <v>2142</v>
      </c>
      <c r="U521" t="s">
        <v>322</v>
      </c>
      <c r="V521" t="s">
        <v>82</v>
      </c>
      <c r="W521" t="s">
        <v>802</v>
      </c>
      <c r="X521" t="s">
        <v>96</v>
      </c>
      <c r="Y521" t="s">
        <v>82</v>
      </c>
      <c r="Z521" t="s">
        <v>149</v>
      </c>
    </row>
    <row r="522" spans="1:26" x14ac:dyDescent="0.25">
      <c r="A522" t="s">
        <v>2144</v>
      </c>
      <c r="B522" t="s">
        <v>2145</v>
      </c>
      <c r="C522" s="4" t="s">
        <v>2146</v>
      </c>
      <c r="D522" t="s">
        <v>1805</v>
      </c>
      <c r="E522" t="s">
        <v>14</v>
      </c>
      <c r="F522" t="s">
        <v>146</v>
      </c>
      <c r="G522" t="s">
        <v>160</v>
      </c>
      <c r="H522" t="s">
        <v>78</v>
      </c>
      <c r="I522" t="s">
        <v>86</v>
      </c>
      <c r="J522" t="s">
        <v>1053</v>
      </c>
      <c r="K522" t="s">
        <v>1607</v>
      </c>
      <c r="L522" t="s">
        <v>89</v>
      </c>
      <c r="M522" t="s">
        <v>318</v>
      </c>
      <c r="N522" t="s">
        <v>1608</v>
      </c>
      <c r="O522" t="s">
        <v>2147</v>
      </c>
      <c r="P522" t="s">
        <v>2147</v>
      </c>
      <c r="Q522" t="s">
        <v>102</v>
      </c>
      <c r="R522" t="s">
        <v>84</v>
      </c>
      <c r="S522" t="s">
        <v>1807</v>
      </c>
      <c r="T522" t="s">
        <v>2145</v>
      </c>
      <c r="U522" t="s">
        <v>322</v>
      </c>
      <c r="V522" t="s">
        <v>82</v>
      </c>
      <c r="W522" t="s">
        <v>1611</v>
      </c>
      <c r="X522" t="s">
        <v>96</v>
      </c>
      <c r="Y522" t="s">
        <v>82</v>
      </c>
      <c r="Z522" t="s">
        <v>149</v>
      </c>
    </row>
    <row r="523" spans="1:26" x14ac:dyDescent="0.25">
      <c r="A523" t="s">
        <v>2148</v>
      </c>
      <c r="B523" t="s">
        <v>2149</v>
      </c>
      <c r="C523" s="4" t="s">
        <v>2146</v>
      </c>
      <c r="D523" t="s">
        <v>1805</v>
      </c>
      <c r="E523" t="s">
        <v>14</v>
      </c>
      <c r="F523" t="s">
        <v>146</v>
      </c>
      <c r="G523" t="s">
        <v>160</v>
      </c>
      <c r="H523" t="s">
        <v>78</v>
      </c>
      <c r="I523" t="s">
        <v>86</v>
      </c>
      <c r="J523" t="s">
        <v>1002</v>
      </c>
      <c r="K523" t="s">
        <v>1607</v>
      </c>
      <c r="L523" t="s">
        <v>89</v>
      </c>
      <c r="M523" t="s">
        <v>318</v>
      </c>
      <c r="N523" t="s">
        <v>1608</v>
      </c>
      <c r="O523" t="s">
        <v>2150</v>
      </c>
      <c r="P523" t="s">
        <v>2150</v>
      </c>
      <c r="Q523" t="s">
        <v>102</v>
      </c>
      <c r="R523" t="s">
        <v>84</v>
      </c>
      <c r="S523" t="s">
        <v>1807</v>
      </c>
      <c r="T523" t="s">
        <v>2149</v>
      </c>
      <c r="U523" t="s">
        <v>322</v>
      </c>
      <c r="V523" t="s">
        <v>82</v>
      </c>
      <c r="W523" t="s">
        <v>1611</v>
      </c>
      <c r="X523" t="s">
        <v>96</v>
      </c>
      <c r="Y523" t="s">
        <v>82</v>
      </c>
      <c r="Z523" t="s">
        <v>149</v>
      </c>
    </row>
    <row r="524" spans="1:26" x14ac:dyDescent="0.25">
      <c r="A524" t="s">
        <v>2151</v>
      </c>
      <c r="B524" t="s">
        <v>2152</v>
      </c>
      <c r="C524" s="4" t="s">
        <v>2146</v>
      </c>
      <c r="D524" t="s">
        <v>1805</v>
      </c>
      <c r="E524" t="s">
        <v>14</v>
      </c>
      <c r="F524" t="s">
        <v>146</v>
      </c>
      <c r="G524" t="s">
        <v>160</v>
      </c>
      <c r="H524" t="s">
        <v>78</v>
      </c>
      <c r="I524" t="s">
        <v>86</v>
      </c>
      <c r="J524" t="s">
        <v>130</v>
      </c>
      <c r="K524" t="s">
        <v>1607</v>
      </c>
      <c r="L524" t="s">
        <v>89</v>
      </c>
      <c r="M524" t="s">
        <v>318</v>
      </c>
      <c r="N524" t="s">
        <v>1608</v>
      </c>
      <c r="O524" t="s">
        <v>2150</v>
      </c>
      <c r="P524" t="s">
        <v>2150</v>
      </c>
      <c r="Q524" t="s">
        <v>102</v>
      </c>
      <c r="R524" t="s">
        <v>84</v>
      </c>
      <c r="S524" t="s">
        <v>1807</v>
      </c>
      <c r="T524" t="s">
        <v>2152</v>
      </c>
      <c r="U524" t="s">
        <v>322</v>
      </c>
      <c r="V524" t="s">
        <v>82</v>
      </c>
      <c r="W524" t="s">
        <v>1611</v>
      </c>
      <c r="X524" t="s">
        <v>96</v>
      </c>
      <c r="Y524" t="s">
        <v>82</v>
      </c>
      <c r="Z524" t="s">
        <v>149</v>
      </c>
    </row>
    <row r="525" spans="1:26" x14ac:dyDescent="0.25">
      <c r="A525" t="s">
        <v>2153</v>
      </c>
      <c r="B525" t="s">
        <v>2154</v>
      </c>
      <c r="C525" s="4" t="s">
        <v>1804</v>
      </c>
      <c r="D525" t="s">
        <v>1805</v>
      </c>
      <c r="E525" t="s">
        <v>14</v>
      </c>
      <c r="F525" t="s">
        <v>105</v>
      </c>
      <c r="G525" t="s">
        <v>106</v>
      </c>
      <c r="H525" t="s">
        <v>78</v>
      </c>
      <c r="I525" t="s">
        <v>86</v>
      </c>
      <c r="J525" t="s">
        <v>546</v>
      </c>
      <c r="K525" t="s">
        <v>1607</v>
      </c>
      <c r="L525" t="s">
        <v>89</v>
      </c>
      <c r="M525" t="s">
        <v>318</v>
      </c>
      <c r="N525" t="s">
        <v>1608</v>
      </c>
      <c r="O525" t="s">
        <v>2155</v>
      </c>
      <c r="P525" t="s">
        <v>2155</v>
      </c>
      <c r="Q525" t="s">
        <v>102</v>
      </c>
      <c r="R525" t="s">
        <v>84</v>
      </c>
      <c r="S525" t="s">
        <v>1807</v>
      </c>
      <c r="T525" t="s">
        <v>2154</v>
      </c>
      <c r="U525" t="s">
        <v>322</v>
      </c>
      <c r="V525" t="s">
        <v>82</v>
      </c>
      <c r="W525" t="s">
        <v>1611</v>
      </c>
      <c r="X525" t="s">
        <v>96</v>
      </c>
      <c r="Y525" t="s">
        <v>82</v>
      </c>
      <c r="Z525" t="s">
        <v>149</v>
      </c>
    </row>
    <row r="526" spans="1:26" x14ac:dyDescent="0.25">
      <c r="A526" t="s">
        <v>2156</v>
      </c>
      <c r="B526" t="s">
        <v>2157</v>
      </c>
      <c r="C526" s="4" t="s">
        <v>1804</v>
      </c>
      <c r="D526" t="s">
        <v>1805</v>
      </c>
      <c r="E526" t="s">
        <v>14</v>
      </c>
      <c r="F526" t="s">
        <v>105</v>
      </c>
      <c r="G526" t="s">
        <v>106</v>
      </c>
      <c r="H526" t="s">
        <v>78</v>
      </c>
      <c r="I526" t="s">
        <v>86</v>
      </c>
      <c r="J526" t="s">
        <v>17</v>
      </c>
      <c r="K526" t="s">
        <v>1607</v>
      </c>
      <c r="L526" t="s">
        <v>89</v>
      </c>
      <c r="M526" t="s">
        <v>318</v>
      </c>
      <c r="N526" t="s">
        <v>1608</v>
      </c>
      <c r="O526" t="s">
        <v>2155</v>
      </c>
      <c r="P526" t="s">
        <v>2155</v>
      </c>
      <c r="Q526" t="s">
        <v>102</v>
      </c>
      <c r="R526" t="s">
        <v>84</v>
      </c>
      <c r="S526" t="s">
        <v>1807</v>
      </c>
      <c r="T526" t="s">
        <v>2157</v>
      </c>
      <c r="U526" t="s">
        <v>322</v>
      </c>
      <c r="V526" t="s">
        <v>82</v>
      </c>
      <c r="W526" t="s">
        <v>1611</v>
      </c>
      <c r="X526" t="s">
        <v>96</v>
      </c>
      <c r="Y526" t="s">
        <v>82</v>
      </c>
      <c r="Z526" t="s">
        <v>149</v>
      </c>
    </row>
    <row r="527" spans="1:26" x14ac:dyDescent="0.25">
      <c r="A527" t="s">
        <v>2158</v>
      </c>
      <c r="B527" t="s">
        <v>2159</v>
      </c>
      <c r="C527" s="4" t="s">
        <v>1791</v>
      </c>
      <c r="D527" t="s">
        <v>1805</v>
      </c>
      <c r="E527" t="s">
        <v>14</v>
      </c>
      <c r="F527" t="s">
        <v>83</v>
      </c>
      <c r="G527" t="s">
        <v>84</v>
      </c>
      <c r="H527" t="s">
        <v>78</v>
      </c>
      <c r="I527" t="s">
        <v>86</v>
      </c>
      <c r="J527" t="s">
        <v>546</v>
      </c>
      <c r="K527" t="s">
        <v>604</v>
      </c>
      <c r="L527" t="s">
        <v>89</v>
      </c>
      <c r="M527" t="s">
        <v>318</v>
      </c>
      <c r="N527" t="s">
        <v>815</v>
      </c>
      <c r="O527" t="s">
        <v>2160</v>
      </c>
      <c r="P527" t="s">
        <v>2161</v>
      </c>
      <c r="Q527" t="s">
        <v>102</v>
      </c>
      <c r="R527" t="s">
        <v>84</v>
      </c>
      <c r="S527" t="s">
        <v>1745</v>
      </c>
      <c r="T527" t="s">
        <v>2159</v>
      </c>
      <c r="U527" t="s">
        <v>322</v>
      </c>
      <c r="V527" t="s">
        <v>82</v>
      </c>
      <c r="W527" t="s">
        <v>2162</v>
      </c>
      <c r="X527" t="s">
        <v>96</v>
      </c>
      <c r="Y527" t="s">
        <v>82</v>
      </c>
      <c r="Z527" t="s">
        <v>149</v>
      </c>
    </row>
    <row r="528" spans="1:26" x14ac:dyDescent="0.25">
      <c r="A528" t="s">
        <v>2163</v>
      </c>
      <c r="B528" t="s">
        <v>2164</v>
      </c>
      <c r="C528" s="4" t="s">
        <v>2165</v>
      </c>
      <c r="D528" t="s">
        <v>2166</v>
      </c>
      <c r="E528" t="s">
        <v>14</v>
      </c>
      <c r="F528" t="s">
        <v>78</v>
      </c>
      <c r="G528" t="s">
        <v>111</v>
      </c>
      <c r="H528" t="s">
        <v>78</v>
      </c>
      <c r="I528" t="s">
        <v>111</v>
      </c>
      <c r="J528" t="s">
        <v>32</v>
      </c>
      <c r="K528" t="s">
        <v>604</v>
      </c>
      <c r="L528" t="s">
        <v>89</v>
      </c>
      <c r="M528" t="s">
        <v>318</v>
      </c>
      <c r="N528" t="s">
        <v>815</v>
      </c>
      <c r="O528" t="s">
        <v>2167</v>
      </c>
      <c r="P528" t="s">
        <v>2167</v>
      </c>
      <c r="Q528" t="s">
        <v>102</v>
      </c>
      <c r="R528" t="s">
        <v>78</v>
      </c>
      <c r="S528" t="s">
        <v>1525</v>
      </c>
      <c r="T528" t="s">
        <v>2164</v>
      </c>
      <c r="U528" t="s">
        <v>322</v>
      </c>
      <c r="V528" t="s">
        <v>82</v>
      </c>
      <c r="W528" t="s">
        <v>802</v>
      </c>
      <c r="X528" t="s">
        <v>96</v>
      </c>
      <c r="Y528" t="s">
        <v>82</v>
      </c>
      <c r="Z528" t="s">
        <v>149</v>
      </c>
    </row>
    <row r="529" spans="1:26" x14ac:dyDescent="0.25">
      <c r="A529" t="s">
        <v>2168</v>
      </c>
      <c r="B529" t="s">
        <v>2169</v>
      </c>
      <c r="C529" s="4" t="s">
        <v>2165</v>
      </c>
      <c r="D529" t="s">
        <v>2166</v>
      </c>
      <c r="E529" t="s">
        <v>14</v>
      </c>
      <c r="F529" t="s">
        <v>78</v>
      </c>
      <c r="G529" t="s">
        <v>111</v>
      </c>
      <c r="H529" t="s">
        <v>78</v>
      </c>
      <c r="I529" t="s">
        <v>111</v>
      </c>
      <c r="J529" t="s">
        <v>1053</v>
      </c>
      <c r="K529" t="s">
        <v>604</v>
      </c>
      <c r="L529" t="s">
        <v>89</v>
      </c>
      <c r="M529" t="s">
        <v>318</v>
      </c>
      <c r="N529" t="s">
        <v>815</v>
      </c>
      <c r="O529" t="s">
        <v>2167</v>
      </c>
      <c r="P529" t="s">
        <v>2167</v>
      </c>
      <c r="Q529" t="s">
        <v>102</v>
      </c>
      <c r="R529" t="s">
        <v>78</v>
      </c>
      <c r="S529" t="s">
        <v>1525</v>
      </c>
      <c r="T529" t="s">
        <v>2169</v>
      </c>
      <c r="U529" t="s">
        <v>322</v>
      </c>
      <c r="V529" t="s">
        <v>82</v>
      </c>
      <c r="W529" t="s">
        <v>802</v>
      </c>
      <c r="X529" t="s">
        <v>96</v>
      </c>
      <c r="Y529" t="s">
        <v>82</v>
      </c>
      <c r="Z529" t="s">
        <v>149</v>
      </c>
    </row>
    <row r="530" spans="1:26" x14ac:dyDescent="0.25">
      <c r="A530" t="s">
        <v>2170</v>
      </c>
      <c r="B530" t="s">
        <v>2171</v>
      </c>
      <c r="C530" s="4" t="s">
        <v>2172</v>
      </c>
      <c r="D530" t="s">
        <v>2173</v>
      </c>
      <c r="E530" t="s">
        <v>14</v>
      </c>
      <c r="F530" t="s">
        <v>85</v>
      </c>
      <c r="G530" t="s">
        <v>111</v>
      </c>
      <c r="H530" t="s">
        <v>78</v>
      </c>
      <c r="I530" t="s">
        <v>102</v>
      </c>
      <c r="J530" t="s">
        <v>1053</v>
      </c>
      <c r="K530" t="s">
        <v>2174</v>
      </c>
      <c r="L530" t="s">
        <v>89</v>
      </c>
      <c r="M530" t="s">
        <v>318</v>
      </c>
      <c r="N530" t="s">
        <v>2175</v>
      </c>
      <c r="O530" t="s">
        <v>2176</v>
      </c>
      <c r="P530" t="s">
        <v>2177</v>
      </c>
      <c r="Q530" t="s">
        <v>102</v>
      </c>
      <c r="R530" t="s">
        <v>85</v>
      </c>
      <c r="S530" t="s">
        <v>2178</v>
      </c>
      <c r="T530" t="s">
        <v>2171</v>
      </c>
      <c r="U530" t="s">
        <v>322</v>
      </c>
      <c r="V530" t="s">
        <v>82</v>
      </c>
      <c r="W530" t="s">
        <v>2179</v>
      </c>
      <c r="X530" t="s">
        <v>96</v>
      </c>
      <c r="Y530" t="s">
        <v>82</v>
      </c>
      <c r="Z530" t="s">
        <v>149</v>
      </c>
    </row>
    <row r="531" spans="1:26" x14ac:dyDescent="0.25">
      <c r="A531" t="s">
        <v>2180</v>
      </c>
      <c r="B531" t="s">
        <v>2181</v>
      </c>
      <c r="C531" s="4" t="s">
        <v>2172</v>
      </c>
      <c r="D531" t="s">
        <v>2173</v>
      </c>
      <c r="E531" t="s">
        <v>14</v>
      </c>
      <c r="F531" t="s">
        <v>85</v>
      </c>
      <c r="G531" t="s">
        <v>111</v>
      </c>
      <c r="H531" t="s">
        <v>78</v>
      </c>
      <c r="I531" t="s">
        <v>102</v>
      </c>
      <c r="J531" t="s">
        <v>1530</v>
      </c>
      <c r="K531" t="s">
        <v>2174</v>
      </c>
      <c r="L531" t="s">
        <v>89</v>
      </c>
      <c r="M531" t="s">
        <v>318</v>
      </c>
      <c r="N531" t="s">
        <v>2175</v>
      </c>
      <c r="O531" t="s">
        <v>2182</v>
      </c>
      <c r="P531" t="s">
        <v>2183</v>
      </c>
      <c r="Q531" t="s">
        <v>102</v>
      </c>
      <c r="R531" t="s">
        <v>85</v>
      </c>
      <c r="S531" t="s">
        <v>2178</v>
      </c>
      <c r="T531" t="s">
        <v>2181</v>
      </c>
      <c r="U531" t="s">
        <v>322</v>
      </c>
      <c r="V531" t="s">
        <v>82</v>
      </c>
      <c r="W531" t="s">
        <v>2179</v>
      </c>
      <c r="X531" t="s">
        <v>96</v>
      </c>
      <c r="Y531" t="s">
        <v>82</v>
      </c>
      <c r="Z531" t="s">
        <v>149</v>
      </c>
    </row>
    <row r="532" spans="1:26" x14ac:dyDescent="0.25">
      <c r="A532" t="s">
        <v>2184</v>
      </c>
      <c r="B532" t="s">
        <v>2185</v>
      </c>
      <c r="C532" s="4" t="s">
        <v>2172</v>
      </c>
      <c r="D532" t="s">
        <v>2173</v>
      </c>
      <c r="E532" t="s">
        <v>14</v>
      </c>
      <c r="F532" t="s">
        <v>85</v>
      </c>
      <c r="G532" t="s">
        <v>111</v>
      </c>
      <c r="H532" t="s">
        <v>78</v>
      </c>
      <c r="I532" t="s">
        <v>102</v>
      </c>
      <c r="J532" t="s">
        <v>130</v>
      </c>
      <c r="K532" t="s">
        <v>2174</v>
      </c>
      <c r="L532" t="s">
        <v>89</v>
      </c>
      <c r="M532" t="s">
        <v>318</v>
      </c>
      <c r="N532" t="s">
        <v>2175</v>
      </c>
      <c r="O532" t="s">
        <v>2182</v>
      </c>
      <c r="P532" t="s">
        <v>2186</v>
      </c>
      <c r="Q532" t="s">
        <v>102</v>
      </c>
      <c r="R532" t="s">
        <v>85</v>
      </c>
      <c r="S532" t="s">
        <v>2178</v>
      </c>
      <c r="T532" t="s">
        <v>2185</v>
      </c>
      <c r="U532" t="s">
        <v>322</v>
      </c>
      <c r="V532" t="s">
        <v>82</v>
      </c>
      <c r="W532" t="s">
        <v>2179</v>
      </c>
      <c r="X532" t="s">
        <v>96</v>
      </c>
      <c r="Y532" t="s">
        <v>82</v>
      </c>
      <c r="Z532" t="s">
        <v>149</v>
      </c>
    </row>
    <row r="533" spans="1:26" x14ac:dyDescent="0.25">
      <c r="A533" t="s">
        <v>2187</v>
      </c>
      <c r="B533" t="s">
        <v>2188</v>
      </c>
      <c r="C533" s="4" t="s">
        <v>2189</v>
      </c>
      <c r="D533" t="s">
        <v>1805</v>
      </c>
      <c r="E533" t="s">
        <v>14</v>
      </c>
      <c r="F533" t="s">
        <v>105</v>
      </c>
      <c r="G533" t="s">
        <v>106</v>
      </c>
      <c r="H533" t="s">
        <v>78</v>
      </c>
      <c r="I533" t="s">
        <v>86</v>
      </c>
      <c r="J533" t="s">
        <v>29</v>
      </c>
      <c r="K533" t="s">
        <v>2190</v>
      </c>
      <c r="L533" t="s">
        <v>89</v>
      </c>
      <c r="M533" t="s">
        <v>318</v>
      </c>
      <c r="N533" t="s">
        <v>1608</v>
      </c>
      <c r="O533" t="s">
        <v>2191</v>
      </c>
      <c r="P533" t="s">
        <v>2191</v>
      </c>
      <c r="Q533" t="s">
        <v>102</v>
      </c>
      <c r="R533" t="s">
        <v>84</v>
      </c>
      <c r="S533" t="s">
        <v>2192</v>
      </c>
      <c r="T533" t="s">
        <v>2188</v>
      </c>
      <c r="U533" t="s">
        <v>322</v>
      </c>
      <c r="V533" t="s">
        <v>82</v>
      </c>
      <c r="W533" t="s">
        <v>2193</v>
      </c>
      <c r="X533" t="s">
        <v>96</v>
      </c>
      <c r="Y533" t="s">
        <v>82</v>
      </c>
      <c r="Z533" t="s">
        <v>149</v>
      </c>
    </row>
    <row r="534" spans="1:26" x14ac:dyDescent="0.25">
      <c r="A534" t="s">
        <v>2194</v>
      </c>
      <c r="B534" t="s">
        <v>2195</v>
      </c>
      <c r="C534" s="4" t="s">
        <v>2189</v>
      </c>
      <c r="D534" t="s">
        <v>1805</v>
      </c>
      <c r="E534" t="s">
        <v>14</v>
      </c>
      <c r="F534" t="s">
        <v>105</v>
      </c>
      <c r="G534" t="s">
        <v>106</v>
      </c>
      <c r="H534" t="s">
        <v>78</v>
      </c>
      <c r="I534" t="s">
        <v>86</v>
      </c>
      <c r="J534" t="s">
        <v>37</v>
      </c>
      <c r="K534" t="s">
        <v>2190</v>
      </c>
      <c r="L534" t="s">
        <v>89</v>
      </c>
      <c r="M534" t="s">
        <v>318</v>
      </c>
      <c r="N534" t="s">
        <v>1608</v>
      </c>
      <c r="O534" t="s">
        <v>2196</v>
      </c>
      <c r="P534" t="s">
        <v>2196</v>
      </c>
      <c r="Q534" t="s">
        <v>102</v>
      </c>
      <c r="R534" t="s">
        <v>84</v>
      </c>
      <c r="S534" t="s">
        <v>2192</v>
      </c>
      <c r="T534" t="s">
        <v>2195</v>
      </c>
      <c r="U534" t="s">
        <v>322</v>
      </c>
      <c r="V534" t="s">
        <v>82</v>
      </c>
      <c r="W534" t="s">
        <v>2193</v>
      </c>
      <c r="X534" t="s">
        <v>96</v>
      </c>
      <c r="Y534" t="s">
        <v>82</v>
      </c>
      <c r="Z534" t="s">
        <v>149</v>
      </c>
    </row>
    <row r="535" spans="1:26" x14ac:dyDescent="0.25">
      <c r="A535" t="s">
        <v>2197</v>
      </c>
      <c r="B535" t="s">
        <v>2198</v>
      </c>
      <c r="C535" s="4" t="s">
        <v>2189</v>
      </c>
      <c r="D535" t="s">
        <v>1805</v>
      </c>
      <c r="E535" t="s">
        <v>14</v>
      </c>
      <c r="F535" t="s">
        <v>105</v>
      </c>
      <c r="G535" t="s">
        <v>106</v>
      </c>
      <c r="H535" t="s">
        <v>78</v>
      </c>
      <c r="I535" t="s">
        <v>86</v>
      </c>
      <c r="J535" t="s">
        <v>130</v>
      </c>
      <c r="K535" t="s">
        <v>2190</v>
      </c>
      <c r="L535" t="s">
        <v>89</v>
      </c>
      <c r="M535" t="s">
        <v>318</v>
      </c>
      <c r="N535" t="s">
        <v>1608</v>
      </c>
      <c r="O535" t="s">
        <v>2196</v>
      </c>
      <c r="P535" t="s">
        <v>2196</v>
      </c>
      <c r="Q535" t="s">
        <v>102</v>
      </c>
      <c r="R535" t="s">
        <v>84</v>
      </c>
      <c r="S535" t="s">
        <v>2192</v>
      </c>
      <c r="T535" t="s">
        <v>2198</v>
      </c>
      <c r="U535" t="s">
        <v>322</v>
      </c>
      <c r="V535" t="s">
        <v>82</v>
      </c>
      <c r="W535" t="s">
        <v>2193</v>
      </c>
      <c r="X535" t="s">
        <v>96</v>
      </c>
      <c r="Y535" t="s">
        <v>82</v>
      </c>
      <c r="Z535" t="s">
        <v>149</v>
      </c>
    </row>
    <row r="536" spans="1:26" x14ac:dyDescent="0.25">
      <c r="A536" t="s">
        <v>2199</v>
      </c>
      <c r="B536" t="s">
        <v>2200</v>
      </c>
      <c r="C536" s="4" t="s">
        <v>2189</v>
      </c>
      <c r="D536" t="s">
        <v>1805</v>
      </c>
      <c r="E536" t="s">
        <v>14</v>
      </c>
      <c r="F536" t="s">
        <v>105</v>
      </c>
      <c r="G536" t="s">
        <v>106</v>
      </c>
      <c r="H536" t="s">
        <v>78</v>
      </c>
      <c r="I536" t="s">
        <v>86</v>
      </c>
      <c r="J536" t="s">
        <v>30</v>
      </c>
      <c r="K536" t="s">
        <v>2190</v>
      </c>
      <c r="L536" t="s">
        <v>89</v>
      </c>
      <c r="M536" t="s">
        <v>318</v>
      </c>
      <c r="N536" t="s">
        <v>1608</v>
      </c>
      <c r="O536" t="s">
        <v>2196</v>
      </c>
      <c r="P536" t="s">
        <v>2196</v>
      </c>
      <c r="Q536" t="s">
        <v>102</v>
      </c>
      <c r="R536" t="s">
        <v>84</v>
      </c>
      <c r="S536" t="s">
        <v>2192</v>
      </c>
      <c r="T536" t="s">
        <v>2200</v>
      </c>
      <c r="U536" t="s">
        <v>322</v>
      </c>
      <c r="V536" t="s">
        <v>82</v>
      </c>
      <c r="W536" t="s">
        <v>2193</v>
      </c>
      <c r="X536" t="s">
        <v>96</v>
      </c>
      <c r="Y536" t="s">
        <v>82</v>
      </c>
      <c r="Z536" t="s">
        <v>149</v>
      </c>
    </row>
    <row r="537" spans="1:26" x14ac:dyDescent="0.25">
      <c r="A537" t="s">
        <v>2201</v>
      </c>
      <c r="B537" t="s">
        <v>2202</v>
      </c>
      <c r="C537" s="4" t="s">
        <v>2203</v>
      </c>
      <c r="D537" t="s">
        <v>2204</v>
      </c>
      <c r="E537" t="s">
        <v>14</v>
      </c>
      <c r="F537" t="s">
        <v>105</v>
      </c>
      <c r="G537" t="s">
        <v>106</v>
      </c>
      <c r="H537" t="s">
        <v>78</v>
      </c>
      <c r="I537" t="s">
        <v>86</v>
      </c>
      <c r="J537" t="s">
        <v>30</v>
      </c>
      <c r="K537" t="s">
        <v>1357</v>
      </c>
      <c r="L537" t="s">
        <v>89</v>
      </c>
      <c r="M537" t="s">
        <v>318</v>
      </c>
      <c r="N537" t="s">
        <v>420</v>
      </c>
      <c r="O537" t="s">
        <v>2205</v>
      </c>
      <c r="P537" t="s">
        <v>2205</v>
      </c>
      <c r="Q537" t="s">
        <v>102</v>
      </c>
      <c r="R537" t="s">
        <v>105</v>
      </c>
      <c r="S537" t="s">
        <v>679</v>
      </c>
      <c r="T537" t="s">
        <v>2202</v>
      </c>
      <c r="U537" t="s">
        <v>322</v>
      </c>
      <c r="V537" t="s">
        <v>82</v>
      </c>
      <c r="W537" t="s">
        <v>1673</v>
      </c>
      <c r="X537" t="s">
        <v>96</v>
      </c>
      <c r="Y537" t="s">
        <v>82</v>
      </c>
      <c r="Z537" t="s">
        <v>149</v>
      </c>
    </row>
    <row r="538" spans="1:26" x14ac:dyDescent="0.25">
      <c r="A538" t="s">
        <v>2206</v>
      </c>
      <c r="B538" t="s">
        <v>2207</v>
      </c>
      <c r="C538" s="4" t="s">
        <v>2053</v>
      </c>
      <c r="D538" t="s">
        <v>2054</v>
      </c>
      <c r="E538" t="s">
        <v>14</v>
      </c>
      <c r="F538" t="s">
        <v>85</v>
      </c>
      <c r="G538" t="s">
        <v>102</v>
      </c>
      <c r="H538" t="s">
        <v>78</v>
      </c>
      <c r="I538" t="s">
        <v>86</v>
      </c>
      <c r="J538" t="s">
        <v>1002</v>
      </c>
      <c r="K538" t="s">
        <v>820</v>
      </c>
      <c r="L538" t="s">
        <v>89</v>
      </c>
      <c r="M538" t="s">
        <v>318</v>
      </c>
      <c r="N538" t="s">
        <v>90</v>
      </c>
      <c r="O538" t="s">
        <v>2208</v>
      </c>
      <c r="P538" t="s">
        <v>2209</v>
      </c>
      <c r="Q538" t="s">
        <v>102</v>
      </c>
      <c r="R538" t="s">
        <v>85</v>
      </c>
      <c r="S538" t="s">
        <v>2061</v>
      </c>
      <c r="T538" t="s">
        <v>2207</v>
      </c>
      <c r="U538" t="s">
        <v>322</v>
      </c>
      <c r="V538" t="s">
        <v>82</v>
      </c>
      <c r="W538" t="s">
        <v>1108</v>
      </c>
      <c r="X538" t="s">
        <v>96</v>
      </c>
      <c r="Y538" t="s">
        <v>82</v>
      </c>
      <c r="Z538" t="s">
        <v>149</v>
      </c>
    </row>
    <row r="539" spans="1:26" x14ac:dyDescent="0.25">
      <c r="A539" t="s">
        <v>2210</v>
      </c>
      <c r="B539" t="s">
        <v>2211</v>
      </c>
      <c r="C539" s="4" t="s">
        <v>2053</v>
      </c>
      <c r="D539" t="s">
        <v>2054</v>
      </c>
      <c r="E539" t="s">
        <v>14</v>
      </c>
      <c r="F539" t="s">
        <v>85</v>
      </c>
      <c r="G539" t="s">
        <v>102</v>
      </c>
      <c r="H539" t="s">
        <v>78</v>
      </c>
      <c r="I539" t="s">
        <v>86</v>
      </c>
      <c r="J539" t="s">
        <v>30</v>
      </c>
      <c r="K539" t="s">
        <v>820</v>
      </c>
      <c r="L539" t="s">
        <v>89</v>
      </c>
      <c r="M539" t="s">
        <v>318</v>
      </c>
      <c r="N539" t="s">
        <v>90</v>
      </c>
      <c r="O539" t="s">
        <v>2212</v>
      </c>
      <c r="P539" t="s">
        <v>2213</v>
      </c>
      <c r="Q539" t="s">
        <v>102</v>
      </c>
      <c r="R539" t="s">
        <v>85</v>
      </c>
      <c r="S539" t="s">
        <v>2061</v>
      </c>
      <c r="T539" t="s">
        <v>2211</v>
      </c>
      <c r="U539" t="s">
        <v>322</v>
      </c>
      <c r="V539" t="s">
        <v>82</v>
      </c>
      <c r="W539" t="s">
        <v>1108</v>
      </c>
      <c r="X539" t="s">
        <v>96</v>
      </c>
      <c r="Y539" t="s">
        <v>82</v>
      </c>
      <c r="Z539" t="s">
        <v>149</v>
      </c>
    </row>
    <row r="540" spans="1:26" x14ac:dyDescent="0.25">
      <c r="A540" t="s">
        <v>2214</v>
      </c>
      <c r="B540" t="s">
        <v>2215</v>
      </c>
      <c r="C540" s="4" t="s">
        <v>1777</v>
      </c>
      <c r="D540" t="s">
        <v>1778</v>
      </c>
      <c r="E540" t="s">
        <v>14</v>
      </c>
      <c r="F540" t="s">
        <v>85</v>
      </c>
      <c r="G540" t="s">
        <v>102</v>
      </c>
      <c r="H540" t="s">
        <v>78</v>
      </c>
      <c r="I540" t="s">
        <v>86</v>
      </c>
      <c r="J540" t="s">
        <v>546</v>
      </c>
      <c r="K540" t="s">
        <v>1779</v>
      </c>
      <c r="L540" t="s">
        <v>89</v>
      </c>
      <c r="M540" t="s">
        <v>318</v>
      </c>
      <c r="N540" t="s">
        <v>347</v>
      </c>
      <c r="O540" t="s">
        <v>2216</v>
      </c>
      <c r="P540" t="s">
        <v>2216</v>
      </c>
      <c r="Q540" t="s">
        <v>102</v>
      </c>
      <c r="R540" t="s">
        <v>84</v>
      </c>
      <c r="S540" t="s">
        <v>1782</v>
      </c>
      <c r="T540" t="s">
        <v>2215</v>
      </c>
      <c r="U540" t="s">
        <v>322</v>
      </c>
      <c r="V540" t="s">
        <v>82</v>
      </c>
      <c r="W540" t="s">
        <v>1783</v>
      </c>
      <c r="X540" t="s">
        <v>96</v>
      </c>
      <c r="Y540" t="s">
        <v>82</v>
      </c>
      <c r="Z540" t="s">
        <v>149</v>
      </c>
    </row>
    <row r="541" spans="1:26" x14ac:dyDescent="0.25">
      <c r="A541" t="s">
        <v>2217</v>
      </c>
      <c r="B541" t="s">
        <v>2218</v>
      </c>
      <c r="C541" s="4" t="s">
        <v>2219</v>
      </c>
      <c r="D541" t="s">
        <v>1312</v>
      </c>
      <c r="E541" t="s">
        <v>14</v>
      </c>
      <c r="F541" t="s">
        <v>78</v>
      </c>
      <c r="G541" t="s">
        <v>102</v>
      </c>
      <c r="H541" t="s">
        <v>78</v>
      </c>
      <c r="I541" t="s">
        <v>102</v>
      </c>
      <c r="J541" t="s">
        <v>18</v>
      </c>
      <c r="K541" t="s">
        <v>1313</v>
      </c>
      <c r="L541" t="s">
        <v>89</v>
      </c>
      <c r="M541" t="s">
        <v>318</v>
      </c>
      <c r="N541" t="s">
        <v>1314</v>
      </c>
      <c r="O541" t="s">
        <v>2220</v>
      </c>
      <c r="P541" t="s">
        <v>2220</v>
      </c>
      <c r="Q541" t="s">
        <v>102</v>
      </c>
      <c r="R541" t="s">
        <v>86</v>
      </c>
      <c r="S541" t="s">
        <v>1316</v>
      </c>
      <c r="T541" t="s">
        <v>2218</v>
      </c>
      <c r="U541" t="s">
        <v>322</v>
      </c>
      <c r="V541" t="s">
        <v>82</v>
      </c>
      <c r="W541" t="s">
        <v>1317</v>
      </c>
      <c r="X541" t="s">
        <v>96</v>
      </c>
      <c r="Y541" t="s">
        <v>82</v>
      </c>
      <c r="Z541" t="s">
        <v>78</v>
      </c>
    </row>
    <row r="542" spans="1:26" x14ac:dyDescent="0.25">
      <c r="A542" t="s">
        <v>2221</v>
      </c>
      <c r="B542" t="s">
        <v>2222</v>
      </c>
      <c r="C542" s="4" t="s">
        <v>2219</v>
      </c>
      <c r="D542" t="s">
        <v>1312</v>
      </c>
      <c r="E542" t="s">
        <v>14</v>
      </c>
      <c r="F542" t="s">
        <v>78</v>
      </c>
      <c r="G542" t="s">
        <v>102</v>
      </c>
      <c r="H542" t="s">
        <v>78</v>
      </c>
      <c r="I542" t="s">
        <v>102</v>
      </c>
      <c r="J542" t="s">
        <v>15</v>
      </c>
      <c r="K542" t="s">
        <v>1313</v>
      </c>
      <c r="L542" t="s">
        <v>89</v>
      </c>
      <c r="M542" t="s">
        <v>318</v>
      </c>
      <c r="N542" t="s">
        <v>1314</v>
      </c>
      <c r="O542" t="s">
        <v>2223</v>
      </c>
      <c r="P542" t="s">
        <v>2223</v>
      </c>
      <c r="Q542" t="s">
        <v>102</v>
      </c>
      <c r="R542" t="s">
        <v>86</v>
      </c>
      <c r="S542" t="s">
        <v>1316</v>
      </c>
      <c r="T542" t="s">
        <v>2222</v>
      </c>
      <c r="U542" t="s">
        <v>322</v>
      </c>
      <c r="V542" t="s">
        <v>82</v>
      </c>
      <c r="W542" t="s">
        <v>1317</v>
      </c>
      <c r="X542" t="s">
        <v>96</v>
      </c>
      <c r="Y542" t="s">
        <v>82</v>
      </c>
      <c r="Z542" t="s">
        <v>78</v>
      </c>
    </row>
    <row r="543" spans="1:26" x14ac:dyDescent="0.25">
      <c r="A543" t="s">
        <v>2224</v>
      </c>
      <c r="B543" t="s">
        <v>2225</v>
      </c>
      <c r="C543" s="4" t="s">
        <v>2219</v>
      </c>
      <c r="D543" t="s">
        <v>1312</v>
      </c>
      <c r="E543" t="s">
        <v>14</v>
      </c>
      <c r="F543" t="s">
        <v>78</v>
      </c>
      <c r="G543" t="s">
        <v>102</v>
      </c>
      <c r="H543" t="s">
        <v>78</v>
      </c>
      <c r="I543" t="s">
        <v>102</v>
      </c>
      <c r="J543" t="s">
        <v>17</v>
      </c>
      <c r="K543" t="s">
        <v>1313</v>
      </c>
      <c r="L543" t="s">
        <v>89</v>
      </c>
      <c r="M543" t="s">
        <v>318</v>
      </c>
      <c r="N543" t="s">
        <v>1314</v>
      </c>
      <c r="O543" t="s">
        <v>2223</v>
      </c>
      <c r="P543" t="s">
        <v>2223</v>
      </c>
      <c r="Q543" t="s">
        <v>102</v>
      </c>
      <c r="R543" t="s">
        <v>86</v>
      </c>
      <c r="S543" t="s">
        <v>1316</v>
      </c>
      <c r="T543" t="s">
        <v>2225</v>
      </c>
      <c r="U543" t="s">
        <v>322</v>
      </c>
      <c r="V543" t="s">
        <v>82</v>
      </c>
      <c r="W543" t="s">
        <v>1317</v>
      </c>
      <c r="X543" t="s">
        <v>96</v>
      </c>
      <c r="Y543" t="s">
        <v>82</v>
      </c>
      <c r="Z543" t="s">
        <v>78</v>
      </c>
    </row>
    <row r="544" spans="1:26" x14ac:dyDescent="0.25">
      <c r="A544" t="s">
        <v>2226</v>
      </c>
      <c r="B544" t="s">
        <v>2227</v>
      </c>
      <c r="C544" s="4" t="s">
        <v>2219</v>
      </c>
      <c r="D544" t="s">
        <v>1312</v>
      </c>
      <c r="E544" t="s">
        <v>14</v>
      </c>
      <c r="F544" t="s">
        <v>111</v>
      </c>
      <c r="G544" t="s">
        <v>124</v>
      </c>
      <c r="H544" t="s">
        <v>78</v>
      </c>
      <c r="I544" t="s">
        <v>102</v>
      </c>
      <c r="J544" t="s">
        <v>17</v>
      </c>
      <c r="K544" t="s">
        <v>1327</v>
      </c>
      <c r="L544" t="s">
        <v>89</v>
      </c>
      <c r="M544" t="s">
        <v>318</v>
      </c>
      <c r="N544" t="s">
        <v>1432</v>
      </c>
      <c r="O544" t="s">
        <v>2228</v>
      </c>
      <c r="P544" t="s">
        <v>2228</v>
      </c>
      <c r="Q544" t="s">
        <v>102</v>
      </c>
      <c r="R544" t="s">
        <v>86</v>
      </c>
      <c r="S544" t="s">
        <v>1329</v>
      </c>
      <c r="T544" t="s">
        <v>2227</v>
      </c>
      <c r="U544" t="s">
        <v>322</v>
      </c>
      <c r="V544" t="s">
        <v>82</v>
      </c>
      <c r="W544" t="s">
        <v>1434</v>
      </c>
      <c r="X544" t="s">
        <v>96</v>
      </c>
      <c r="Y544" t="s">
        <v>82</v>
      </c>
      <c r="Z544" t="s">
        <v>78</v>
      </c>
    </row>
    <row r="545" spans="1:26" x14ac:dyDescent="0.25">
      <c r="A545" t="s">
        <v>2229</v>
      </c>
      <c r="B545" t="s">
        <v>2230</v>
      </c>
      <c r="C545" s="4" t="s">
        <v>2219</v>
      </c>
      <c r="D545" t="s">
        <v>1312</v>
      </c>
      <c r="E545" t="s">
        <v>14</v>
      </c>
      <c r="F545" t="s">
        <v>111</v>
      </c>
      <c r="G545" t="s">
        <v>124</v>
      </c>
      <c r="H545" t="s">
        <v>78</v>
      </c>
      <c r="I545" t="s">
        <v>102</v>
      </c>
      <c r="J545" t="s">
        <v>18</v>
      </c>
      <c r="K545" t="s">
        <v>1327</v>
      </c>
      <c r="L545" t="s">
        <v>89</v>
      </c>
      <c r="M545" t="s">
        <v>318</v>
      </c>
      <c r="N545" t="s">
        <v>1432</v>
      </c>
      <c r="O545" t="s">
        <v>2231</v>
      </c>
      <c r="P545" t="s">
        <v>2231</v>
      </c>
      <c r="Q545" t="s">
        <v>102</v>
      </c>
      <c r="R545" t="s">
        <v>86</v>
      </c>
      <c r="S545" t="s">
        <v>1329</v>
      </c>
      <c r="T545" t="s">
        <v>2230</v>
      </c>
      <c r="U545" t="s">
        <v>322</v>
      </c>
      <c r="V545" t="s">
        <v>82</v>
      </c>
      <c r="W545" t="s">
        <v>1434</v>
      </c>
      <c r="X545" t="s">
        <v>96</v>
      </c>
      <c r="Y545" t="s">
        <v>82</v>
      </c>
      <c r="Z545" t="s">
        <v>78</v>
      </c>
    </row>
    <row r="546" spans="1:26" x14ac:dyDescent="0.25">
      <c r="A546" t="s">
        <v>2232</v>
      </c>
      <c r="B546" t="s">
        <v>2233</v>
      </c>
      <c r="C546" s="4" t="s">
        <v>2219</v>
      </c>
      <c r="D546" t="s">
        <v>1312</v>
      </c>
      <c r="E546" t="s">
        <v>14</v>
      </c>
      <c r="F546" t="s">
        <v>111</v>
      </c>
      <c r="G546" t="s">
        <v>124</v>
      </c>
      <c r="H546" t="s">
        <v>78</v>
      </c>
      <c r="I546" t="s">
        <v>102</v>
      </c>
      <c r="J546" t="s">
        <v>15</v>
      </c>
      <c r="K546" t="s">
        <v>1327</v>
      </c>
      <c r="L546" t="s">
        <v>89</v>
      </c>
      <c r="M546" t="s">
        <v>318</v>
      </c>
      <c r="N546" t="s">
        <v>1432</v>
      </c>
      <c r="O546" t="s">
        <v>2231</v>
      </c>
      <c r="P546" t="s">
        <v>2231</v>
      </c>
      <c r="Q546" t="s">
        <v>102</v>
      </c>
      <c r="R546" t="s">
        <v>86</v>
      </c>
      <c r="S546" t="s">
        <v>1329</v>
      </c>
      <c r="T546" t="s">
        <v>2233</v>
      </c>
      <c r="U546" t="s">
        <v>322</v>
      </c>
      <c r="V546" t="s">
        <v>82</v>
      </c>
      <c r="W546" t="s">
        <v>1434</v>
      </c>
      <c r="X546" t="s">
        <v>96</v>
      </c>
      <c r="Y546" t="s">
        <v>82</v>
      </c>
      <c r="Z546" t="s">
        <v>78</v>
      </c>
    </row>
    <row r="547" spans="1:26" x14ac:dyDescent="0.25">
      <c r="A547" t="s">
        <v>2234</v>
      </c>
      <c r="B547" t="s">
        <v>2235</v>
      </c>
      <c r="C547" s="4" t="s">
        <v>2219</v>
      </c>
      <c r="D547" t="s">
        <v>1312</v>
      </c>
      <c r="E547" t="s">
        <v>14</v>
      </c>
      <c r="F547" t="s">
        <v>128</v>
      </c>
      <c r="G547" t="s">
        <v>105</v>
      </c>
      <c r="H547" t="s">
        <v>78</v>
      </c>
      <c r="I547" t="s">
        <v>102</v>
      </c>
      <c r="J547" t="s">
        <v>15</v>
      </c>
      <c r="K547" t="s">
        <v>2236</v>
      </c>
      <c r="L547" t="s">
        <v>89</v>
      </c>
      <c r="M547" t="s">
        <v>318</v>
      </c>
      <c r="N547" t="s">
        <v>1340</v>
      </c>
      <c r="O547" t="s">
        <v>2237</v>
      </c>
      <c r="P547" t="s">
        <v>2237</v>
      </c>
      <c r="Q547" t="s">
        <v>102</v>
      </c>
      <c r="R547" t="s">
        <v>86</v>
      </c>
      <c r="S547" t="s">
        <v>2238</v>
      </c>
      <c r="T547" t="s">
        <v>2235</v>
      </c>
      <c r="U547" t="s">
        <v>322</v>
      </c>
      <c r="V547" t="s">
        <v>82</v>
      </c>
      <c r="W547" t="s">
        <v>354</v>
      </c>
      <c r="X547" t="s">
        <v>96</v>
      </c>
      <c r="Y547" t="s">
        <v>82</v>
      </c>
      <c r="Z547" t="s">
        <v>78</v>
      </c>
    </row>
    <row r="548" spans="1:26" x14ac:dyDescent="0.25">
      <c r="A548" t="s">
        <v>2102</v>
      </c>
      <c r="B548" t="s">
        <v>2239</v>
      </c>
      <c r="C548" s="4" t="s">
        <v>2219</v>
      </c>
      <c r="D548" t="s">
        <v>1312</v>
      </c>
      <c r="E548" t="s">
        <v>14</v>
      </c>
      <c r="F548" t="s">
        <v>128</v>
      </c>
      <c r="G548" t="s">
        <v>105</v>
      </c>
      <c r="H548" t="s">
        <v>78</v>
      </c>
      <c r="I548" t="s">
        <v>102</v>
      </c>
      <c r="J548" t="s">
        <v>18</v>
      </c>
      <c r="K548" t="s">
        <v>2236</v>
      </c>
      <c r="L548" t="s">
        <v>89</v>
      </c>
      <c r="M548" t="s">
        <v>318</v>
      </c>
      <c r="N548" t="s">
        <v>1340</v>
      </c>
      <c r="O548" t="s">
        <v>2240</v>
      </c>
      <c r="P548" t="s">
        <v>2240</v>
      </c>
      <c r="Q548" t="s">
        <v>102</v>
      </c>
      <c r="R548" t="s">
        <v>86</v>
      </c>
      <c r="S548" t="s">
        <v>2238</v>
      </c>
      <c r="T548" t="s">
        <v>2239</v>
      </c>
      <c r="U548" t="s">
        <v>322</v>
      </c>
      <c r="V548" t="s">
        <v>82</v>
      </c>
      <c r="W548" t="s">
        <v>354</v>
      </c>
      <c r="X548" t="s">
        <v>96</v>
      </c>
      <c r="Y548" t="s">
        <v>82</v>
      </c>
      <c r="Z548" t="s">
        <v>78</v>
      </c>
    </row>
    <row r="549" spans="1:26" x14ac:dyDescent="0.25">
      <c r="A549" t="s">
        <v>2079</v>
      </c>
      <c r="B549" t="s">
        <v>2241</v>
      </c>
      <c r="C549" s="4" t="s">
        <v>2219</v>
      </c>
      <c r="D549" t="s">
        <v>1312</v>
      </c>
      <c r="E549" t="s">
        <v>14</v>
      </c>
      <c r="F549" t="s">
        <v>128</v>
      </c>
      <c r="G549" t="s">
        <v>105</v>
      </c>
      <c r="H549" t="s">
        <v>78</v>
      </c>
      <c r="I549" t="s">
        <v>102</v>
      </c>
      <c r="J549" t="s">
        <v>17</v>
      </c>
      <c r="K549" t="s">
        <v>2236</v>
      </c>
      <c r="L549" t="s">
        <v>89</v>
      </c>
      <c r="M549" t="s">
        <v>318</v>
      </c>
      <c r="N549" t="s">
        <v>1340</v>
      </c>
      <c r="O549" t="s">
        <v>2240</v>
      </c>
      <c r="P549" t="s">
        <v>2240</v>
      </c>
      <c r="Q549" t="s">
        <v>102</v>
      </c>
      <c r="R549" t="s">
        <v>86</v>
      </c>
      <c r="S549" t="s">
        <v>2238</v>
      </c>
      <c r="T549" t="s">
        <v>2241</v>
      </c>
      <c r="U549" t="s">
        <v>322</v>
      </c>
      <c r="V549" t="s">
        <v>82</v>
      </c>
      <c r="W549" t="s">
        <v>354</v>
      </c>
      <c r="X549" t="s">
        <v>96</v>
      </c>
      <c r="Y549" t="s">
        <v>82</v>
      </c>
      <c r="Z549" t="s">
        <v>78</v>
      </c>
    </row>
    <row r="550" spans="1:26" x14ac:dyDescent="0.25">
      <c r="A550" t="s">
        <v>2242</v>
      </c>
      <c r="B550" t="s">
        <v>2243</v>
      </c>
      <c r="C550" s="4" t="s">
        <v>2219</v>
      </c>
      <c r="D550" t="s">
        <v>1312</v>
      </c>
      <c r="E550" t="s">
        <v>14</v>
      </c>
      <c r="F550" t="s">
        <v>143</v>
      </c>
      <c r="G550" t="s">
        <v>106</v>
      </c>
      <c r="H550" t="s">
        <v>78</v>
      </c>
      <c r="I550" t="s">
        <v>102</v>
      </c>
      <c r="J550" t="s">
        <v>17</v>
      </c>
      <c r="K550" t="s">
        <v>1357</v>
      </c>
      <c r="L550" t="s">
        <v>89</v>
      </c>
      <c r="M550" t="s">
        <v>318</v>
      </c>
      <c r="N550" t="s">
        <v>1358</v>
      </c>
      <c r="O550" t="s">
        <v>2244</v>
      </c>
      <c r="P550" t="s">
        <v>2244</v>
      </c>
      <c r="Q550" t="s">
        <v>102</v>
      </c>
      <c r="R550" t="s">
        <v>86</v>
      </c>
      <c r="S550" t="s">
        <v>636</v>
      </c>
      <c r="T550" t="s">
        <v>2243</v>
      </c>
      <c r="U550" t="s">
        <v>322</v>
      </c>
      <c r="V550" t="s">
        <v>82</v>
      </c>
      <c r="W550" t="s">
        <v>718</v>
      </c>
      <c r="X550" t="s">
        <v>96</v>
      </c>
      <c r="Y550" t="s">
        <v>82</v>
      </c>
      <c r="Z550" t="s">
        <v>78</v>
      </c>
    </row>
    <row r="551" spans="1:26" x14ac:dyDescent="0.25">
      <c r="A551" t="s">
        <v>2245</v>
      </c>
      <c r="B551" t="s">
        <v>2246</v>
      </c>
      <c r="C551" s="4" t="s">
        <v>2219</v>
      </c>
      <c r="D551" t="s">
        <v>1312</v>
      </c>
      <c r="E551" t="s">
        <v>14</v>
      </c>
      <c r="F551" t="s">
        <v>143</v>
      </c>
      <c r="G551" t="s">
        <v>106</v>
      </c>
      <c r="H551" t="s">
        <v>78</v>
      </c>
      <c r="I551" t="s">
        <v>102</v>
      </c>
      <c r="J551" t="s">
        <v>18</v>
      </c>
      <c r="K551" t="s">
        <v>1357</v>
      </c>
      <c r="L551" t="s">
        <v>89</v>
      </c>
      <c r="M551" t="s">
        <v>318</v>
      </c>
      <c r="N551" t="s">
        <v>1358</v>
      </c>
      <c r="O551" t="s">
        <v>2247</v>
      </c>
      <c r="P551" t="s">
        <v>2247</v>
      </c>
      <c r="Q551" t="s">
        <v>102</v>
      </c>
      <c r="R551" t="s">
        <v>86</v>
      </c>
      <c r="S551" t="s">
        <v>636</v>
      </c>
      <c r="T551" t="s">
        <v>2246</v>
      </c>
      <c r="U551" t="s">
        <v>322</v>
      </c>
      <c r="V551" t="s">
        <v>82</v>
      </c>
      <c r="W551" t="s">
        <v>718</v>
      </c>
      <c r="X551" t="s">
        <v>96</v>
      </c>
      <c r="Y551" t="s">
        <v>82</v>
      </c>
      <c r="Z551" t="s">
        <v>78</v>
      </c>
    </row>
    <row r="552" spans="1:26" x14ac:dyDescent="0.25">
      <c r="A552" t="s">
        <v>2248</v>
      </c>
      <c r="B552" t="s">
        <v>2249</v>
      </c>
      <c r="C552" s="4" t="s">
        <v>2219</v>
      </c>
      <c r="D552" t="s">
        <v>1312</v>
      </c>
      <c r="E552" t="s">
        <v>14</v>
      </c>
      <c r="F552" t="s">
        <v>143</v>
      </c>
      <c r="G552" t="s">
        <v>106</v>
      </c>
      <c r="H552" t="s">
        <v>78</v>
      </c>
      <c r="I552" t="s">
        <v>102</v>
      </c>
      <c r="J552" t="s">
        <v>15</v>
      </c>
      <c r="K552" t="s">
        <v>1357</v>
      </c>
      <c r="L552" t="s">
        <v>89</v>
      </c>
      <c r="M552" t="s">
        <v>318</v>
      </c>
      <c r="N552" t="s">
        <v>1358</v>
      </c>
      <c r="O552" t="s">
        <v>2247</v>
      </c>
      <c r="P552" t="s">
        <v>2247</v>
      </c>
      <c r="Q552" t="s">
        <v>102</v>
      </c>
      <c r="R552" t="s">
        <v>86</v>
      </c>
      <c r="S552" t="s">
        <v>636</v>
      </c>
      <c r="T552" t="s">
        <v>2249</v>
      </c>
      <c r="U552" t="s">
        <v>322</v>
      </c>
      <c r="V552" t="s">
        <v>82</v>
      </c>
      <c r="W552" t="s">
        <v>718</v>
      </c>
      <c r="X552" t="s">
        <v>96</v>
      </c>
      <c r="Y552" t="s">
        <v>82</v>
      </c>
      <c r="Z552" t="s">
        <v>78</v>
      </c>
    </row>
    <row r="553" spans="1:26" x14ac:dyDescent="0.25">
      <c r="A553" t="s">
        <v>2250</v>
      </c>
      <c r="B553" t="s">
        <v>2251</v>
      </c>
      <c r="C553" s="4" t="s">
        <v>1657</v>
      </c>
      <c r="D553" t="s">
        <v>2252</v>
      </c>
      <c r="E553" t="s">
        <v>14</v>
      </c>
      <c r="F553" t="s">
        <v>83</v>
      </c>
      <c r="G553" t="s">
        <v>105</v>
      </c>
      <c r="H553" t="s">
        <v>78</v>
      </c>
      <c r="I553" t="s">
        <v>102</v>
      </c>
      <c r="J553" t="s">
        <v>87</v>
      </c>
      <c r="K553" t="s">
        <v>1607</v>
      </c>
      <c r="L553" t="s">
        <v>89</v>
      </c>
      <c r="M553" t="s">
        <v>318</v>
      </c>
      <c r="N553" t="s">
        <v>1608</v>
      </c>
      <c r="O553" t="s">
        <v>2253</v>
      </c>
      <c r="P553" t="s">
        <v>2253</v>
      </c>
      <c r="Q553" t="s">
        <v>102</v>
      </c>
      <c r="R553" t="s">
        <v>78</v>
      </c>
      <c r="S553" t="s">
        <v>1610</v>
      </c>
      <c r="T553" t="s">
        <v>2251</v>
      </c>
      <c r="U553" t="s">
        <v>322</v>
      </c>
      <c r="V553" t="s">
        <v>82</v>
      </c>
      <c r="W553" t="s">
        <v>1611</v>
      </c>
      <c r="X553" t="s">
        <v>96</v>
      </c>
      <c r="Y553" t="s">
        <v>82</v>
      </c>
      <c r="Z553" t="s">
        <v>146</v>
      </c>
    </row>
    <row r="554" spans="1:26" x14ac:dyDescent="0.25">
      <c r="A554" t="s">
        <v>1791</v>
      </c>
      <c r="B554" t="s">
        <v>2254</v>
      </c>
      <c r="C554" s="4" t="s">
        <v>1657</v>
      </c>
      <c r="D554" t="s">
        <v>2252</v>
      </c>
      <c r="E554" t="s">
        <v>14</v>
      </c>
      <c r="F554" t="s">
        <v>83</v>
      </c>
      <c r="G554" t="s">
        <v>105</v>
      </c>
      <c r="H554" t="s">
        <v>78</v>
      </c>
      <c r="I554" t="s">
        <v>102</v>
      </c>
      <c r="J554" t="s">
        <v>1682</v>
      </c>
      <c r="K554" t="s">
        <v>1607</v>
      </c>
      <c r="L554" t="s">
        <v>89</v>
      </c>
      <c r="M554" t="s">
        <v>318</v>
      </c>
      <c r="N554" t="s">
        <v>1608</v>
      </c>
      <c r="O554" t="s">
        <v>2253</v>
      </c>
      <c r="P554" t="s">
        <v>2253</v>
      </c>
      <c r="Q554" t="s">
        <v>102</v>
      </c>
      <c r="R554" t="s">
        <v>78</v>
      </c>
      <c r="S554" t="s">
        <v>1610</v>
      </c>
      <c r="T554" t="s">
        <v>2254</v>
      </c>
      <c r="U554" t="s">
        <v>322</v>
      </c>
      <c r="V554" t="s">
        <v>82</v>
      </c>
      <c r="W554" t="s">
        <v>1611</v>
      </c>
      <c r="X554" t="s">
        <v>96</v>
      </c>
      <c r="Y554" t="s">
        <v>82</v>
      </c>
      <c r="Z554" t="s">
        <v>146</v>
      </c>
    </row>
    <row r="555" spans="1:26" x14ac:dyDescent="0.25">
      <c r="A555" t="s">
        <v>2255</v>
      </c>
      <c r="B555" t="s">
        <v>2256</v>
      </c>
      <c r="C555" s="4" t="s">
        <v>1657</v>
      </c>
      <c r="D555" t="s">
        <v>2252</v>
      </c>
      <c r="E555" t="s">
        <v>14</v>
      </c>
      <c r="F555" t="s">
        <v>83</v>
      </c>
      <c r="G555" t="s">
        <v>105</v>
      </c>
      <c r="H555" t="s">
        <v>78</v>
      </c>
      <c r="I555" t="s">
        <v>102</v>
      </c>
      <c r="J555" t="s">
        <v>32</v>
      </c>
      <c r="K555" t="s">
        <v>1607</v>
      </c>
      <c r="L555" t="s">
        <v>89</v>
      </c>
      <c r="M555" t="s">
        <v>318</v>
      </c>
      <c r="N555" t="s">
        <v>1608</v>
      </c>
      <c r="O555" t="s">
        <v>2253</v>
      </c>
      <c r="P555" t="s">
        <v>2253</v>
      </c>
      <c r="Q555" t="s">
        <v>102</v>
      </c>
      <c r="R555" t="s">
        <v>78</v>
      </c>
      <c r="S555" t="s">
        <v>1610</v>
      </c>
      <c r="T555" t="s">
        <v>2256</v>
      </c>
      <c r="U555" t="s">
        <v>322</v>
      </c>
      <c r="V555" t="s">
        <v>82</v>
      </c>
      <c r="W555" t="s">
        <v>1611</v>
      </c>
      <c r="X555" t="s">
        <v>96</v>
      </c>
      <c r="Y555" t="s">
        <v>82</v>
      </c>
      <c r="Z555" t="s">
        <v>146</v>
      </c>
    </row>
    <row r="556" spans="1:26" x14ac:dyDescent="0.25">
      <c r="A556" t="s">
        <v>2257</v>
      </c>
      <c r="B556" t="s">
        <v>2258</v>
      </c>
      <c r="C556" s="4" t="s">
        <v>1279</v>
      </c>
      <c r="D556" t="s">
        <v>2259</v>
      </c>
      <c r="E556" t="s">
        <v>14</v>
      </c>
      <c r="F556" t="s">
        <v>85</v>
      </c>
      <c r="G556" t="s">
        <v>111</v>
      </c>
      <c r="H556" t="s">
        <v>78</v>
      </c>
      <c r="I556" t="s">
        <v>102</v>
      </c>
      <c r="J556" t="s">
        <v>1682</v>
      </c>
      <c r="K556" t="s">
        <v>1630</v>
      </c>
      <c r="L556" t="s">
        <v>89</v>
      </c>
      <c r="M556" t="s">
        <v>318</v>
      </c>
      <c r="N556" t="s">
        <v>1462</v>
      </c>
      <c r="O556" t="s">
        <v>2260</v>
      </c>
      <c r="P556" t="s">
        <v>2261</v>
      </c>
      <c r="Q556" t="s">
        <v>102</v>
      </c>
      <c r="R556" t="s">
        <v>78</v>
      </c>
      <c r="S556" t="s">
        <v>1632</v>
      </c>
      <c r="T556" t="s">
        <v>2258</v>
      </c>
      <c r="U556" t="s">
        <v>322</v>
      </c>
      <c r="V556" t="s">
        <v>82</v>
      </c>
      <c r="W556" t="s">
        <v>1621</v>
      </c>
      <c r="X556" t="s">
        <v>96</v>
      </c>
      <c r="Y556" t="s">
        <v>82</v>
      </c>
      <c r="Z556" t="s">
        <v>146</v>
      </c>
    </row>
    <row r="557" spans="1:26" x14ac:dyDescent="0.25">
      <c r="A557" t="s">
        <v>2262</v>
      </c>
      <c r="B557" t="s">
        <v>2263</v>
      </c>
      <c r="C557" s="4" t="s">
        <v>1279</v>
      </c>
      <c r="D557" t="s">
        <v>2259</v>
      </c>
      <c r="E557" t="s">
        <v>14</v>
      </c>
      <c r="F557" t="s">
        <v>85</v>
      </c>
      <c r="G557" t="s">
        <v>111</v>
      </c>
      <c r="H557" t="s">
        <v>78</v>
      </c>
      <c r="I557" t="s">
        <v>102</v>
      </c>
      <c r="J557" t="s">
        <v>130</v>
      </c>
      <c r="K557" t="s">
        <v>1630</v>
      </c>
      <c r="L557" t="s">
        <v>89</v>
      </c>
      <c r="M557" t="s">
        <v>318</v>
      </c>
      <c r="N557" t="s">
        <v>1462</v>
      </c>
      <c r="O557" t="s">
        <v>2260</v>
      </c>
      <c r="P557" t="s">
        <v>2264</v>
      </c>
      <c r="Q557" t="s">
        <v>102</v>
      </c>
      <c r="R557" t="s">
        <v>78</v>
      </c>
      <c r="S557" t="s">
        <v>1632</v>
      </c>
      <c r="T557" t="s">
        <v>2263</v>
      </c>
      <c r="U557" t="s">
        <v>322</v>
      </c>
      <c r="V557" t="s">
        <v>82</v>
      </c>
      <c r="W557" t="s">
        <v>1621</v>
      </c>
      <c r="X557" t="s">
        <v>96</v>
      </c>
      <c r="Y557" t="s">
        <v>82</v>
      </c>
      <c r="Z557" t="s">
        <v>146</v>
      </c>
    </row>
    <row r="558" spans="1:26" x14ac:dyDescent="0.25">
      <c r="A558" t="s">
        <v>2265</v>
      </c>
      <c r="B558" t="s">
        <v>2266</v>
      </c>
      <c r="C558" s="4" t="s">
        <v>1279</v>
      </c>
      <c r="D558" t="s">
        <v>2267</v>
      </c>
      <c r="E558" t="s">
        <v>14</v>
      </c>
      <c r="F558" t="s">
        <v>85</v>
      </c>
      <c r="G558" t="s">
        <v>111</v>
      </c>
      <c r="H558" t="s">
        <v>78</v>
      </c>
      <c r="I558" t="s">
        <v>102</v>
      </c>
      <c r="J558" t="s">
        <v>32</v>
      </c>
      <c r="K558" t="s">
        <v>1630</v>
      </c>
      <c r="L558" t="s">
        <v>89</v>
      </c>
      <c r="M558" t="s">
        <v>318</v>
      </c>
      <c r="N558" t="s">
        <v>1462</v>
      </c>
      <c r="O558" t="s">
        <v>2268</v>
      </c>
      <c r="P558" t="s">
        <v>2269</v>
      </c>
      <c r="Q558" t="s">
        <v>102</v>
      </c>
      <c r="R558" t="s">
        <v>78</v>
      </c>
      <c r="S558" t="s">
        <v>1632</v>
      </c>
      <c r="T558" t="s">
        <v>2266</v>
      </c>
      <c r="U558" t="s">
        <v>322</v>
      </c>
      <c r="V558" t="s">
        <v>82</v>
      </c>
      <c r="W558" t="s">
        <v>1621</v>
      </c>
      <c r="X558" t="s">
        <v>96</v>
      </c>
      <c r="Y558" t="s">
        <v>82</v>
      </c>
      <c r="Z558" t="s">
        <v>146</v>
      </c>
    </row>
    <row r="559" spans="1:26" x14ac:dyDescent="0.25">
      <c r="A559" t="s">
        <v>2270</v>
      </c>
      <c r="B559" t="s">
        <v>2271</v>
      </c>
      <c r="C559" s="4" t="s">
        <v>1279</v>
      </c>
      <c r="D559" t="s">
        <v>2267</v>
      </c>
      <c r="E559" t="s">
        <v>14</v>
      </c>
      <c r="F559" t="s">
        <v>85</v>
      </c>
      <c r="G559" t="s">
        <v>111</v>
      </c>
      <c r="H559" t="s">
        <v>78</v>
      </c>
      <c r="I559" t="s">
        <v>102</v>
      </c>
      <c r="J559" t="s">
        <v>546</v>
      </c>
      <c r="K559" t="s">
        <v>1630</v>
      </c>
      <c r="L559" t="s">
        <v>89</v>
      </c>
      <c r="M559" t="s">
        <v>318</v>
      </c>
      <c r="N559" t="s">
        <v>1462</v>
      </c>
      <c r="O559" t="s">
        <v>2268</v>
      </c>
      <c r="P559" t="s">
        <v>2272</v>
      </c>
      <c r="Q559" t="s">
        <v>102</v>
      </c>
      <c r="R559" t="s">
        <v>78</v>
      </c>
      <c r="S559" t="s">
        <v>1632</v>
      </c>
      <c r="T559" t="s">
        <v>2271</v>
      </c>
      <c r="U559" t="s">
        <v>322</v>
      </c>
      <c r="V559" t="s">
        <v>82</v>
      </c>
      <c r="W559" t="s">
        <v>1621</v>
      </c>
      <c r="X559" t="s">
        <v>96</v>
      </c>
      <c r="Y559" t="s">
        <v>82</v>
      </c>
      <c r="Z559" t="s">
        <v>146</v>
      </c>
    </row>
    <row r="560" spans="1:26" x14ac:dyDescent="0.25">
      <c r="A560" t="s">
        <v>2273</v>
      </c>
      <c r="B560" t="s">
        <v>2274</v>
      </c>
      <c r="C560" s="4" t="s">
        <v>2032</v>
      </c>
      <c r="D560" t="s">
        <v>2275</v>
      </c>
      <c r="E560" t="s">
        <v>14</v>
      </c>
      <c r="F560" t="s">
        <v>85</v>
      </c>
      <c r="G560" t="s">
        <v>111</v>
      </c>
      <c r="H560" t="s">
        <v>78</v>
      </c>
      <c r="I560" t="s">
        <v>86</v>
      </c>
      <c r="J560" t="s">
        <v>87</v>
      </c>
      <c r="K560" t="s">
        <v>1236</v>
      </c>
      <c r="L560" t="s">
        <v>89</v>
      </c>
      <c r="M560" t="s">
        <v>318</v>
      </c>
      <c r="N560" t="s">
        <v>1701</v>
      </c>
      <c r="O560" t="s">
        <v>2276</v>
      </c>
      <c r="P560" t="s">
        <v>2277</v>
      </c>
      <c r="Q560" t="s">
        <v>102</v>
      </c>
      <c r="R560" t="s">
        <v>128</v>
      </c>
      <c r="S560" t="s">
        <v>1981</v>
      </c>
      <c r="T560" t="s">
        <v>2274</v>
      </c>
      <c r="U560" t="s">
        <v>322</v>
      </c>
      <c r="V560" t="s">
        <v>82</v>
      </c>
      <c r="W560" t="s">
        <v>2278</v>
      </c>
      <c r="X560" t="s">
        <v>96</v>
      </c>
      <c r="Y560" t="s">
        <v>82</v>
      </c>
      <c r="Z560" t="s">
        <v>146</v>
      </c>
    </row>
    <row r="561" spans="1:26" x14ac:dyDescent="0.25">
      <c r="A561" t="s">
        <v>2279</v>
      </c>
      <c r="B561" t="s">
        <v>2280</v>
      </c>
      <c r="C561" s="4" t="s">
        <v>2032</v>
      </c>
      <c r="D561" t="s">
        <v>2275</v>
      </c>
      <c r="E561" t="s">
        <v>14</v>
      </c>
      <c r="F561" t="s">
        <v>85</v>
      </c>
      <c r="G561" t="s">
        <v>111</v>
      </c>
      <c r="H561" t="s">
        <v>78</v>
      </c>
      <c r="I561" t="s">
        <v>86</v>
      </c>
      <c r="J561" t="s">
        <v>1053</v>
      </c>
      <c r="K561" t="s">
        <v>1236</v>
      </c>
      <c r="L561" t="s">
        <v>89</v>
      </c>
      <c r="M561" t="s">
        <v>318</v>
      </c>
      <c r="N561" t="s">
        <v>1701</v>
      </c>
      <c r="O561" t="s">
        <v>2276</v>
      </c>
      <c r="P561" t="s">
        <v>2281</v>
      </c>
      <c r="Q561" t="s">
        <v>102</v>
      </c>
      <c r="R561" t="s">
        <v>128</v>
      </c>
      <c r="S561" t="s">
        <v>1981</v>
      </c>
      <c r="T561" t="s">
        <v>2280</v>
      </c>
      <c r="U561" t="s">
        <v>322</v>
      </c>
      <c r="V561" t="s">
        <v>82</v>
      </c>
      <c r="W561" t="s">
        <v>2278</v>
      </c>
      <c r="X561" t="s">
        <v>96</v>
      </c>
      <c r="Y561" t="s">
        <v>82</v>
      </c>
      <c r="Z561" t="s">
        <v>146</v>
      </c>
    </row>
    <row r="562" spans="1:26" x14ac:dyDescent="0.25">
      <c r="A562" t="s">
        <v>2282</v>
      </c>
      <c r="B562" t="s">
        <v>2283</v>
      </c>
      <c r="C562" s="4" t="s">
        <v>2032</v>
      </c>
      <c r="D562" t="s">
        <v>2275</v>
      </c>
      <c r="E562" t="s">
        <v>14</v>
      </c>
      <c r="F562" t="s">
        <v>85</v>
      </c>
      <c r="G562" t="s">
        <v>111</v>
      </c>
      <c r="H562" t="s">
        <v>78</v>
      </c>
      <c r="I562" t="s">
        <v>86</v>
      </c>
      <c r="J562" t="s">
        <v>30</v>
      </c>
      <c r="K562" t="s">
        <v>1236</v>
      </c>
      <c r="L562" t="s">
        <v>89</v>
      </c>
      <c r="M562" t="s">
        <v>318</v>
      </c>
      <c r="N562" t="s">
        <v>1701</v>
      </c>
      <c r="O562" t="s">
        <v>2276</v>
      </c>
      <c r="P562" t="s">
        <v>2284</v>
      </c>
      <c r="Q562" t="s">
        <v>102</v>
      </c>
      <c r="R562" t="s">
        <v>128</v>
      </c>
      <c r="S562" t="s">
        <v>1981</v>
      </c>
      <c r="T562" t="s">
        <v>2283</v>
      </c>
      <c r="U562" t="s">
        <v>322</v>
      </c>
      <c r="V562" t="s">
        <v>82</v>
      </c>
      <c r="W562" t="s">
        <v>2278</v>
      </c>
      <c r="X562" t="s">
        <v>96</v>
      </c>
      <c r="Y562" t="s">
        <v>82</v>
      </c>
      <c r="Z562" t="s">
        <v>146</v>
      </c>
    </row>
    <row r="563" spans="1:26" x14ac:dyDescent="0.25">
      <c r="A563" t="s">
        <v>2285</v>
      </c>
      <c r="B563" t="s">
        <v>2286</v>
      </c>
      <c r="C563" s="4" t="s">
        <v>2032</v>
      </c>
      <c r="D563" t="s">
        <v>2275</v>
      </c>
      <c r="E563" t="s">
        <v>14</v>
      </c>
      <c r="F563" t="s">
        <v>85</v>
      </c>
      <c r="G563" t="s">
        <v>111</v>
      </c>
      <c r="H563" t="s">
        <v>78</v>
      </c>
      <c r="I563" t="s">
        <v>86</v>
      </c>
      <c r="J563" t="s">
        <v>32</v>
      </c>
      <c r="K563" t="s">
        <v>1236</v>
      </c>
      <c r="L563" t="s">
        <v>89</v>
      </c>
      <c r="M563" t="s">
        <v>318</v>
      </c>
      <c r="N563" t="s">
        <v>1701</v>
      </c>
      <c r="O563" t="s">
        <v>2287</v>
      </c>
      <c r="P563" t="s">
        <v>2288</v>
      </c>
      <c r="Q563" t="s">
        <v>102</v>
      </c>
      <c r="R563" t="s">
        <v>128</v>
      </c>
      <c r="S563" t="s">
        <v>1981</v>
      </c>
      <c r="T563" t="s">
        <v>2286</v>
      </c>
      <c r="U563" t="s">
        <v>322</v>
      </c>
      <c r="V563" t="s">
        <v>82</v>
      </c>
      <c r="W563" t="s">
        <v>2278</v>
      </c>
      <c r="X563" t="s">
        <v>96</v>
      </c>
      <c r="Y563" t="s">
        <v>82</v>
      </c>
      <c r="Z563" t="s">
        <v>146</v>
      </c>
    </row>
    <row r="564" spans="1:26" x14ac:dyDescent="0.25">
      <c r="A564" t="s">
        <v>2137</v>
      </c>
      <c r="B564" t="s">
        <v>2289</v>
      </c>
      <c r="C564" s="4" t="s">
        <v>2030</v>
      </c>
      <c r="D564" t="s">
        <v>2275</v>
      </c>
      <c r="E564" t="s">
        <v>14</v>
      </c>
      <c r="F564" t="s">
        <v>85</v>
      </c>
      <c r="G564" t="s">
        <v>111</v>
      </c>
      <c r="H564" t="s">
        <v>78</v>
      </c>
      <c r="I564" t="s">
        <v>86</v>
      </c>
      <c r="J564" t="s">
        <v>32</v>
      </c>
      <c r="K564" t="s">
        <v>1925</v>
      </c>
      <c r="L564" t="s">
        <v>89</v>
      </c>
      <c r="M564" t="s">
        <v>318</v>
      </c>
      <c r="N564" t="s">
        <v>1701</v>
      </c>
      <c r="O564" t="s">
        <v>2290</v>
      </c>
      <c r="P564" t="s">
        <v>2291</v>
      </c>
      <c r="Q564" t="s">
        <v>102</v>
      </c>
      <c r="R564" t="s">
        <v>128</v>
      </c>
      <c r="S564" t="s">
        <v>2292</v>
      </c>
      <c r="T564" t="s">
        <v>2289</v>
      </c>
      <c r="U564" t="s">
        <v>322</v>
      </c>
      <c r="V564" t="s">
        <v>82</v>
      </c>
      <c r="W564" t="s">
        <v>2293</v>
      </c>
      <c r="X564" t="s">
        <v>96</v>
      </c>
      <c r="Y564" t="s">
        <v>82</v>
      </c>
      <c r="Z564" t="s">
        <v>146</v>
      </c>
    </row>
    <row r="565" spans="1:26" x14ac:dyDescent="0.25">
      <c r="A565" t="s">
        <v>2294</v>
      </c>
      <c r="B565" t="s">
        <v>2295</v>
      </c>
      <c r="C565" s="4" t="s">
        <v>2030</v>
      </c>
      <c r="D565" t="s">
        <v>2275</v>
      </c>
      <c r="E565" t="s">
        <v>14</v>
      </c>
      <c r="F565" t="s">
        <v>85</v>
      </c>
      <c r="G565" t="s">
        <v>111</v>
      </c>
      <c r="H565" t="s">
        <v>78</v>
      </c>
      <c r="I565" t="s">
        <v>86</v>
      </c>
      <c r="J565" t="s">
        <v>1053</v>
      </c>
      <c r="K565" t="s">
        <v>1925</v>
      </c>
      <c r="L565" t="s">
        <v>89</v>
      </c>
      <c r="M565" t="s">
        <v>318</v>
      </c>
      <c r="N565" t="s">
        <v>1701</v>
      </c>
      <c r="O565" t="s">
        <v>2296</v>
      </c>
      <c r="P565" t="s">
        <v>2297</v>
      </c>
      <c r="Q565" t="s">
        <v>102</v>
      </c>
      <c r="R565" t="s">
        <v>128</v>
      </c>
      <c r="S565" t="s">
        <v>2292</v>
      </c>
      <c r="T565" t="s">
        <v>2295</v>
      </c>
      <c r="U565" t="s">
        <v>322</v>
      </c>
      <c r="V565" t="s">
        <v>82</v>
      </c>
      <c r="W565" t="s">
        <v>2293</v>
      </c>
      <c r="X565" t="s">
        <v>96</v>
      </c>
      <c r="Y565" t="s">
        <v>82</v>
      </c>
      <c r="Z565" t="s">
        <v>146</v>
      </c>
    </row>
    <row r="566" spans="1:26" x14ac:dyDescent="0.25">
      <c r="A566" t="s">
        <v>2298</v>
      </c>
      <c r="B566" t="s">
        <v>2299</v>
      </c>
      <c r="C566" s="4" t="s">
        <v>2030</v>
      </c>
      <c r="D566" t="s">
        <v>2275</v>
      </c>
      <c r="E566" t="s">
        <v>14</v>
      </c>
      <c r="F566" t="s">
        <v>85</v>
      </c>
      <c r="G566" t="s">
        <v>111</v>
      </c>
      <c r="H566" t="s">
        <v>78</v>
      </c>
      <c r="I566" t="s">
        <v>86</v>
      </c>
      <c r="J566" t="s">
        <v>87</v>
      </c>
      <c r="K566" t="s">
        <v>1925</v>
      </c>
      <c r="L566" t="s">
        <v>89</v>
      </c>
      <c r="M566" t="s">
        <v>318</v>
      </c>
      <c r="N566" t="s">
        <v>1701</v>
      </c>
      <c r="O566" t="s">
        <v>2296</v>
      </c>
      <c r="P566" t="s">
        <v>2300</v>
      </c>
      <c r="Q566" t="s">
        <v>102</v>
      </c>
      <c r="R566" t="s">
        <v>128</v>
      </c>
      <c r="S566" t="s">
        <v>2292</v>
      </c>
      <c r="T566" t="s">
        <v>2299</v>
      </c>
      <c r="U566" t="s">
        <v>322</v>
      </c>
      <c r="V566" t="s">
        <v>82</v>
      </c>
      <c r="W566" t="s">
        <v>2293</v>
      </c>
      <c r="X566" t="s">
        <v>96</v>
      </c>
      <c r="Y566" t="s">
        <v>82</v>
      </c>
      <c r="Z566" t="s">
        <v>146</v>
      </c>
    </row>
    <row r="567" spans="1:26" x14ac:dyDescent="0.25">
      <c r="A567" t="s">
        <v>2301</v>
      </c>
      <c r="B567" t="s">
        <v>2302</v>
      </c>
      <c r="C567" s="4" t="s">
        <v>2030</v>
      </c>
      <c r="D567" t="s">
        <v>2275</v>
      </c>
      <c r="E567" t="s">
        <v>14</v>
      </c>
      <c r="F567" t="s">
        <v>85</v>
      </c>
      <c r="G567" t="s">
        <v>111</v>
      </c>
      <c r="H567" t="s">
        <v>78</v>
      </c>
      <c r="I567" t="s">
        <v>86</v>
      </c>
      <c r="J567" t="s">
        <v>1477</v>
      </c>
      <c r="K567" t="s">
        <v>1925</v>
      </c>
      <c r="L567" t="s">
        <v>89</v>
      </c>
      <c r="M567" t="s">
        <v>318</v>
      </c>
      <c r="N567" t="s">
        <v>1701</v>
      </c>
      <c r="O567" t="s">
        <v>2296</v>
      </c>
      <c r="P567" t="s">
        <v>2303</v>
      </c>
      <c r="Q567" t="s">
        <v>102</v>
      </c>
      <c r="R567" t="s">
        <v>128</v>
      </c>
      <c r="S567" t="s">
        <v>2292</v>
      </c>
      <c r="T567" t="s">
        <v>2302</v>
      </c>
      <c r="U567" t="s">
        <v>322</v>
      </c>
      <c r="V567" t="s">
        <v>82</v>
      </c>
      <c r="W567" t="s">
        <v>2293</v>
      </c>
      <c r="X567" t="s">
        <v>96</v>
      </c>
      <c r="Y567" t="s">
        <v>82</v>
      </c>
      <c r="Z567" t="s">
        <v>146</v>
      </c>
    </row>
    <row r="568" spans="1:26" x14ac:dyDescent="0.25">
      <c r="A568" t="s">
        <v>2304</v>
      </c>
      <c r="B568" t="s">
        <v>2305</v>
      </c>
      <c r="C568" s="4" t="s">
        <v>2306</v>
      </c>
      <c r="D568" t="s">
        <v>2307</v>
      </c>
      <c r="E568" t="s">
        <v>14</v>
      </c>
      <c r="F568" t="s">
        <v>83</v>
      </c>
      <c r="G568" t="s">
        <v>84</v>
      </c>
      <c r="H568" t="s">
        <v>78</v>
      </c>
      <c r="I568" t="s">
        <v>86</v>
      </c>
      <c r="J568" t="s">
        <v>1477</v>
      </c>
      <c r="K568" t="s">
        <v>1357</v>
      </c>
      <c r="L568" t="s">
        <v>89</v>
      </c>
      <c r="M568" t="s">
        <v>318</v>
      </c>
      <c r="N568" t="s">
        <v>420</v>
      </c>
      <c r="O568" t="s">
        <v>2308</v>
      </c>
      <c r="P568" t="s">
        <v>2308</v>
      </c>
      <c r="Q568" t="s">
        <v>102</v>
      </c>
      <c r="R568" t="s">
        <v>128</v>
      </c>
      <c r="S568" t="s">
        <v>679</v>
      </c>
      <c r="T568" t="s">
        <v>2305</v>
      </c>
      <c r="U568" t="s">
        <v>322</v>
      </c>
      <c r="V568" t="s">
        <v>82</v>
      </c>
      <c r="W568" t="s">
        <v>1673</v>
      </c>
      <c r="X568" t="s">
        <v>96</v>
      </c>
      <c r="Y568" t="s">
        <v>82</v>
      </c>
      <c r="Z568" t="s">
        <v>146</v>
      </c>
    </row>
    <row r="569" spans="1:26" x14ac:dyDescent="0.25">
      <c r="A569" t="s">
        <v>2309</v>
      </c>
      <c r="B569" t="s">
        <v>2310</v>
      </c>
      <c r="C569" s="4" t="s">
        <v>2306</v>
      </c>
      <c r="D569" t="s">
        <v>2307</v>
      </c>
      <c r="E569" t="s">
        <v>14</v>
      </c>
      <c r="F569" t="s">
        <v>83</v>
      </c>
      <c r="G569" t="s">
        <v>84</v>
      </c>
      <c r="H569" t="s">
        <v>78</v>
      </c>
      <c r="I569" t="s">
        <v>86</v>
      </c>
      <c r="J569" t="s">
        <v>32</v>
      </c>
      <c r="K569" t="s">
        <v>1357</v>
      </c>
      <c r="L569" t="s">
        <v>89</v>
      </c>
      <c r="M569" t="s">
        <v>318</v>
      </c>
      <c r="N569" t="s">
        <v>420</v>
      </c>
      <c r="O569" t="s">
        <v>2308</v>
      </c>
      <c r="P569" t="s">
        <v>2308</v>
      </c>
      <c r="Q569" t="s">
        <v>102</v>
      </c>
      <c r="R569" t="s">
        <v>128</v>
      </c>
      <c r="S569" t="s">
        <v>679</v>
      </c>
      <c r="T569" t="s">
        <v>2310</v>
      </c>
      <c r="U569" t="s">
        <v>322</v>
      </c>
      <c r="V569" t="s">
        <v>82</v>
      </c>
      <c r="W569" t="s">
        <v>1673</v>
      </c>
      <c r="X569" t="s">
        <v>96</v>
      </c>
      <c r="Y569" t="s">
        <v>82</v>
      </c>
      <c r="Z569" t="s">
        <v>146</v>
      </c>
    </row>
    <row r="570" spans="1:26" x14ac:dyDescent="0.25">
      <c r="A570" t="s">
        <v>2311</v>
      </c>
      <c r="B570" t="s">
        <v>2312</v>
      </c>
      <c r="C570" s="4" t="s">
        <v>2306</v>
      </c>
      <c r="D570" t="s">
        <v>2307</v>
      </c>
      <c r="E570" t="s">
        <v>14</v>
      </c>
      <c r="F570" t="s">
        <v>83</v>
      </c>
      <c r="G570" t="s">
        <v>84</v>
      </c>
      <c r="H570" t="s">
        <v>78</v>
      </c>
      <c r="I570" t="s">
        <v>86</v>
      </c>
      <c r="J570" t="s">
        <v>1053</v>
      </c>
      <c r="K570" t="s">
        <v>1357</v>
      </c>
      <c r="L570" t="s">
        <v>89</v>
      </c>
      <c r="M570" t="s">
        <v>318</v>
      </c>
      <c r="N570" t="s">
        <v>420</v>
      </c>
      <c r="O570" t="s">
        <v>2308</v>
      </c>
      <c r="P570" t="s">
        <v>2308</v>
      </c>
      <c r="Q570" t="s">
        <v>102</v>
      </c>
      <c r="R570" t="s">
        <v>128</v>
      </c>
      <c r="S570" t="s">
        <v>679</v>
      </c>
      <c r="T570" t="s">
        <v>2312</v>
      </c>
      <c r="U570" t="s">
        <v>322</v>
      </c>
      <c r="V570" t="s">
        <v>82</v>
      </c>
      <c r="W570" t="s">
        <v>1673</v>
      </c>
      <c r="X570" t="s">
        <v>96</v>
      </c>
      <c r="Y570" t="s">
        <v>82</v>
      </c>
      <c r="Z570" t="s">
        <v>146</v>
      </c>
    </row>
    <row r="571" spans="1:26" x14ac:dyDescent="0.25">
      <c r="A571" t="s">
        <v>2313</v>
      </c>
      <c r="B571" t="s">
        <v>2314</v>
      </c>
      <c r="C571" s="4" t="s">
        <v>2306</v>
      </c>
      <c r="D571" t="s">
        <v>2307</v>
      </c>
      <c r="E571" t="s">
        <v>14</v>
      </c>
      <c r="F571" t="s">
        <v>83</v>
      </c>
      <c r="G571" t="s">
        <v>84</v>
      </c>
      <c r="H571" t="s">
        <v>78</v>
      </c>
      <c r="I571" t="s">
        <v>86</v>
      </c>
      <c r="J571" t="s">
        <v>87</v>
      </c>
      <c r="K571" t="s">
        <v>1357</v>
      </c>
      <c r="L571" t="s">
        <v>89</v>
      </c>
      <c r="M571" t="s">
        <v>318</v>
      </c>
      <c r="N571" t="s">
        <v>420</v>
      </c>
      <c r="O571" t="s">
        <v>2308</v>
      </c>
      <c r="P571" t="s">
        <v>2308</v>
      </c>
      <c r="Q571" t="s">
        <v>102</v>
      </c>
      <c r="R571" t="s">
        <v>128</v>
      </c>
      <c r="S571" t="s">
        <v>679</v>
      </c>
      <c r="T571" t="s">
        <v>2314</v>
      </c>
      <c r="U571" t="s">
        <v>322</v>
      </c>
      <c r="V571" t="s">
        <v>82</v>
      </c>
      <c r="W571" t="s">
        <v>1673</v>
      </c>
      <c r="X571" t="s">
        <v>96</v>
      </c>
      <c r="Y571" t="s">
        <v>82</v>
      </c>
      <c r="Z571" t="s">
        <v>146</v>
      </c>
    </row>
    <row r="572" spans="1:26" x14ac:dyDescent="0.25">
      <c r="A572" t="s">
        <v>2315</v>
      </c>
      <c r="B572" t="s">
        <v>2316</v>
      </c>
      <c r="C572" s="4" t="s">
        <v>1452</v>
      </c>
      <c r="D572" t="s">
        <v>2317</v>
      </c>
      <c r="E572" t="s">
        <v>14</v>
      </c>
      <c r="F572" t="s">
        <v>105</v>
      </c>
      <c r="G572" t="s">
        <v>106</v>
      </c>
      <c r="H572" t="s">
        <v>78</v>
      </c>
      <c r="I572" t="s">
        <v>86</v>
      </c>
      <c r="J572" t="s">
        <v>17</v>
      </c>
      <c r="K572" t="s">
        <v>604</v>
      </c>
      <c r="L572" t="s">
        <v>89</v>
      </c>
      <c r="M572" t="s">
        <v>318</v>
      </c>
      <c r="N572" t="s">
        <v>815</v>
      </c>
      <c r="O572" t="s">
        <v>2318</v>
      </c>
      <c r="P572" t="s">
        <v>2318</v>
      </c>
      <c r="Q572" t="s">
        <v>102</v>
      </c>
      <c r="R572" t="s">
        <v>84</v>
      </c>
      <c r="S572" t="s">
        <v>1745</v>
      </c>
      <c r="T572" t="s">
        <v>2316</v>
      </c>
      <c r="U572" t="s">
        <v>322</v>
      </c>
      <c r="V572" t="s">
        <v>82</v>
      </c>
      <c r="W572" t="s">
        <v>802</v>
      </c>
      <c r="X572" t="s">
        <v>96</v>
      </c>
      <c r="Y572" t="s">
        <v>82</v>
      </c>
      <c r="Z572" t="s">
        <v>82</v>
      </c>
    </row>
    <row r="573" spans="1:26" x14ac:dyDescent="0.25">
      <c r="A573" t="s">
        <v>2319</v>
      </c>
      <c r="B573" t="s">
        <v>2320</v>
      </c>
      <c r="C573" s="4" t="s">
        <v>1452</v>
      </c>
      <c r="D573" t="s">
        <v>2317</v>
      </c>
      <c r="E573" t="s">
        <v>14</v>
      </c>
      <c r="F573" t="s">
        <v>105</v>
      </c>
      <c r="G573" t="s">
        <v>106</v>
      </c>
      <c r="H573" t="s">
        <v>78</v>
      </c>
      <c r="I573" t="s">
        <v>86</v>
      </c>
      <c r="J573" t="s">
        <v>30</v>
      </c>
      <c r="K573" t="s">
        <v>604</v>
      </c>
      <c r="L573" t="s">
        <v>89</v>
      </c>
      <c r="M573" t="s">
        <v>318</v>
      </c>
      <c r="N573" t="s">
        <v>815</v>
      </c>
      <c r="O573" t="s">
        <v>2321</v>
      </c>
      <c r="P573" t="s">
        <v>2321</v>
      </c>
      <c r="Q573" t="s">
        <v>102</v>
      </c>
      <c r="R573" t="s">
        <v>84</v>
      </c>
      <c r="S573" t="s">
        <v>1745</v>
      </c>
      <c r="T573" t="s">
        <v>2320</v>
      </c>
      <c r="U573" t="s">
        <v>322</v>
      </c>
      <c r="V573" t="s">
        <v>82</v>
      </c>
      <c r="W573" t="s">
        <v>802</v>
      </c>
      <c r="X573" t="s">
        <v>96</v>
      </c>
      <c r="Y573" t="s">
        <v>82</v>
      </c>
      <c r="Z573" t="s">
        <v>82</v>
      </c>
    </row>
    <row r="574" spans="1:26" x14ac:dyDescent="0.25">
      <c r="A574" t="s">
        <v>2322</v>
      </c>
      <c r="B574" t="s">
        <v>2323</v>
      </c>
      <c r="C574" s="4" t="s">
        <v>1452</v>
      </c>
      <c r="D574" t="s">
        <v>2317</v>
      </c>
      <c r="E574" t="s">
        <v>14</v>
      </c>
      <c r="F574" t="s">
        <v>105</v>
      </c>
      <c r="G574" t="s">
        <v>106</v>
      </c>
      <c r="H574" t="s">
        <v>78</v>
      </c>
      <c r="I574" t="s">
        <v>86</v>
      </c>
      <c r="J574" t="s">
        <v>32</v>
      </c>
      <c r="K574" t="s">
        <v>604</v>
      </c>
      <c r="L574" t="s">
        <v>89</v>
      </c>
      <c r="M574" t="s">
        <v>318</v>
      </c>
      <c r="N574" t="s">
        <v>815</v>
      </c>
      <c r="O574" t="s">
        <v>2321</v>
      </c>
      <c r="P574" t="s">
        <v>2321</v>
      </c>
      <c r="Q574" t="s">
        <v>102</v>
      </c>
      <c r="R574" t="s">
        <v>84</v>
      </c>
      <c r="S574" t="s">
        <v>1745</v>
      </c>
      <c r="T574" t="s">
        <v>2323</v>
      </c>
      <c r="U574" t="s">
        <v>322</v>
      </c>
      <c r="V574" t="s">
        <v>82</v>
      </c>
      <c r="W574" t="s">
        <v>802</v>
      </c>
      <c r="X574" t="s">
        <v>96</v>
      </c>
      <c r="Y574" t="s">
        <v>82</v>
      </c>
      <c r="Z574" t="s">
        <v>82</v>
      </c>
    </row>
    <row r="575" spans="1:26" x14ac:dyDescent="0.25">
      <c r="A575" t="s">
        <v>2324</v>
      </c>
      <c r="B575" t="s">
        <v>2325</v>
      </c>
      <c r="C575" s="4" t="s">
        <v>1452</v>
      </c>
      <c r="D575" t="s">
        <v>2317</v>
      </c>
      <c r="E575" t="s">
        <v>14</v>
      </c>
      <c r="F575" t="s">
        <v>105</v>
      </c>
      <c r="G575" t="s">
        <v>106</v>
      </c>
      <c r="H575" t="s">
        <v>78</v>
      </c>
      <c r="I575" t="s">
        <v>86</v>
      </c>
      <c r="J575" t="s">
        <v>1530</v>
      </c>
      <c r="K575" t="s">
        <v>604</v>
      </c>
      <c r="L575" t="s">
        <v>89</v>
      </c>
      <c r="M575" t="s">
        <v>318</v>
      </c>
      <c r="N575" t="s">
        <v>815</v>
      </c>
      <c r="O575" t="s">
        <v>2321</v>
      </c>
      <c r="P575" t="s">
        <v>2321</v>
      </c>
      <c r="Q575" t="s">
        <v>102</v>
      </c>
      <c r="R575" t="s">
        <v>84</v>
      </c>
      <c r="S575" t="s">
        <v>1745</v>
      </c>
      <c r="T575" t="s">
        <v>2325</v>
      </c>
      <c r="U575" t="s">
        <v>322</v>
      </c>
      <c r="V575" t="s">
        <v>82</v>
      </c>
      <c r="W575" t="s">
        <v>802</v>
      </c>
      <c r="X575" t="s">
        <v>96</v>
      </c>
      <c r="Y575" t="s">
        <v>82</v>
      </c>
      <c r="Z575" t="s">
        <v>82</v>
      </c>
    </row>
    <row r="576" spans="1:26" x14ac:dyDescent="0.25">
      <c r="A576" t="s">
        <v>2326</v>
      </c>
      <c r="B576" t="s">
        <v>2327</v>
      </c>
      <c r="C576" s="4" t="s">
        <v>1452</v>
      </c>
      <c r="D576" t="s">
        <v>2328</v>
      </c>
      <c r="E576" t="s">
        <v>14</v>
      </c>
      <c r="F576" t="s">
        <v>83</v>
      </c>
      <c r="G576" t="s">
        <v>84</v>
      </c>
      <c r="H576" t="s">
        <v>78</v>
      </c>
      <c r="I576" t="s">
        <v>86</v>
      </c>
      <c r="J576" t="s">
        <v>1530</v>
      </c>
      <c r="K576" t="s">
        <v>1779</v>
      </c>
      <c r="L576" t="s">
        <v>89</v>
      </c>
      <c r="M576" t="s">
        <v>318</v>
      </c>
      <c r="N576" t="s">
        <v>347</v>
      </c>
      <c r="O576" t="s">
        <v>2329</v>
      </c>
      <c r="P576" t="s">
        <v>2329</v>
      </c>
      <c r="Q576" t="s">
        <v>102</v>
      </c>
      <c r="R576" t="s">
        <v>84</v>
      </c>
      <c r="S576" t="s">
        <v>1782</v>
      </c>
      <c r="T576" t="s">
        <v>2327</v>
      </c>
      <c r="U576" t="s">
        <v>322</v>
      </c>
      <c r="V576" t="s">
        <v>82</v>
      </c>
      <c r="W576" t="s">
        <v>1783</v>
      </c>
      <c r="X576" t="s">
        <v>96</v>
      </c>
      <c r="Y576" t="s">
        <v>82</v>
      </c>
      <c r="Z576" t="s">
        <v>82</v>
      </c>
    </row>
    <row r="577" spans="1:26" x14ac:dyDescent="0.25">
      <c r="A577" t="s">
        <v>2330</v>
      </c>
      <c r="B577" t="s">
        <v>2331</v>
      </c>
      <c r="C577" s="4" t="s">
        <v>1452</v>
      </c>
      <c r="D577" t="s">
        <v>2328</v>
      </c>
      <c r="E577" t="s">
        <v>14</v>
      </c>
      <c r="F577" t="s">
        <v>83</v>
      </c>
      <c r="G577" t="s">
        <v>84</v>
      </c>
      <c r="H577" t="s">
        <v>78</v>
      </c>
      <c r="I577" t="s">
        <v>86</v>
      </c>
      <c r="J577" t="s">
        <v>32</v>
      </c>
      <c r="K577" t="s">
        <v>1779</v>
      </c>
      <c r="L577" t="s">
        <v>89</v>
      </c>
      <c r="M577" t="s">
        <v>318</v>
      </c>
      <c r="N577" t="s">
        <v>347</v>
      </c>
      <c r="O577" t="s">
        <v>2329</v>
      </c>
      <c r="P577" t="s">
        <v>2329</v>
      </c>
      <c r="Q577" t="s">
        <v>102</v>
      </c>
      <c r="R577" t="s">
        <v>84</v>
      </c>
      <c r="S577" t="s">
        <v>1782</v>
      </c>
      <c r="T577" t="s">
        <v>2331</v>
      </c>
      <c r="U577" t="s">
        <v>322</v>
      </c>
      <c r="V577" t="s">
        <v>82</v>
      </c>
      <c r="W577" t="s">
        <v>1783</v>
      </c>
      <c r="X577" t="s">
        <v>96</v>
      </c>
      <c r="Y577" t="s">
        <v>82</v>
      </c>
      <c r="Z577" t="s">
        <v>82</v>
      </c>
    </row>
    <row r="578" spans="1:26" x14ac:dyDescent="0.25">
      <c r="A578" t="s">
        <v>2332</v>
      </c>
      <c r="B578" t="s">
        <v>2333</v>
      </c>
      <c r="C578" s="4" t="s">
        <v>1452</v>
      </c>
      <c r="D578" t="s">
        <v>2328</v>
      </c>
      <c r="E578" t="s">
        <v>14</v>
      </c>
      <c r="F578" t="s">
        <v>83</v>
      </c>
      <c r="G578" t="s">
        <v>84</v>
      </c>
      <c r="H578" t="s">
        <v>78</v>
      </c>
      <c r="I578" t="s">
        <v>86</v>
      </c>
      <c r="J578" t="s">
        <v>17</v>
      </c>
      <c r="K578" t="s">
        <v>1779</v>
      </c>
      <c r="L578" t="s">
        <v>89</v>
      </c>
      <c r="M578" t="s">
        <v>318</v>
      </c>
      <c r="N578" t="s">
        <v>347</v>
      </c>
      <c r="O578" t="s">
        <v>2334</v>
      </c>
      <c r="P578" t="s">
        <v>2334</v>
      </c>
      <c r="Q578" t="s">
        <v>102</v>
      </c>
      <c r="R578" t="s">
        <v>84</v>
      </c>
      <c r="S578" t="s">
        <v>1782</v>
      </c>
      <c r="T578" t="s">
        <v>2333</v>
      </c>
      <c r="U578" t="s">
        <v>322</v>
      </c>
      <c r="V578" t="s">
        <v>82</v>
      </c>
      <c r="W578" t="s">
        <v>1783</v>
      </c>
      <c r="X578" t="s">
        <v>96</v>
      </c>
      <c r="Y578" t="s">
        <v>82</v>
      </c>
      <c r="Z578" t="s">
        <v>82</v>
      </c>
    </row>
    <row r="579" spans="1:26" x14ac:dyDescent="0.25">
      <c r="A579" t="s">
        <v>2335</v>
      </c>
      <c r="B579" t="s">
        <v>2336</v>
      </c>
      <c r="C579" s="4" t="s">
        <v>1452</v>
      </c>
      <c r="D579" t="s">
        <v>2328</v>
      </c>
      <c r="E579" t="s">
        <v>14</v>
      </c>
      <c r="F579" t="s">
        <v>83</v>
      </c>
      <c r="G579" t="s">
        <v>84</v>
      </c>
      <c r="H579" t="s">
        <v>78</v>
      </c>
      <c r="I579" t="s">
        <v>86</v>
      </c>
      <c r="J579" t="s">
        <v>30</v>
      </c>
      <c r="K579" t="s">
        <v>1779</v>
      </c>
      <c r="L579" t="s">
        <v>89</v>
      </c>
      <c r="M579" t="s">
        <v>318</v>
      </c>
      <c r="N579" t="s">
        <v>347</v>
      </c>
      <c r="O579" t="s">
        <v>2334</v>
      </c>
      <c r="P579" t="s">
        <v>2334</v>
      </c>
      <c r="Q579" t="s">
        <v>102</v>
      </c>
      <c r="R579" t="s">
        <v>84</v>
      </c>
      <c r="S579" t="s">
        <v>1782</v>
      </c>
      <c r="T579" t="s">
        <v>2336</v>
      </c>
      <c r="U579" t="s">
        <v>322</v>
      </c>
      <c r="V579" t="s">
        <v>82</v>
      </c>
      <c r="W579" t="s">
        <v>1783</v>
      </c>
      <c r="X579" t="s">
        <v>96</v>
      </c>
      <c r="Y579" t="s">
        <v>82</v>
      </c>
      <c r="Z579" t="s">
        <v>82</v>
      </c>
    </row>
    <row r="580" spans="1:26" x14ac:dyDescent="0.25">
      <c r="A580" t="s">
        <v>2337</v>
      </c>
      <c r="B580" t="s">
        <v>2338</v>
      </c>
      <c r="C580" s="4" t="s">
        <v>2339</v>
      </c>
      <c r="D580" t="s">
        <v>2340</v>
      </c>
      <c r="E580" t="s">
        <v>14</v>
      </c>
      <c r="F580" t="s">
        <v>111</v>
      </c>
      <c r="G580" t="s">
        <v>124</v>
      </c>
      <c r="H580" t="s">
        <v>78</v>
      </c>
      <c r="I580" t="s">
        <v>102</v>
      </c>
      <c r="J580" t="s">
        <v>15</v>
      </c>
      <c r="K580" t="s">
        <v>2341</v>
      </c>
      <c r="L580" t="s">
        <v>89</v>
      </c>
      <c r="M580" t="s">
        <v>318</v>
      </c>
      <c r="N580" t="s">
        <v>326</v>
      </c>
      <c r="O580" t="s">
        <v>2342</v>
      </c>
      <c r="P580" t="s">
        <v>2343</v>
      </c>
      <c r="Q580" t="s">
        <v>102</v>
      </c>
      <c r="R580" t="s">
        <v>102</v>
      </c>
      <c r="S580" t="s">
        <v>829</v>
      </c>
      <c r="T580" t="s">
        <v>2338</v>
      </c>
      <c r="U580" t="s">
        <v>322</v>
      </c>
      <c r="V580" t="s">
        <v>82</v>
      </c>
      <c r="W580" t="s">
        <v>354</v>
      </c>
      <c r="X580" t="s">
        <v>96</v>
      </c>
      <c r="Y580" t="s">
        <v>82</v>
      </c>
      <c r="Z580" t="s">
        <v>78</v>
      </c>
    </row>
    <row r="581" spans="1:26" x14ac:dyDescent="0.25">
      <c r="A581" t="s">
        <v>2306</v>
      </c>
      <c r="B581" t="s">
        <v>2344</v>
      </c>
      <c r="C581" s="4" t="s">
        <v>2339</v>
      </c>
      <c r="D581" t="s">
        <v>2340</v>
      </c>
      <c r="E581" t="s">
        <v>14</v>
      </c>
      <c r="F581" t="s">
        <v>111</v>
      </c>
      <c r="G581" t="s">
        <v>124</v>
      </c>
      <c r="H581" t="s">
        <v>78</v>
      </c>
      <c r="I581" t="s">
        <v>102</v>
      </c>
      <c r="J581" t="s">
        <v>18</v>
      </c>
      <c r="K581" t="s">
        <v>2341</v>
      </c>
      <c r="L581" t="s">
        <v>89</v>
      </c>
      <c r="M581" t="s">
        <v>318</v>
      </c>
      <c r="N581" t="s">
        <v>326</v>
      </c>
      <c r="O581" t="s">
        <v>2345</v>
      </c>
      <c r="P581" t="s">
        <v>2346</v>
      </c>
      <c r="Q581" t="s">
        <v>102</v>
      </c>
      <c r="R581" t="s">
        <v>102</v>
      </c>
      <c r="S581" t="s">
        <v>829</v>
      </c>
      <c r="T581" t="s">
        <v>2344</v>
      </c>
      <c r="U581" t="s">
        <v>322</v>
      </c>
      <c r="V581" t="s">
        <v>82</v>
      </c>
      <c r="W581" t="s">
        <v>354</v>
      </c>
      <c r="X581" t="s">
        <v>96</v>
      </c>
      <c r="Y581" t="s">
        <v>82</v>
      </c>
      <c r="Z581" t="s">
        <v>82</v>
      </c>
    </row>
    <row r="582" spans="1:26" x14ac:dyDescent="0.25">
      <c r="A582" t="s">
        <v>2347</v>
      </c>
      <c r="B582" t="s">
        <v>2348</v>
      </c>
      <c r="C582" s="4" t="s">
        <v>2339</v>
      </c>
      <c r="D582" t="s">
        <v>2340</v>
      </c>
      <c r="E582" t="s">
        <v>14</v>
      </c>
      <c r="F582" t="s">
        <v>128</v>
      </c>
      <c r="G582" t="s">
        <v>105</v>
      </c>
      <c r="H582" t="s">
        <v>78</v>
      </c>
      <c r="I582" t="s">
        <v>102</v>
      </c>
      <c r="J582" t="s">
        <v>18</v>
      </c>
      <c r="K582" t="s">
        <v>505</v>
      </c>
      <c r="L582" t="s">
        <v>89</v>
      </c>
      <c r="M582" t="s">
        <v>318</v>
      </c>
      <c r="N582" t="s">
        <v>1272</v>
      </c>
      <c r="O582" t="s">
        <v>2349</v>
      </c>
      <c r="P582" t="s">
        <v>2350</v>
      </c>
      <c r="Q582" t="s">
        <v>102</v>
      </c>
      <c r="R582" t="s">
        <v>102</v>
      </c>
      <c r="S582" t="s">
        <v>508</v>
      </c>
      <c r="T582" t="s">
        <v>2348</v>
      </c>
      <c r="U582" t="s">
        <v>322</v>
      </c>
      <c r="V582" t="s">
        <v>82</v>
      </c>
      <c r="W582" t="s">
        <v>1275</v>
      </c>
      <c r="X582" t="s">
        <v>96</v>
      </c>
      <c r="Y582" t="s">
        <v>82</v>
      </c>
      <c r="Z582" t="s">
        <v>82</v>
      </c>
    </row>
    <row r="583" spans="1:26" x14ac:dyDescent="0.25">
      <c r="A583" t="s">
        <v>2351</v>
      </c>
      <c r="B583" t="s">
        <v>2352</v>
      </c>
      <c r="C583" s="4" t="s">
        <v>2339</v>
      </c>
      <c r="D583" t="s">
        <v>2340</v>
      </c>
      <c r="E583" t="s">
        <v>14</v>
      </c>
      <c r="F583" t="s">
        <v>128</v>
      </c>
      <c r="G583" t="s">
        <v>105</v>
      </c>
      <c r="H583" t="s">
        <v>78</v>
      </c>
      <c r="I583" t="s">
        <v>102</v>
      </c>
      <c r="J583" t="s">
        <v>15</v>
      </c>
      <c r="K583" t="s">
        <v>505</v>
      </c>
      <c r="L583" t="s">
        <v>89</v>
      </c>
      <c r="M583" t="s">
        <v>318</v>
      </c>
      <c r="N583" t="s">
        <v>1272</v>
      </c>
      <c r="O583" t="s">
        <v>2349</v>
      </c>
      <c r="P583" t="s">
        <v>2353</v>
      </c>
      <c r="Q583" t="s">
        <v>102</v>
      </c>
      <c r="R583" t="s">
        <v>102</v>
      </c>
      <c r="S583" t="s">
        <v>508</v>
      </c>
      <c r="T583" t="s">
        <v>2352</v>
      </c>
      <c r="U583" t="s">
        <v>322</v>
      </c>
      <c r="V583" t="s">
        <v>82</v>
      </c>
      <c r="W583" t="s">
        <v>1275</v>
      </c>
      <c r="X583" t="s">
        <v>96</v>
      </c>
      <c r="Y583" t="s">
        <v>82</v>
      </c>
      <c r="Z583" t="s">
        <v>82</v>
      </c>
    </row>
    <row r="584" spans="1:26" x14ac:dyDescent="0.25">
      <c r="A584" t="s">
        <v>2354</v>
      </c>
      <c r="B584" t="s">
        <v>2355</v>
      </c>
      <c r="C584" s="4" t="s">
        <v>2339</v>
      </c>
      <c r="D584" t="s">
        <v>2340</v>
      </c>
      <c r="E584" t="s">
        <v>14</v>
      </c>
      <c r="F584" t="s">
        <v>143</v>
      </c>
      <c r="G584" t="s">
        <v>106</v>
      </c>
      <c r="H584" t="s">
        <v>78</v>
      </c>
      <c r="I584" t="s">
        <v>102</v>
      </c>
      <c r="J584" t="s">
        <v>15</v>
      </c>
      <c r="K584" t="s">
        <v>1091</v>
      </c>
      <c r="L584" t="s">
        <v>89</v>
      </c>
      <c r="M584" t="s">
        <v>318</v>
      </c>
      <c r="N584" t="s">
        <v>2356</v>
      </c>
      <c r="O584" t="s">
        <v>2357</v>
      </c>
      <c r="P584" t="s">
        <v>2358</v>
      </c>
      <c r="Q584" t="s">
        <v>102</v>
      </c>
      <c r="R584" t="s">
        <v>102</v>
      </c>
      <c r="S584" t="s">
        <v>1384</v>
      </c>
      <c r="T584" t="s">
        <v>2355</v>
      </c>
      <c r="U584" t="s">
        <v>322</v>
      </c>
      <c r="V584" t="s">
        <v>82</v>
      </c>
      <c r="W584" t="s">
        <v>2359</v>
      </c>
      <c r="X584" t="s">
        <v>96</v>
      </c>
      <c r="Y584" t="s">
        <v>82</v>
      </c>
      <c r="Z584" t="s">
        <v>82</v>
      </c>
    </row>
    <row r="585" spans="1:26" x14ac:dyDescent="0.25">
      <c r="A585" t="s">
        <v>2360</v>
      </c>
      <c r="B585" t="s">
        <v>2361</v>
      </c>
      <c r="C585" s="4" t="s">
        <v>2339</v>
      </c>
      <c r="D585" t="s">
        <v>2340</v>
      </c>
      <c r="E585" t="s">
        <v>14</v>
      </c>
      <c r="F585" t="s">
        <v>143</v>
      </c>
      <c r="G585" t="s">
        <v>106</v>
      </c>
      <c r="H585" t="s">
        <v>78</v>
      </c>
      <c r="I585" t="s">
        <v>102</v>
      </c>
      <c r="J585" t="s">
        <v>18</v>
      </c>
      <c r="K585" t="s">
        <v>1091</v>
      </c>
      <c r="L585" t="s">
        <v>89</v>
      </c>
      <c r="M585" t="s">
        <v>318</v>
      </c>
      <c r="N585" t="s">
        <v>2356</v>
      </c>
      <c r="O585" t="s">
        <v>2357</v>
      </c>
      <c r="P585" t="s">
        <v>2362</v>
      </c>
      <c r="Q585" t="s">
        <v>102</v>
      </c>
      <c r="R585" t="s">
        <v>102</v>
      </c>
      <c r="S585" t="s">
        <v>1384</v>
      </c>
      <c r="T585" t="s">
        <v>2361</v>
      </c>
      <c r="U585" t="s">
        <v>322</v>
      </c>
      <c r="V585" t="s">
        <v>82</v>
      </c>
      <c r="W585" t="s">
        <v>2359</v>
      </c>
      <c r="X585" t="s">
        <v>96</v>
      </c>
      <c r="Y585" t="s">
        <v>82</v>
      </c>
      <c r="Z585" t="s">
        <v>82</v>
      </c>
    </row>
    <row r="586" spans="1:26" x14ac:dyDescent="0.25">
      <c r="A586" t="s">
        <v>2363</v>
      </c>
      <c r="B586" t="s">
        <v>2364</v>
      </c>
      <c r="C586" s="4" t="s">
        <v>2365</v>
      </c>
      <c r="D586" t="s">
        <v>2366</v>
      </c>
      <c r="E586" t="s">
        <v>14</v>
      </c>
      <c r="F586" t="s">
        <v>85</v>
      </c>
      <c r="G586" t="s">
        <v>111</v>
      </c>
      <c r="H586" t="s">
        <v>78</v>
      </c>
      <c r="I586" t="s">
        <v>102</v>
      </c>
      <c r="J586" t="s">
        <v>32</v>
      </c>
      <c r="K586" t="s">
        <v>2367</v>
      </c>
      <c r="L586" t="s">
        <v>89</v>
      </c>
      <c r="M586" t="s">
        <v>318</v>
      </c>
      <c r="N586" t="s">
        <v>1483</v>
      </c>
      <c r="O586" t="s">
        <v>2368</v>
      </c>
      <c r="P586" t="s">
        <v>2368</v>
      </c>
      <c r="Q586" t="s">
        <v>102</v>
      </c>
      <c r="R586" t="s">
        <v>143</v>
      </c>
      <c r="S586" t="s">
        <v>2369</v>
      </c>
      <c r="T586" t="s">
        <v>2364</v>
      </c>
      <c r="U586" t="s">
        <v>322</v>
      </c>
      <c r="V586" t="s">
        <v>82</v>
      </c>
      <c r="W586" t="s">
        <v>2370</v>
      </c>
      <c r="X586" t="s">
        <v>96</v>
      </c>
      <c r="Y586" t="s">
        <v>82</v>
      </c>
      <c r="Z586" t="s">
        <v>106</v>
      </c>
    </row>
    <row r="587" spans="1:26" x14ac:dyDescent="0.25">
      <c r="A587" t="s">
        <v>2371</v>
      </c>
      <c r="B587" t="s">
        <v>2372</v>
      </c>
      <c r="C587" s="4" t="s">
        <v>2365</v>
      </c>
      <c r="D587" t="s">
        <v>2366</v>
      </c>
      <c r="E587" t="s">
        <v>14</v>
      </c>
      <c r="F587" t="s">
        <v>85</v>
      </c>
      <c r="G587" t="s">
        <v>111</v>
      </c>
      <c r="H587" t="s">
        <v>78</v>
      </c>
      <c r="I587" t="s">
        <v>102</v>
      </c>
      <c r="J587" t="s">
        <v>17</v>
      </c>
      <c r="K587" t="s">
        <v>2367</v>
      </c>
      <c r="L587" t="s">
        <v>89</v>
      </c>
      <c r="M587" t="s">
        <v>318</v>
      </c>
      <c r="N587" t="s">
        <v>1483</v>
      </c>
      <c r="O587" t="s">
        <v>2368</v>
      </c>
      <c r="P587" t="s">
        <v>2368</v>
      </c>
      <c r="Q587" t="s">
        <v>102</v>
      </c>
      <c r="R587" t="s">
        <v>143</v>
      </c>
      <c r="S587" t="s">
        <v>2369</v>
      </c>
      <c r="T587" t="s">
        <v>2372</v>
      </c>
      <c r="U587" t="s">
        <v>322</v>
      </c>
      <c r="V587" t="s">
        <v>82</v>
      </c>
      <c r="W587" t="s">
        <v>2370</v>
      </c>
      <c r="X587" t="s">
        <v>96</v>
      </c>
      <c r="Y587" t="s">
        <v>82</v>
      </c>
      <c r="Z587" t="s">
        <v>106</v>
      </c>
    </row>
    <row r="588" spans="1:26" x14ac:dyDescent="0.25">
      <c r="A588" t="s">
        <v>2373</v>
      </c>
      <c r="B588" t="s">
        <v>2374</v>
      </c>
      <c r="C588" s="4" t="s">
        <v>2365</v>
      </c>
      <c r="D588" t="s">
        <v>2366</v>
      </c>
      <c r="E588" t="s">
        <v>14</v>
      </c>
      <c r="F588" t="s">
        <v>85</v>
      </c>
      <c r="G588" t="s">
        <v>111</v>
      </c>
      <c r="H588" t="s">
        <v>78</v>
      </c>
      <c r="I588" t="s">
        <v>102</v>
      </c>
      <c r="J588" t="s">
        <v>546</v>
      </c>
      <c r="K588" t="s">
        <v>2367</v>
      </c>
      <c r="L588" t="s">
        <v>89</v>
      </c>
      <c r="M588" t="s">
        <v>318</v>
      </c>
      <c r="N588" t="s">
        <v>1483</v>
      </c>
      <c r="O588" t="s">
        <v>2368</v>
      </c>
      <c r="P588" t="s">
        <v>2368</v>
      </c>
      <c r="Q588" t="s">
        <v>102</v>
      </c>
      <c r="R588" t="s">
        <v>143</v>
      </c>
      <c r="S588" t="s">
        <v>2369</v>
      </c>
      <c r="T588" t="s">
        <v>2374</v>
      </c>
      <c r="U588" t="s">
        <v>322</v>
      </c>
      <c r="V588" t="s">
        <v>82</v>
      </c>
      <c r="W588" t="s">
        <v>2370</v>
      </c>
      <c r="X588" t="s">
        <v>96</v>
      </c>
      <c r="Y588" t="s">
        <v>82</v>
      </c>
      <c r="Z588" t="s">
        <v>106</v>
      </c>
    </row>
    <row r="589" spans="1:26" x14ac:dyDescent="0.25">
      <c r="A589" t="s">
        <v>2375</v>
      </c>
      <c r="B589" t="s">
        <v>2376</v>
      </c>
      <c r="C589" s="4" t="s">
        <v>2377</v>
      </c>
      <c r="D589" t="s">
        <v>2378</v>
      </c>
      <c r="E589" t="s">
        <v>14</v>
      </c>
      <c r="F589" t="s">
        <v>83</v>
      </c>
      <c r="G589" t="s">
        <v>84</v>
      </c>
      <c r="H589" t="s">
        <v>78</v>
      </c>
      <c r="I589" t="s">
        <v>86</v>
      </c>
      <c r="J589" t="s">
        <v>546</v>
      </c>
      <c r="K589" t="s">
        <v>1765</v>
      </c>
      <c r="L589" t="s">
        <v>89</v>
      </c>
      <c r="M589" t="s">
        <v>318</v>
      </c>
      <c r="N589" t="s">
        <v>2379</v>
      </c>
      <c r="O589" t="s">
        <v>2380</v>
      </c>
      <c r="P589" t="s">
        <v>2380</v>
      </c>
      <c r="Q589" t="s">
        <v>102</v>
      </c>
      <c r="R589" t="s">
        <v>143</v>
      </c>
      <c r="S589" t="s">
        <v>2381</v>
      </c>
      <c r="T589" t="s">
        <v>2376</v>
      </c>
      <c r="U589" t="s">
        <v>322</v>
      </c>
      <c r="V589" t="s">
        <v>82</v>
      </c>
      <c r="W589" t="s">
        <v>1287</v>
      </c>
      <c r="X589" t="s">
        <v>96</v>
      </c>
      <c r="Y589" t="s">
        <v>82</v>
      </c>
      <c r="Z589" t="s">
        <v>106</v>
      </c>
    </row>
    <row r="590" spans="1:26" x14ac:dyDescent="0.25">
      <c r="A590" t="s">
        <v>2382</v>
      </c>
      <c r="B590" t="s">
        <v>2383</v>
      </c>
      <c r="C590" s="4" t="s">
        <v>2377</v>
      </c>
      <c r="D590" t="s">
        <v>2378</v>
      </c>
      <c r="E590" t="s">
        <v>14</v>
      </c>
      <c r="F590" t="s">
        <v>83</v>
      </c>
      <c r="G590" t="s">
        <v>84</v>
      </c>
      <c r="H590" t="s">
        <v>78</v>
      </c>
      <c r="I590" t="s">
        <v>86</v>
      </c>
      <c r="J590" t="s">
        <v>17</v>
      </c>
      <c r="K590" t="s">
        <v>1765</v>
      </c>
      <c r="L590" t="s">
        <v>89</v>
      </c>
      <c r="M590" t="s">
        <v>318</v>
      </c>
      <c r="N590" t="s">
        <v>2379</v>
      </c>
      <c r="O590" t="s">
        <v>2380</v>
      </c>
      <c r="P590" t="s">
        <v>2380</v>
      </c>
      <c r="Q590" t="s">
        <v>102</v>
      </c>
      <c r="R590" t="s">
        <v>143</v>
      </c>
      <c r="S590" t="s">
        <v>2381</v>
      </c>
      <c r="T590" t="s">
        <v>2383</v>
      </c>
      <c r="U590" t="s">
        <v>322</v>
      </c>
      <c r="V590" t="s">
        <v>82</v>
      </c>
      <c r="W590" t="s">
        <v>1287</v>
      </c>
      <c r="X590" t="s">
        <v>96</v>
      </c>
      <c r="Y590" t="s">
        <v>82</v>
      </c>
      <c r="Z590" t="s">
        <v>106</v>
      </c>
    </row>
    <row r="591" spans="1:26" x14ac:dyDescent="0.25">
      <c r="A591" t="s">
        <v>2384</v>
      </c>
      <c r="B591" t="s">
        <v>2385</v>
      </c>
      <c r="C591" s="4" t="s">
        <v>2377</v>
      </c>
      <c r="D591" t="s">
        <v>2378</v>
      </c>
      <c r="E591" t="s">
        <v>14</v>
      </c>
      <c r="F591" t="s">
        <v>83</v>
      </c>
      <c r="G591" t="s">
        <v>84</v>
      </c>
      <c r="H591" t="s">
        <v>78</v>
      </c>
      <c r="I591" t="s">
        <v>86</v>
      </c>
      <c r="J591" t="s">
        <v>32</v>
      </c>
      <c r="K591" t="s">
        <v>1765</v>
      </c>
      <c r="L591" t="s">
        <v>89</v>
      </c>
      <c r="M591" t="s">
        <v>318</v>
      </c>
      <c r="N591" t="s">
        <v>2379</v>
      </c>
      <c r="O591" t="s">
        <v>2380</v>
      </c>
      <c r="P591" t="s">
        <v>2380</v>
      </c>
      <c r="Q591" t="s">
        <v>102</v>
      </c>
      <c r="R591" t="s">
        <v>143</v>
      </c>
      <c r="S591" t="s">
        <v>2381</v>
      </c>
      <c r="T591" t="s">
        <v>2385</v>
      </c>
      <c r="U591" t="s">
        <v>322</v>
      </c>
      <c r="V591" t="s">
        <v>82</v>
      </c>
      <c r="W591" t="s">
        <v>1287</v>
      </c>
      <c r="X591" t="s">
        <v>96</v>
      </c>
      <c r="Y591" t="s">
        <v>82</v>
      </c>
      <c r="Z591" t="s">
        <v>106</v>
      </c>
    </row>
    <row r="592" spans="1:26" x14ac:dyDescent="0.25">
      <c r="A592" t="s">
        <v>2386</v>
      </c>
      <c r="B592" t="s">
        <v>2387</v>
      </c>
      <c r="C592" s="4" t="s">
        <v>2388</v>
      </c>
      <c r="D592" t="s">
        <v>2389</v>
      </c>
      <c r="E592" t="s">
        <v>14</v>
      </c>
      <c r="F592" t="s">
        <v>85</v>
      </c>
      <c r="G592" t="s">
        <v>111</v>
      </c>
      <c r="H592" t="s">
        <v>78</v>
      </c>
      <c r="I592" t="s">
        <v>102</v>
      </c>
      <c r="J592" t="s">
        <v>1002</v>
      </c>
      <c r="K592" t="s">
        <v>2390</v>
      </c>
      <c r="L592" t="s">
        <v>89</v>
      </c>
      <c r="M592" t="s">
        <v>318</v>
      </c>
      <c r="N592" t="s">
        <v>1536</v>
      </c>
      <c r="O592" t="s">
        <v>2391</v>
      </c>
      <c r="P592" t="s">
        <v>2391</v>
      </c>
      <c r="Q592" t="s">
        <v>102</v>
      </c>
      <c r="R592" t="s">
        <v>143</v>
      </c>
      <c r="S592" t="s">
        <v>2392</v>
      </c>
      <c r="T592" t="s">
        <v>2387</v>
      </c>
      <c r="U592" t="s">
        <v>322</v>
      </c>
      <c r="V592" t="s">
        <v>82</v>
      </c>
      <c r="W592" t="s">
        <v>2393</v>
      </c>
      <c r="X592" t="s">
        <v>96</v>
      </c>
      <c r="Y592" t="s">
        <v>82</v>
      </c>
      <c r="Z592" t="s">
        <v>106</v>
      </c>
    </row>
    <row r="593" spans="1:26" x14ac:dyDescent="0.25">
      <c r="A593" t="s">
        <v>2394</v>
      </c>
      <c r="B593" t="s">
        <v>2395</v>
      </c>
      <c r="C593" s="4" t="s">
        <v>2396</v>
      </c>
      <c r="D593" t="s">
        <v>2397</v>
      </c>
      <c r="E593" t="s">
        <v>23</v>
      </c>
      <c r="F593" t="s">
        <v>83</v>
      </c>
      <c r="G593" t="s">
        <v>180</v>
      </c>
      <c r="H593" t="s">
        <v>83</v>
      </c>
      <c r="I593" t="s">
        <v>102</v>
      </c>
      <c r="J593" t="s">
        <v>1114</v>
      </c>
      <c r="K593" t="s">
        <v>588</v>
      </c>
      <c r="L593" t="s">
        <v>89</v>
      </c>
      <c r="M593" t="s">
        <v>318</v>
      </c>
      <c r="N593" t="s">
        <v>347</v>
      </c>
      <c r="O593" t="s">
        <v>2398</v>
      </c>
      <c r="P593" t="s">
        <v>2399</v>
      </c>
      <c r="Q593" t="s">
        <v>102</v>
      </c>
      <c r="R593" t="s">
        <v>146</v>
      </c>
      <c r="S593" t="s">
        <v>2061</v>
      </c>
      <c r="T593" t="s">
        <v>2395</v>
      </c>
      <c r="U593" t="s">
        <v>322</v>
      </c>
      <c r="V593" t="s">
        <v>82</v>
      </c>
      <c r="W593" t="s">
        <v>2400</v>
      </c>
      <c r="X593" t="s">
        <v>96</v>
      </c>
      <c r="Y593" t="s">
        <v>82</v>
      </c>
      <c r="Z593" t="s">
        <v>106</v>
      </c>
    </row>
    <row r="594" spans="1:26" x14ac:dyDescent="0.25">
      <c r="A594" t="s">
        <v>2401</v>
      </c>
      <c r="B594" t="s">
        <v>2402</v>
      </c>
      <c r="C594" s="4" t="s">
        <v>2396</v>
      </c>
      <c r="D594" t="s">
        <v>2397</v>
      </c>
      <c r="E594" t="s">
        <v>23</v>
      </c>
      <c r="F594" t="s">
        <v>83</v>
      </c>
      <c r="G594" t="s">
        <v>180</v>
      </c>
      <c r="H594" t="s">
        <v>83</v>
      </c>
      <c r="I594" t="s">
        <v>102</v>
      </c>
      <c r="J594" t="s">
        <v>1053</v>
      </c>
      <c r="K594" t="s">
        <v>588</v>
      </c>
      <c r="L594" t="s">
        <v>89</v>
      </c>
      <c r="M594" t="s">
        <v>318</v>
      </c>
      <c r="N594" t="s">
        <v>347</v>
      </c>
      <c r="O594" t="s">
        <v>2398</v>
      </c>
      <c r="P594" t="s">
        <v>2403</v>
      </c>
      <c r="Q594" t="s">
        <v>102</v>
      </c>
      <c r="R594" t="s">
        <v>146</v>
      </c>
      <c r="S594" t="s">
        <v>2061</v>
      </c>
      <c r="T594" t="s">
        <v>2402</v>
      </c>
      <c r="U594" t="s">
        <v>322</v>
      </c>
      <c r="V594" t="s">
        <v>82</v>
      </c>
      <c r="W594" t="s">
        <v>2400</v>
      </c>
      <c r="X594" t="s">
        <v>96</v>
      </c>
      <c r="Y594" t="s">
        <v>82</v>
      </c>
      <c r="Z594" t="s">
        <v>106</v>
      </c>
    </row>
    <row r="595" spans="1:26" x14ac:dyDescent="0.25">
      <c r="A595" t="s">
        <v>2404</v>
      </c>
      <c r="B595" t="s">
        <v>2405</v>
      </c>
      <c r="C595" s="4" t="s">
        <v>2396</v>
      </c>
      <c r="D595" t="s">
        <v>2397</v>
      </c>
      <c r="E595" t="s">
        <v>23</v>
      </c>
      <c r="F595" t="s">
        <v>83</v>
      </c>
      <c r="G595" t="s">
        <v>180</v>
      </c>
      <c r="H595" t="s">
        <v>83</v>
      </c>
      <c r="I595" t="s">
        <v>102</v>
      </c>
      <c r="J595" t="s">
        <v>1090</v>
      </c>
      <c r="K595" t="s">
        <v>588</v>
      </c>
      <c r="L595" t="s">
        <v>89</v>
      </c>
      <c r="M595" t="s">
        <v>318</v>
      </c>
      <c r="N595" t="s">
        <v>347</v>
      </c>
      <c r="O595" t="s">
        <v>2406</v>
      </c>
      <c r="P595" t="s">
        <v>2407</v>
      </c>
      <c r="Q595" t="s">
        <v>102</v>
      </c>
      <c r="R595" t="s">
        <v>146</v>
      </c>
      <c r="S595" t="s">
        <v>2061</v>
      </c>
      <c r="T595" t="s">
        <v>2405</v>
      </c>
      <c r="U595" t="s">
        <v>322</v>
      </c>
      <c r="V595" t="s">
        <v>82</v>
      </c>
      <c r="W595" t="s">
        <v>2400</v>
      </c>
      <c r="X595" t="s">
        <v>96</v>
      </c>
      <c r="Y595" t="s">
        <v>82</v>
      </c>
      <c r="Z595" t="s">
        <v>106</v>
      </c>
    </row>
    <row r="596" spans="1:26" x14ac:dyDescent="0.25">
      <c r="A596" t="s">
        <v>2408</v>
      </c>
      <c r="B596" t="s">
        <v>2409</v>
      </c>
      <c r="C596" s="4" t="s">
        <v>2339</v>
      </c>
      <c r="D596" t="s">
        <v>2410</v>
      </c>
      <c r="E596" t="s">
        <v>14</v>
      </c>
      <c r="F596" t="s">
        <v>111</v>
      </c>
      <c r="G596" t="s">
        <v>124</v>
      </c>
      <c r="H596" t="s">
        <v>78</v>
      </c>
      <c r="I596" t="s">
        <v>102</v>
      </c>
      <c r="J596" t="s">
        <v>1264</v>
      </c>
      <c r="K596" t="s">
        <v>2411</v>
      </c>
      <c r="L596" t="s">
        <v>89</v>
      </c>
      <c r="M596" t="s">
        <v>318</v>
      </c>
      <c r="N596" t="s">
        <v>1186</v>
      </c>
      <c r="O596" t="s">
        <v>2412</v>
      </c>
      <c r="P596" t="s">
        <v>2412</v>
      </c>
      <c r="Q596" t="s">
        <v>102</v>
      </c>
      <c r="R596" t="s">
        <v>102</v>
      </c>
      <c r="S596" t="s">
        <v>2413</v>
      </c>
      <c r="T596" t="s">
        <v>2409</v>
      </c>
      <c r="U596" t="s">
        <v>322</v>
      </c>
      <c r="V596" t="s">
        <v>82</v>
      </c>
      <c r="W596" t="s">
        <v>2414</v>
      </c>
      <c r="X596" t="s">
        <v>96</v>
      </c>
      <c r="Y596" t="s">
        <v>82</v>
      </c>
      <c r="Z596" t="s">
        <v>82</v>
      </c>
    </row>
    <row r="597" spans="1:26" x14ac:dyDescent="0.25">
      <c r="A597" t="s">
        <v>2415</v>
      </c>
      <c r="B597" t="s">
        <v>2416</v>
      </c>
      <c r="C597" s="4" t="s">
        <v>2339</v>
      </c>
      <c r="D597" t="s">
        <v>2410</v>
      </c>
      <c r="E597" t="s">
        <v>14</v>
      </c>
      <c r="F597" t="s">
        <v>111</v>
      </c>
      <c r="G597" t="s">
        <v>124</v>
      </c>
      <c r="H597" t="s">
        <v>78</v>
      </c>
      <c r="I597" t="s">
        <v>102</v>
      </c>
      <c r="J597" t="s">
        <v>17</v>
      </c>
      <c r="K597" t="s">
        <v>2411</v>
      </c>
      <c r="L597" t="s">
        <v>89</v>
      </c>
      <c r="M597" t="s">
        <v>318</v>
      </c>
      <c r="N597" t="s">
        <v>1186</v>
      </c>
      <c r="O597" t="s">
        <v>2412</v>
      </c>
      <c r="P597" t="s">
        <v>2412</v>
      </c>
      <c r="Q597" t="s">
        <v>102</v>
      </c>
      <c r="R597" t="s">
        <v>102</v>
      </c>
      <c r="S597" t="s">
        <v>2413</v>
      </c>
      <c r="T597" t="s">
        <v>2416</v>
      </c>
      <c r="U597" t="s">
        <v>322</v>
      </c>
      <c r="V597" t="s">
        <v>82</v>
      </c>
      <c r="W597" t="s">
        <v>2414</v>
      </c>
      <c r="X597" t="s">
        <v>96</v>
      </c>
      <c r="Y597" t="s">
        <v>82</v>
      </c>
      <c r="Z597" t="s">
        <v>82</v>
      </c>
    </row>
    <row r="598" spans="1:26" x14ac:dyDescent="0.25">
      <c r="A598" t="s">
        <v>2417</v>
      </c>
      <c r="B598" t="s">
        <v>2418</v>
      </c>
      <c r="C598" s="4" t="s">
        <v>727</v>
      </c>
      <c r="D598" t="s">
        <v>675</v>
      </c>
      <c r="E598" t="s">
        <v>14</v>
      </c>
      <c r="F598" t="s">
        <v>111</v>
      </c>
      <c r="G598" t="s">
        <v>124</v>
      </c>
      <c r="H598" t="s">
        <v>78</v>
      </c>
      <c r="I598" t="s">
        <v>102</v>
      </c>
      <c r="J598" t="s">
        <v>1264</v>
      </c>
      <c r="K598" t="s">
        <v>901</v>
      </c>
      <c r="L598" t="s">
        <v>89</v>
      </c>
      <c r="M598" t="s">
        <v>318</v>
      </c>
      <c r="N598" t="s">
        <v>1186</v>
      </c>
      <c r="O598" t="s">
        <v>2419</v>
      </c>
      <c r="P598" t="s">
        <v>2419</v>
      </c>
      <c r="Q598" t="s">
        <v>102</v>
      </c>
      <c r="R598" t="s">
        <v>102</v>
      </c>
      <c r="S598" t="s">
        <v>903</v>
      </c>
      <c r="T598" t="s">
        <v>2418</v>
      </c>
      <c r="U598" t="s">
        <v>322</v>
      </c>
      <c r="V598" t="s">
        <v>82</v>
      </c>
      <c r="W598" t="s">
        <v>1188</v>
      </c>
      <c r="X598" t="s">
        <v>96</v>
      </c>
      <c r="Y598" t="s">
        <v>82</v>
      </c>
      <c r="Z598" t="s">
        <v>78</v>
      </c>
    </row>
    <row r="599" spans="1:26" x14ac:dyDescent="0.25">
      <c r="A599" t="s">
        <v>2420</v>
      </c>
      <c r="B599" t="s">
        <v>2421</v>
      </c>
      <c r="C599" s="4" t="s">
        <v>727</v>
      </c>
      <c r="D599" t="s">
        <v>675</v>
      </c>
      <c r="E599" t="s">
        <v>14</v>
      </c>
      <c r="F599" t="s">
        <v>128</v>
      </c>
      <c r="G599" t="s">
        <v>105</v>
      </c>
      <c r="H599" t="s">
        <v>78</v>
      </c>
      <c r="I599" t="s">
        <v>102</v>
      </c>
      <c r="J599" t="s">
        <v>1264</v>
      </c>
      <c r="K599" t="s">
        <v>1250</v>
      </c>
      <c r="L599" t="s">
        <v>89</v>
      </c>
      <c r="M599" t="s">
        <v>318</v>
      </c>
      <c r="N599" t="s">
        <v>2422</v>
      </c>
      <c r="O599" t="s">
        <v>2423</v>
      </c>
      <c r="P599" t="s">
        <v>2423</v>
      </c>
      <c r="Q599" t="s">
        <v>102</v>
      </c>
      <c r="R599" t="s">
        <v>102</v>
      </c>
      <c r="S599" t="s">
        <v>88</v>
      </c>
      <c r="T599" t="s">
        <v>2421</v>
      </c>
      <c r="U599" t="s">
        <v>322</v>
      </c>
      <c r="V599" t="s">
        <v>82</v>
      </c>
      <c r="W599" t="s">
        <v>2424</v>
      </c>
      <c r="X599" t="s">
        <v>96</v>
      </c>
      <c r="Y599" t="s">
        <v>82</v>
      </c>
      <c r="Z599" t="s">
        <v>78</v>
      </c>
    </row>
    <row r="600" spans="1:26" x14ac:dyDescent="0.25">
      <c r="A600" t="s">
        <v>2425</v>
      </c>
      <c r="B600" t="s">
        <v>2426</v>
      </c>
      <c r="C600" s="4" t="s">
        <v>727</v>
      </c>
      <c r="D600" t="s">
        <v>675</v>
      </c>
      <c r="E600" t="s">
        <v>14</v>
      </c>
      <c r="F600" t="s">
        <v>111</v>
      </c>
      <c r="G600" t="s">
        <v>124</v>
      </c>
      <c r="H600" t="s">
        <v>78</v>
      </c>
      <c r="I600" t="s">
        <v>102</v>
      </c>
      <c r="J600" t="s">
        <v>17</v>
      </c>
      <c r="K600" t="s">
        <v>901</v>
      </c>
      <c r="L600" t="s">
        <v>89</v>
      </c>
      <c r="M600" t="s">
        <v>318</v>
      </c>
      <c r="N600" t="s">
        <v>1186</v>
      </c>
      <c r="O600" t="s">
        <v>2427</v>
      </c>
      <c r="P600" t="s">
        <v>2428</v>
      </c>
      <c r="Q600" t="s">
        <v>102</v>
      </c>
      <c r="R600" t="s">
        <v>102</v>
      </c>
      <c r="S600" t="s">
        <v>903</v>
      </c>
      <c r="T600" t="s">
        <v>2426</v>
      </c>
      <c r="U600" t="s">
        <v>322</v>
      </c>
      <c r="V600" t="s">
        <v>82</v>
      </c>
      <c r="W600" t="s">
        <v>1188</v>
      </c>
      <c r="X600" t="s">
        <v>96</v>
      </c>
      <c r="Y600" t="s">
        <v>82</v>
      </c>
      <c r="Z600" t="s">
        <v>78</v>
      </c>
    </row>
    <row r="601" spans="1:26" x14ac:dyDescent="0.25">
      <c r="A601" t="s">
        <v>2429</v>
      </c>
      <c r="B601" t="s">
        <v>2430</v>
      </c>
      <c r="C601" s="4" t="s">
        <v>727</v>
      </c>
      <c r="D601" t="s">
        <v>675</v>
      </c>
      <c r="E601" t="s">
        <v>14</v>
      </c>
      <c r="F601" t="s">
        <v>128</v>
      </c>
      <c r="G601" t="s">
        <v>105</v>
      </c>
      <c r="H601" t="s">
        <v>78</v>
      </c>
      <c r="I601" t="s">
        <v>102</v>
      </c>
      <c r="J601" t="s">
        <v>17</v>
      </c>
      <c r="K601" t="s">
        <v>1250</v>
      </c>
      <c r="L601" t="s">
        <v>89</v>
      </c>
      <c r="M601" t="s">
        <v>318</v>
      </c>
      <c r="N601" t="s">
        <v>2422</v>
      </c>
      <c r="O601" t="s">
        <v>2431</v>
      </c>
      <c r="P601" t="s">
        <v>2432</v>
      </c>
      <c r="Q601" t="s">
        <v>102</v>
      </c>
      <c r="R601" t="s">
        <v>102</v>
      </c>
      <c r="S601" t="s">
        <v>88</v>
      </c>
      <c r="T601" t="s">
        <v>2430</v>
      </c>
      <c r="U601" t="s">
        <v>322</v>
      </c>
      <c r="V601" t="s">
        <v>82</v>
      </c>
      <c r="W601" t="s">
        <v>2424</v>
      </c>
      <c r="X601" t="s">
        <v>96</v>
      </c>
      <c r="Y601" t="s">
        <v>82</v>
      </c>
      <c r="Z601" t="s">
        <v>78</v>
      </c>
    </row>
    <row r="602" spans="1:26" x14ac:dyDescent="0.25">
      <c r="A602" t="s">
        <v>2433</v>
      </c>
      <c r="B602" t="s">
        <v>2434</v>
      </c>
      <c r="C602" s="4" t="s">
        <v>2435</v>
      </c>
      <c r="D602" t="s">
        <v>1749</v>
      </c>
      <c r="E602" t="s">
        <v>14</v>
      </c>
      <c r="F602" t="s">
        <v>85</v>
      </c>
      <c r="G602" t="s">
        <v>111</v>
      </c>
      <c r="H602" t="s">
        <v>78</v>
      </c>
      <c r="I602" t="s">
        <v>102</v>
      </c>
      <c r="J602" t="s">
        <v>17</v>
      </c>
      <c r="K602" t="s">
        <v>1592</v>
      </c>
      <c r="L602" t="s">
        <v>89</v>
      </c>
      <c r="M602" t="s">
        <v>318</v>
      </c>
      <c r="N602" t="s">
        <v>90</v>
      </c>
      <c r="O602" t="s">
        <v>2436</v>
      </c>
      <c r="P602" t="s">
        <v>2436</v>
      </c>
      <c r="Q602" t="s">
        <v>102</v>
      </c>
      <c r="R602" t="s">
        <v>78</v>
      </c>
      <c r="S602" t="s">
        <v>2437</v>
      </c>
      <c r="T602" t="s">
        <v>2434</v>
      </c>
      <c r="U602" t="s">
        <v>322</v>
      </c>
      <c r="V602" t="s">
        <v>82</v>
      </c>
      <c r="W602" t="s">
        <v>904</v>
      </c>
      <c r="X602" t="s">
        <v>96</v>
      </c>
      <c r="Y602" t="s">
        <v>82</v>
      </c>
      <c r="Z602" t="s">
        <v>106</v>
      </c>
    </row>
    <row r="603" spans="1:26" x14ac:dyDescent="0.25">
      <c r="A603" t="s">
        <v>2438</v>
      </c>
      <c r="B603" t="s">
        <v>2439</v>
      </c>
      <c r="C603" s="4" t="s">
        <v>2435</v>
      </c>
      <c r="D603" t="s">
        <v>1749</v>
      </c>
      <c r="E603" t="s">
        <v>14</v>
      </c>
      <c r="F603" t="s">
        <v>85</v>
      </c>
      <c r="G603" t="s">
        <v>111</v>
      </c>
      <c r="H603" t="s">
        <v>78</v>
      </c>
      <c r="I603" t="s">
        <v>102</v>
      </c>
      <c r="J603" t="s">
        <v>30</v>
      </c>
      <c r="K603" t="s">
        <v>1592</v>
      </c>
      <c r="L603" t="s">
        <v>89</v>
      </c>
      <c r="M603" t="s">
        <v>318</v>
      </c>
      <c r="N603" t="s">
        <v>90</v>
      </c>
      <c r="O603" t="s">
        <v>2436</v>
      </c>
      <c r="P603" t="s">
        <v>2436</v>
      </c>
      <c r="Q603" t="s">
        <v>102</v>
      </c>
      <c r="R603" t="s">
        <v>78</v>
      </c>
      <c r="S603" t="s">
        <v>2437</v>
      </c>
      <c r="T603" t="s">
        <v>2439</v>
      </c>
      <c r="U603" t="s">
        <v>322</v>
      </c>
      <c r="V603" t="s">
        <v>82</v>
      </c>
      <c r="W603" t="s">
        <v>904</v>
      </c>
      <c r="X603" t="s">
        <v>96</v>
      </c>
      <c r="Y603" t="s">
        <v>82</v>
      </c>
      <c r="Z603" t="s">
        <v>106</v>
      </c>
    </row>
    <row r="604" spans="1:26" x14ac:dyDescent="0.25">
      <c r="A604" t="s">
        <v>2440</v>
      </c>
      <c r="B604" t="s">
        <v>2441</v>
      </c>
      <c r="C604" s="4" t="s">
        <v>2442</v>
      </c>
      <c r="D604" t="s">
        <v>1749</v>
      </c>
      <c r="E604" t="s">
        <v>14</v>
      </c>
      <c r="F604" t="s">
        <v>83</v>
      </c>
      <c r="G604" t="s">
        <v>84</v>
      </c>
      <c r="H604" t="s">
        <v>78</v>
      </c>
      <c r="I604" t="s">
        <v>86</v>
      </c>
      <c r="J604" t="s">
        <v>30</v>
      </c>
      <c r="K604" t="s">
        <v>2390</v>
      </c>
      <c r="L604" t="s">
        <v>89</v>
      </c>
      <c r="M604" t="s">
        <v>318</v>
      </c>
      <c r="N604" t="s">
        <v>1536</v>
      </c>
      <c r="O604" t="s">
        <v>2443</v>
      </c>
      <c r="P604" t="s">
        <v>2444</v>
      </c>
      <c r="Q604" t="s">
        <v>102</v>
      </c>
      <c r="R604" t="s">
        <v>78</v>
      </c>
      <c r="S604" t="s">
        <v>2445</v>
      </c>
      <c r="T604" t="s">
        <v>2441</v>
      </c>
      <c r="U604" t="s">
        <v>322</v>
      </c>
      <c r="V604" t="s">
        <v>82</v>
      </c>
      <c r="W604" t="s">
        <v>2393</v>
      </c>
      <c r="X604" t="s">
        <v>96</v>
      </c>
      <c r="Y604" t="s">
        <v>82</v>
      </c>
      <c r="Z604" t="s">
        <v>106</v>
      </c>
    </row>
    <row r="605" spans="1:26" x14ac:dyDescent="0.25">
      <c r="A605" t="s">
        <v>2446</v>
      </c>
      <c r="B605" t="s">
        <v>2447</v>
      </c>
      <c r="C605" s="4" t="s">
        <v>2442</v>
      </c>
      <c r="D605" t="s">
        <v>1749</v>
      </c>
      <c r="E605" t="s">
        <v>14</v>
      </c>
      <c r="F605" t="s">
        <v>83</v>
      </c>
      <c r="G605" t="s">
        <v>84</v>
      </c>
      <c r="H605" t="s">
        <v>78</v>
      </c>
      <c r="I605" t="s">
        <v>86</v>
      </c>
      <c r="J605" t="s">
        <v>17</v>
      </c>
      <c r="K605" t="s">
        <v>2390</v>
      </c>
      <c r="L605" t="s">
        <v>89</v>
      </c>
      <c r="M605" t="s">
        <v>318</v>
      </c>
      <c r="N605" t="s">
        <v>1536</v>
      </c>
      <c r="O605" t="s">
        <v>2443</v>
      </c>
      <c r="P605" t="s">
        <v>2448</v>
      </c>
      <c r="Q605" t="s">
        <v>102</v>
      </c>
      <c r="R605" t="s">
        <v>78</v>
      </c>
      <c r="S605" t="s">
        <v>2445</v>
      </c>
      <c r="T605" t="s">
        <v>2447</v>
      </c>
      <c r="U605" t="s">
        <v>322</v>
      </c>
      <c r="V605" t="s">
        <v>82</v>
      </c>
      <c r="W605" t="s">
        <v>2393</v>
      </c>
      <c r="X605" t="s">
        <v>96</v>
      </c>
      <c r="Y605" t="s">
        <v>82</v>
      </c>
      <c r="Z605" t="s">
        <v>106</v>
      </c>
    </row>
    <row r="606" spans="1:26" x14ac:dyDescent="0.25">
      <c r="A606" t="s">
        <v>2449</v>
      </c>
      <c r="B606" t="s">
        <v>2450</v>
      </c>
      <c r="C606" s="4" t="s">
        <v>2451</v>
      </c>
      <c r="D606" t="s">
        <v>1749</v>
      </c>
      <c r="E606" t="s">
        <v>14</v>
      </c>
      <c r="F606" t="s">
        <v>85</v>
      </c>
      <c r="G606" t="s">
        <v>102</v>
      </c>
      <c r="H606" t="s">
        <v>78</v>
      </c>
      <c r="I606" t="s">
        <v>86</v>
      </c>
      <c r="J606" t="s">
        <v>17</v>
      </c>
      <c r="K606" t="s">
        <v>1592</v>
      </c>
      <c r="L606" t="s">
        <v>89</v>
      </c>
      <c r="M606" t="s">
        <v>318</v>
      </c>
      <c r="N606" t="s">
        <v>90</v>
      </c>
      <c r="O606" t="s">
        <v>2452</v>
      </c>
      <c r="P606" t="s">
        <v>2452</v>
      </c>
      <c r="Q606" t="s">
        <v>102</v>
      </c>
      <c r="R606" t="s">
        <v>78</v>
      </c>
      <c r="S606" t="s">
        <v>1595</v>
      </c>
      <c r="T606" t="s">
        <v>2450</v>
      </c>
      <c r="U606" t="s">
        <v>322</v>
      </c>
      <c r="V606" t="s">
        <v>82</v>
      </c>
      <c r="W606" t="s">
        <v>904</v>
      </c>
      <c r="X606" t="s">
        <v>96</v>
      </c>
      <c r="Y606" t="s">
        <v>82</v>
      </c>
      <c r="Z606" t="s">
        <v>106</v>
      </c>
    </row>
    <row r="607" spans="1:26" x14ac:dyDescent="0.25">
      <c r="A607" t="s">
        <v>2453</v>
      </c>
      <c r="B607" t="s">
        <v>2454</v>
      </c>
      <c r="C607" s="4" t="s">
        <v>2451</v>
      </c>
      <c r="D607" t="s">
        <v>1749</v>
      </c>
      <c r="E607" t="s">
        <v>14</v>
      </c>
      <c r="F607" t="s">
        <v>85</v>
      </c>
      <c r="G607" t="s">
        <v>102</v>
      </c>
      <c r="H607" t="s">
        <v>78</v>
      </c>
      <c r="I607" t="s">
        <v>86</v>
      </c>
      <c r="J607" t="s">
        <v>32</v>
      </c>
      <c r="K607" t="s">
        <v>1592</v>
      </c>
      <c r="L607" t="s">
        <v>89</v>
      </c>
      <c r="M607" t="s">
        <v>318</v>
      </c>
      <c r="N607" t="s">
        <v>90</v>
      </c>
      <c r="O607" t="s">
        <v>2452</v>
      </c>
      <c r="P607" t="s">
        <v>2452</v>
      </c>
      <c r="Q607" t="s">
        <v>102</v>
      </c>
      <c r="R607" t="s">
        <v>78</v>
      </c>
      <c r="S607" t="s">
        <v>1595</v>
      </c>
      <c r="T607" t="s">
        <v>2454</v>
      </c>
      <c r="U607" t="s">
        <v>322</v>
      </c>
      <c r="V607" t="s">
        <v>82</v>
      </c>
      <c r="W607" t="s">
        <v>904</v>
      </c>
      <c r="X607" t="s">
        <v>96</v>
      </c>
      <c r="Y607" t="s">
        <v>82</v>
      </c>
      <c r="Z607" t="s">
        <v>106</v>
      </c>
    </row>
    <row r="608" spans="1:26" x14ac:dyDescent="0.25">
      <c r="A608" t="s">
        <v>2455</v>
      </c>
      <c r="B608" t="s">
        <v>2456</v>
      </c>
      <c r="C608" s="4" t="s">
        <v>2451</v>
      </c>
      <c r="D608" t="s">
        <v>1749</v>
      </c>
      <c r="E608" t="s">
        <v>14</v>
      </c>
      <c r="F608" t="s">
        <v>85</v>
      </c>
      <c r="G608" t="s">
        <v>102</v>
      </c>
      <c r="H608" t="s">
        <v>78</v>
      </c>
      <c r="I608" t="s">
        <v>86</v>
      </c>
      <c r="J608" t="s">
        <v>30</v>
      </c>
      <c r="K608" t="s">
        <v>1592</v>
      </c>
      <c r="L608" t="s">
        <v>89</v>
      </c>
      <c r="M608" t="s">
        <v>318</v>
      </c>
      <c r="N608" t="s">
        <v>90</v>
      </c>
      <c r="O608" t="s">
        <v>2452</v>
      </c>
      <c r="P608" t="s">
        <v>2452</v>
      </c>
      <c r="Q608" t="s">
        <v>102</v>
      </c>
      <c r="R608" t="s">
        <v>78</v>
      </c>
      <c r="S608" t="s">
        <v>1595</v>
      </c>
      <c r="T608" t="s">
        <v>2456</v>
      </c>
      <c r="U608" t="s">
        <v>322</v>
      </c>
      <c r="V608" t="s">
        <v>82</v>
      </c>
      <c r="W608" t="s">
        <v>904</v>
      </c>
      <c r="X608" t="s">
        <v>96</v>
      </c>
      <c r="Y608" t="s">
        <v>82</v>
      </c>
      <c r="Z608" t="s">
        <v>106</v>
      </c>
    </row>
    <row r="609" spans="1:26" x14ac:dyDescent="0.25">
      <c r="A609" t="s">
        <v>2457</v>
      </c>
      <c r="B609" t="s">
        <v>2458</v>
      </c>
      <c r="C609" s="4" t="s">
        <v>2459</v>
      </c>
      <c r="D609" t="s">
        <v>1749</v>
      </c>
      <c r="E609" t="s">
        <v>14</v>
      </c>
      <c r="F609" t="s">
        <v>83</v>
      </c>
      <c r="G609" t="s">
        <v>84</v>
      </c>
      <c r="H609" t="s">
        <v>78</v>
      </c>
      <c r="I609" t="s">
        <v>86</v>
      </c>
      <c r="J609" t="s">
        <v>30</v>
      </c>
      <c r="K609" t="s">
        <v>2460</v>
      </c>
      <c r="L609" t="s">
        <v>89</v>
      </c>
      <c r="M609" t="s">
        <v>318</v>
      </c>
      <c r="N609" t="s">
        <v>1536</v>
      </c>
      <c r="O609" t="s">
        <v>2461</v>
      </c>
      <c r="P609" t="s">
        <v>2461</v>
      </c>
      <c r="Q609" t="s">
        <v>102</v>
      </c>
      <c r="R609" t="s">
        <v>78</v>
      </c>
      <c r="S609" t="s">
        <v>2462</v>
      </c>
      <c r="T609" t="s">
        <v>2458</v>
      </c>
      <c r="U609" t="s">
        <v>322</v>
      </c>
      <c r="V609" t="s">
        <v>82</v>
      </c>
      <c r="W609" t="s">
        <v>1303</v>
      </c>
      <c r="X609" t="s">
        <v>96</v>
      </c>
      <c r="Y609" t="s">
        <v>82</v>
      </c>
      <c r="Z609" t="s">
        <v>106</v>
      </c>
    </row>
    <row r="610" spans="1:26" x14ac:dyDescent="0.25">
      <c r="A610" t="s">
        <v>2463</v>
      </c>
      <c r="B610" t="s">
        <v>2464</v>
      </c>
      <c r="C610" s="4" t="s">
        <v>2459</v>
      </c>
      <c r="D610" t="s">
        <v>1749</v>
      </c>
      <c r="E610" t="s">
        <v>14</v>
      </c>
      <c r="F610" t="s">
        <v>83</v>
      </c>
      <c r="G610" t="s">
        <v>84</v>
      </c>
      <c r="H610" t="s">
        <v>78</v>
      </c>
      <c r="I610" t="s">
        <v>86</v>
      </c>
      <c r="J610" t="s">
        <v>32</v>
      </c>
      <c r="K610" t="s">
        <v>2460</v>
      </c>
      <c r="L610" t="s">
        <v>89</v>
      </c>
      <c r="M610" t="s">
        <v>318</v>
      </c>
      <c r="N610" t="s">
        <v>1536</v>
      </c>
      <c r="O610" t="s">
        <v>2461</v>
      </c>
      <c r="P610" t="s">
        <v>2461</v>
      </c>
      <c r="Q610" t="s">
        <v>102</v>
      </c>
      <c r="R610" t="s">
        <v>78</v>
      </c>
      <c r="S610" t="s">
        <v>2462</v>
      </c>
      <c r="T610" t="s">
        <v>2464</v>
      </c>
      <c r="U610" t="s">
        <v>322</v>
      </c>
      <c r="V610" t="s">
        <v>82</v>
      </c>
      <c r="W610" t="s">
        <v>1303</v>
      </c>
      <c r="X610" t="s">
        <v>96</v>
      </c>
      <c r="Y610" t="s">
        <v>82</v>
      </c>
      <c r="Z610" t="s">
        <v>106</v>
      </c>
    </row>
    <row r="611" spans="1:26" x14ac:dyDescent="0.25">
      <c r="A611" t="s">
        <v>2465</v>
      </c>
      <c r="B611" t="s">
        <v>2466</v>
      </c>
      <c r="C611" s="4" t="s">
        <v>2459</v>
      </c>
      <c r="D611" t="s">
        <v>1749</v>
      </c>
      <c r="E611" t="s">
        <v>14</v>
      </c>
      <c r="F611" t="s">
        <v>83</v>
      </c>
      <c r="G611" t="s">
        <v>84</v>
      </c>
      <c r="H611" t="s">
        <v>78</v>
      </c>
      <c r="I611" t="s">
        <v>86</v>
      </c>
      <c r="J611" t="s">
        <v>17</v>
      </c>
      <c r="K611" t="s">
        <v>2460</v>
      </c>
      <c r="L611" t="s">
        <v>89</v>
      </c>
      <c r="M611" t="s">
        <v>318</v>
      </c>
      <c r="N611" t="s">
        <v>1536</v>
      </c>
      <c r="O611" t="s">
        <v>2461</v>
      </c>
      <c r="P611" t="s">
        <v>2461</v>
      </c>
      <c r="Q611" t="s">
        <v>102</v>
      </c>
      <c r="R611" t="s">
        <v>78</v>
      </c>
      <c r="S611" t="s">
        <v>2462</v>
      </c>
      <c r="T611" t="s">
        <v>2466</v>
      </c>
      <c r="U611" t="s">
        <v>322</v>
      </c>
      <c r="V611" t="s">
        <v>82</v>
      </c>
      <c r="W611" t="s">
        <v>1303</v>
      </c>
      <c r="X611" t="s">
        <v>96</v>
      </c>
      <c r="Y611" t="s">
        <v>82</v>
      </c>
      <c r="Z611" t="s">
        <v>106</v>
      </c>
    </row>
    <row r="612" spans="1:26" x14ac:dyDescent="0.25">
      <c r="A612" t="s">
        <v>2467</v>
      </c>
      <c r="B612" t="s">
        <v>2468</v>
      </c>
      <c r="C612" s="4" t="s">
        <v>2469</v>
      </c>
      <c r="D612" t="s">
        <v>1749</v>
      </c>
      <c r="E612" t="s">
        <v>14</v>
      </c>
      <c r="F612" t="s">
        <v>83</v>
      </c>
      <c r="G612" t="s">
        <v>84</v>
      </c>
      <c r="H612" t="s">
        <v>78</v>
      </c>
      <c r="I612" t="s">
        <v>86</v>
      </c>
      <c r="J612" t="s">
        <v>17</v>
      </c>
      <c r="K612" t="s">
        <v>2460</v>
      </c>
      <c r="L612" t="s">
        <v>89</v>
      </c>
      <c r="M612" t="s">
        <v>318</v>
      </c>
      <c r="N612" t="s">
        <v>1536</v>
      </c>
      <c r="O612" t="s">
        <v>2470</v>
      </c>
      <c r="P612" t="s">
        <v>2470</v>
      </c>
      <c r="Q612" t="s">
        <v>102</v>
      </c>
      <c r="R612" t="s">
        <v>78</v>
      </c>
      <c r="S612" t="s">
        <v>2462</v>
      </c>
      <c r="T612" t="s">
        <v>2468</v>
      </c>
      <c r="U612" t="s">
        <v>322</v>
      </c>
      <c r="V612" t="s">
        <v>82</v>
      </c>
      <c r="W612" t="s">
        <v>1303</v>
      </c>
      <c r="X612" t="s">
        <v>96</v>
      </c>
      <c r="Y612" t="s">
        <v>82</v>
      </c>
      <c r="Z612" t="s">
        <v>106</v>
      </c>
    </row>
    <row r="613" spans="1:26" x14ac:dyDescent="0.25">
      <c r="A613" t="s">
        <v>2471</v>
      </c>
      <c r="B613" t="s">
        <v>2472</v>
      </c>
      <c r="C613" s="4" t="s">
        <v>2469</v>
      </c>
      <c r="D613" t="s">
        <v>1749</v>
      </c>
      <c r="E613" t="s">
        <v>14</v>
      </c>
      <c r="F613" t="s">
        <v>83</v>
      </c>
      <c r="G613" t="s">
        <v>84</v>
      </c>
      <c r="H613" t="s">
        <v>78</v>
      </c>
      <c r="I613" t="s">
        <v>86</v>
      </c>
      <c r="J613" t="s">
        <v>30</v>
      </c>
      <c r="K613" t="s">
        <v>2460</v>
      </c>
      <c r="L613" t="s">
        <v>89</v>
      </c>
      <c r="M613" t="s">
        <v>318</v>
      </c>
      <c r="N613" t="s">
        <v>1536</v>
      </c>
      <c r="O613" t="s">
        <v>2470</v>
      </c>
      <c r="P613" t="s">
        <v>2470</v>
      </c>
      <c r="Q613" t="s">
        <v>102</v>
      </c>
      <c r="R613" t="s">
        <v>78</v>
      </c>
      <c r="S613" t="s">
        <v>2462</v>
      </c>
      <c r="T613" t="s">
        <v>2472</v>
      </c>
      <c r="U613" t="s">
        <v>322</v>
      </c>
      <c r="V613" t="s">
        <v>82</v>
      </c>
      <c r="W613" t="s">
        <v>1303</v>
      </c>
      <c r="X613" t="s">
        <v>96</v>
      </c>
      <c r="Y613" t="s">
        <v>82</v>
      </c>
      <c r="Z613" t="s">
        <v>106</v>
      </c>
    </row>
    <row r="614" spans="1:26" x14ac:dyDescent="0.25">
      <c r="A614" t="s">
        <v>2473</v>
      </c>
      <c r="B614" t="s">
        <v>2474</v>
      </c>
      <c r="C614" s="4" t="s">
        <v>2475</v>
      </c>
      <c r="D614" t="s">
        <v>1749</v>
      </c>
      <c r="E614" t="s">
        <v>14</v>
      </c>
      <c r="F614" t="s">
        <v>85</v>
      </c>
      <c r="G614" t="s">
        <v>111</v>
      </c>
      <c r="H614" t="s">
        <v>78</v>
      </c>
      <c r="I614" t="s">
        <v>102</v>
      </c>
      <c r="J614" t="s">
        <v>30</v>
      </c>
      <c r="K614" t="s">
        <v>1592</v>
      </c>
      <c r="L614" t="s">
        <v>89</v>
      </c>
      <c r="M614" t="s">
        <v>318</v>
      </c>
      <c r="N614" t="s">
        <v>90</v>
      </c>
      <c r="O614" t="s">
        <v>2476</v>
      </c>
      <c r="P614" t="s">
        <v>2476</v>
      </c>
      <c r="Q614" t="s">
        <v>102</v>
      </c>
      <c r="R614" t="s">
        <v>78</v>
      </c>
      <c r="S614" t="s">
        <v>2437</v>
      </c>
      <c r="T614" t="s">
        <v>2474</v>
      </c>
      <c r="U614" t="s">
        <v>322</v>
      </c>
      <c r="V614" t="s">
        <v>82</v>
      </c>
      <c r="W614" t="s">
        <v>904</v>
      </c>
      <c r="X614" t="s">
        <v>96</v>
      </c>
      <c r="Y614" t="s">
        <v>82</v>
      </c>
      <c r="Z614" t="s">
        <v>106</v>
      </c>
    </row>
    <row r="615" spans="1:26" x14ac:dyDescent="0.25">
      <c r="A615" t="s">
        <v>2477</v>
      </c>
      <c r="B615" t="s">
        <v>2478</v>
      </c>
      <c r="C615" s="4" t="s">
        <v>2475</v>
      </c>
      <c r="D615" t="s">
        <v>1749</v>
      </c>
      <c r="E615" t="s">
        <v>14</v>
      </c>
      <c r="F615" t="s">
        <v>85</v>
      </c>
      <c r="G615" t="s">
        <v>111</v>
      </c>
      <c r="H615" t="s">
        <v>78</v>
      </c>
      <c r="I615" t="s">
        <v>102</v>
      </c>
      <c r="J615" t="s">
        <v>17</v>
      </c>
      <c r="K615" t="s">
        <v>1592</v>
      </c>
      <c r="L615" t="s">
        <v>89</v>
      </c>
      <c r="M615" t="s">
        <v>318</v>
      </c>
      <c r="N615" t="s">
        <v>90</v>
      </c>
      <c r="O615" t="s">
        <v>2476</v>
      </c>
      <c r="P615" t="s">
        <v>2476</v>
      </c>
      <c r="Q615" t="s">
        <v>102</v>
      </c>
      <c r="R615" t="s">
        <v>78</v>
      </c>
      <c r="S615" t="s">
        <v>2437</v>
      </c>
      <c r="T615" t="s">
        <v>2478</v>
      </c>
      <c r="U615" t="s">
        <v>322</v>
      </c>
      <c r="V615" t="s">
        <v>82</v>
      </c>
      <c r="W615" t="s">
        <v>904</v>
      </c>
      <c r="X615" t="s">
        <v>96</v>
      </c>
      <c r="Y615" t="s">
        <v>82</v>
      </c>
      <c r="Z615" t="s">
        <v>106</v>
      </c>
    </row>
    <row r="616" spans="1:26" x14ac:dyDescent="0.25">
      <c r="A616" t="s">
        <v>2479</v>
      </c>
      <c r="B616" t="s">
        <v>2480</v>
      </c>
      <c r="C616" s="4" t="s">
        <v>2481</v>
      </c>
      <c r="D616" t="s">
        <v>1749</v>
      </c>
      <c r="E616" t="s">
        <v>14</v>
      </c>
      <c r="F616" t="s">
        <v>85</v>
      </c>
      <c r="G616" t="s">
        <v>111</v>
      </c>
      <c r="H616" t="s">
        <v>78</v>
      </c>
      <c r="I616" t="s">
        <v>102</v>
      </c>
      <c r="J616" t="s">
        <v>17</v>
      </c>
      <c r="K616" t="s">
        <v>1592</v>
      </c>
      <c r="L616" t="s">
        <v>89</v>
      </c>
      <c r="M616" t="s">
        <v>318</v>
      </c>
      <c r="N616" t="s">
        <v>90</v>
      </c>
      <c r="O616" t="s">
        <v>2482</v>
      </c>
      <c r="P616" t="s">
        <v>2482</v>
      </c>
      <c r="Q616" t="s">
        <v>102</v>
      </c>
      <c r="R616" t="s">
        <v>78</v>
      </c>
      <c r="S616" t="s">
        <v>2437</v>
      </c>
      <c r="T616" t="s">
        <v>2480</v>
      </c>
      <c r="U616" t="s">
        <v>322</v>
      </c>
      <c r="V616" t="s">
        <v>82</v>
      </c>
      <c r="W616" t="s">
        <v>904</v>
      </c>
      <c r="X616" t="s">
        <v>96</v>
      </c>
      <c r="Y616" t="s">
        <v>82</v>
      </c>
      <c r="Z616" t="s">
        <v>106</v>
      </c>
    </row>
    <row r="617" spans="1:26" x14ac:dyDescent="0.25">
      <c r="A617" t="s">
        <v>2483</v>
      </c>
      <c r="B617" t="s">
        <v>2484</v>
      </c>
      <c r="C617" s="4" t="s">
        <v>2481</v>
      </c>
      <c r="D617" t="s">
        <v>1749</v>
      </c>
      <c r="E617" t="s">
        <v>14</v>
      </c>
      <c r="F617" t="s">
        <v>85</v>
      </c>
      <c r="G617" t="s">
        <v>111</v>
      </c>
      <c r="H617" t="s">
        <v>78</v>
      </c>
      <c r="I617" t="s">
        <v>102</v>
      </c>
      <c r="J617" t="s">
        <v>30</v>
      </c>
      <c r="K617" t="s">
        <v>1592</v>
      </c>
      <c r="L617" t="s">
        <v>89</v>
      </c>
      <c r="M617" t="s">
        <v>318</v>
      </c>
      <c r="N617" t="s">
        <v>90</v>
      </c>
      <c r="O617" t="s">
        <v>2482</v>
      </c>
      <c r="P617" t="s">
        <v>2482</v>
      </c>
      <c r="Q617" t="s">
        <v>102</v>
      </c>
      <c r="R617" t="s">
        <v>78</v>
      </c>
      <c r="S617" t="s">
        <v>2437</v>
      </c>
      <c r="T617" t="s">
        <v>2484</v>
      </c>
      <c r="U617" t="s">
        <v>322</v>
      </c>
      <c r="V617" t="s">
        <v>82</v>
      </c>
      <c r="W617" t="s">
        <v>904</v>
      </c>
      <c r="X617" t="s">
        <v>96</v>
      </c>
      <c r="Y617" t="s">
        <v>82</v>
      </c>
      <c r="Z617" t="s">
        <v>106</v>
      </c>
    </row>
    <row r="618" spans="1:26" x14ac:dyDescent="0.25">
      <c r="A618" t="s">
        <v>2485</v>
      </c>
      <c r="B618" t="s">
        <v>2486</v>
      </c>
      <c r="C618" s="4" t="s">
        <v>2487</v>
      </c>
      <c r="D618" t="s">
        <v>1749</v>
      </c>
      <c r="E618" t="s">
        <v>14</v>
      </c>
      <c r="F618" t="s">
        <v>85</v>
      </c>
      <c r="G618" t="s">
        <v>111</v>
      </c>
      <c r="H618" t="s">
        <v>78</v>
      </c>
      <c r="I618" t="s">
        <v>102</v>
      </c>
      <c r="J618" t="s">
        <v>30</v>
      </c>
      <c r="K618" t="s">
        <v>679</v>
      </c>
      <c r="L618" t="s">
        <v>89</v>
      </c>
      <c r="M618" t="s">
        <v>318</v>
      </c>
      <c r="N618" t="s">
        <v>1766</v>
      </c>
      <c r="O618" t="s">
        <v>2488</v>
      </c>
      <c r="P618" t="s">
        <v>2488</v>
      </c>
      <c r="Q618" t="s">
        <v>102</v>
      </c>
      <c r="R618" t="s">
        <v>78</v>
      </c>
      <c r="S618" t="s">
        <v>897</v>
      </c>
      <c r="T618" t="s">
        <v>2486</v>
      </c>
      <c r="U618" t="s">
        <v>322</v>
      </c>
      <c r="V618" t="s">
        <v>82</v>
      </c>
      <c r="W618" t="s">
        <v>639</v>
      </c>
      <c r="X618" t="s">
        <v>96</v>
      </c>
      <c r="Y618" t="s">
        <v>82</v>
      </c>
      <c r="Z618" t="s">
        <v>106</v>
      </c>
    </row>
    <row r="619" spans="1:26" x14ac:dyDescent="0.25">
      <c r="A619" t="s">
        <v>2489</v>
      </c>
      <c r="B619" t="s">
        <v>2490</v>
      </c>
      <c r="C619" s="4" t="s">
        <v>2487</v>
      </c>
      <c r="D619" t="s">
        <v>1749</v>
      </c>
      <c r="E619" t="s">
        <v>14</v>
      </c>
      <c r="F619" t="s">
        <v>85</v>
      </c>
      <c r="G619" t="s">
        <v>111</v>
      </c>
      <c r="H619" t="s">
        <v>78</v>
      </c>
      <c r="I619" t="s">
        <v>102</v>
      </c>
      <c r="J619" t="s">
        <v>32</v>
      </c>
      <c r="K619" t="s">
        <v>679</v>
      </c>
      <c r="L619" t="s">
        <v>89</v>
      </c>
      <c r="M619" t="s">
        <v>318</v>
      </c>
      <c r="N619" t="s">
        <v>1766</v>
      </c>
      <c r="O619" t="s">
        <v>2488</v>
      </c>
      <c r="P619" t="s">
        <v>2488</v>
      </c>
      <c r="Q619" t="s">
        <v>102</v>
      </c>
      <c r="R619" t="s">
        <v>78</v>
      </c>
      <c r="S619" t="s">
        <v>897</v>
      </c>
      <c r="T619" t="s">
        <v>2490</v>
      </c>
      <c r="U619" t="s">
        <v>322</v>
      </c>
      <c r="V619" t="s">
        <v>82</v>
      </c>
      <c r="W619" t="s">
        <v>639</v>
      </c>
      <c r="X619" t="s">
        <v>96</v>
      </c>
      <c r="Y619" t="s">
        <v>82</v>
      </c>
      <c r="Z619" t="s">
        <v>106</v>
      </c>
    </row>
    <row r="620" spans="1:26" x14ac:dyDescent="0.25">
      <c r="A620" t="s">
        <v>2491</v>
      </c>
      <c r="B620" t="s">
        <v>2492</v>
      </c>
      <c r="C620" s="4" t="s">
        <v>2493</v>
      </c>
      <c r="D620" t="s">
        <v>1460</v>
      </c>
      <c r="E620" t="s">
        <v>14</v>
      </c>
      <c r="F620" t="s">
        <v>86</v>
      </c>
      <c r="G620" t="s">
        <v>111</v>
      </c>
      <c r="H620" t="s">
        <v>78</v>
      </c>
      <c r="I620" t="s">
        <v>86</v>
      </c>
      <c r="J620" t="s">
        <v>2494</v>
      </c>
      <c r="K620" t="s">
        <v>1509</v>
      </c>
      <c r="L620" t="s">
        <v>89</v>
      </c>
      <c r="M620" t="s">
        <v>318</v>
      </c>
      <c r="N620" t="s">
        <v>90</v>
      </c>
      <c r="O620" t="s">
        <v>2495</v>
      </c>
      <c r="P620" t="s">
        <v>2496</v>
      </c>
      <c r="Q620" t="s">
        <v>102</v>
      </c>
      <c r="R620" t="s">
        <v>85</v>
      </c>
      <c r="S620" t="s">
        <v>2497</v>
      </c>
      <c r="T620" t="s">
        <v>2492</v>
      </c>
      <c r="U620" t="s">
        <v>322</v>
      </c>
      <c r="V620" t="s">
        <v>82</v>
      </c>
      <c r="W620" t="s">
        <v>1513</v>
      </c>
      <c r="X620" t="s">
        <v>96</v>
      </c>
      <c r="Y620" t="s">
        <v>82</v>
      </c>
      <c r="Z620" t="s">
        <v>134</v>
      </c>
    </row>
    <row r="621" spans="1:26" x14ac:dyDescent="0.25">
      <c r="A621" t="s">
        <v>2498</v>
      </c>
      <c r="B621" t="s">
        <v>2499</v>
      </c>
      <c r="C621" s="4" t="s">
        <v>2493</v>
      </c>
      <c r="D621" t="s">
        <v>1460</v>
      </c>
      <c r="E621" t="s">
        <v>14</v>
      </c>
      <c r="F621" t="s">
        <v>86</v>
      </c>
      <c r="G621" t="s">
        <v>111</v>
      </c>
      <c r="H621" t="s">
        <v>78</v>
      </c>
      <c r="I621" t="s">
        <v>86</v>
      </c>
      <c r="J621" t="s">
        <v>87</v>
      </c>
      <c r="K621" t="s">
        <v>1509</v>
      </c>
      <c r="L621" t="s">
        <v>89</v>
      </c>
      <c r="M621" t="s">
        <v>318</v>
      </c>
      <c r="N621" t="s">
        <v>90</v>
      </c>
      <c r="O621" t="s">
        <v>2495</v>
      </c>
      <c r="P621" t="s">
        <v>2500</v>
      </c>
      <c r="Q621" t="s">
        <v>102</v>
      </c>
      <c r="R621" t="s">
        <v>85</v>
      </c>
      <c r="S621" t="s">
        <v>2497</v>
      </c>
      <c r="T621" t="s">
        <v>2499</v>
      </c>
      <c r="U621" t="s">
        <v>322</v>
      </c>
      <c r="V621" t="s">
        <v>82</v>
      </c>
      <c r="W621" t="s">
        <v>1513</v>
      </c>
      <c r="X621" t="s">
        <v>96</v>
      </c>
      <c r="Y621" t="s">
        <v>82</v>
      </c>
      <c r="Z621" t="s">
        <v>134</v>
      </c>
    </row>
    <row r="622" spans="1:26" x14ac:dyDescent="0.25">
      <c r="A622" t="s">
        <v>2501</v>
      </c>
      <c r="B622" t="s">
        <v>2502</v>
      </c>
      <c r="C622" s="4" t="s">
        <v>2493</v>
      </c>
      <c r="D622" t="s">
        <v>1460</v>
      </c>
      <c r="E622" t="s">
        <v>14</v>
      </c>
      <c r="F622" t="s">
        <v>86</v>
      </c>
      <c r="G622" t="s">
        <v>111</v>
      </c>
      <c r="H622" t="s">
        <v>78</v>
      </c>
      <c r="I622" t="s">
        <v>86</v>
      </c>
      <c r="J622" t="s">
        <v>30</v>
      </c>
      <c r="K622" t="s">
        <v>1509</v>
      </c>
      <c r="L622" t="s">
        <v>89</v>
      </c>
      <c r="M622" t="s">
        <v>318</v>
      </c>
      <c r="N622" t="s">
        <v>90</v>
      </c>
      <c r="O622" t="s">
        <v>2495</v>
      </c>
      <c r="P622" t="s">
        <v>2503</v>
      </c>
      <c r="Q622" t="s">
        <v>102</v>
      </c>
      <c r="R622" t="s">
        <v>85</v>
      </c>
      <c r="S622" t="s">
        <v>2497</v>
      </c>
      <c r="T622" t="s">
        <v>2502</v>
      </c>
      <c r="U622" t="s">
        <v>322</v>
      </c>
      <c r="V622" t="s">
        <v>82</v>
      </c>
      <c r="W622" t="s">
        <v>1513</v>
      </c>
      <c r="X622" t="s">
        <v>96</v>
      </c>
      <c r="Y622" t="s">
        <v>82</v>
      </c>
      <c r="Z622" t="s">
        <v>134</v>
      </c>
    </row>
    <row r="623" spans="1:26" x14ac:dyDescent="0.25">
      <c r="A623" t="s">
        <v>2504</v>
      </c>
      <c r="B623" t="s">
        <v>2505</v>
      </c>
      <c r="C623" s="4" t="s">
        <v>2493</v>
      </c>
      <c r="D623" t="s">
        <v>1460</v>
      </c>
      <c r="E623" t="s">
        <v>14</v>
      </c>
      <c r="F623" t="s">
        <v>86</v>
      </c>
      <c r="G623" t="s">
        <v>111</v>
      </c>
      <c r="H623" t="s">
        <v>78</v>
      </c>
      <c r="I623" t="s">
        <v>86</v>
      </c>
      <c r="J623" t="s">
        <v>1002</v>
      </c>
      <c r="K623" t="s">
        <v>1509</v>
      </c>
      <c r="L623" t="s">
        <v>89</v>
      </c>
      <c r="M623" t="s">
        <v>318</v>
      </c>
      <c r="N623" t="s">
        <v>90</v>
      </c>
      <c r="O623" t="s">
        <v>2495</v>
      </c>
      <c r="P623" t="s">
        <v>2506</v>
      </c>
      <c r="Q623" t="s">
        <v>102</v>
      </c>
      <c r="R623" t="s">
        <v>85</v>
      </c>
      <c r="S623" t="s">
        <v>2497</v>
      </c>
      <c r="T623" t="s">
        <v>2505</v>
      </c>
      <c r="U623" t="s">
        <v>322</v>
      </c>
      <c r="V623" t="s">
        <v>82</v>
      </c>
      <c r="W623" t="s">
        <v>1513</v>
      </c>
      <c r="X623" t="s">
        <v>96</v>
      </c>
      <c r="Y623" t="s">
        <v>82</v>
      </c>
      <c r="Z623" t="s">
        <v>134</v>
      </c>
    </row>
    <row r="624" spans="1:26" x14ac:dyDescent="0.25">
      <c r="A624" t="s">
        <v>2507</v>
      </c>
      <c r="B624" t="s">
        <v>2508</v>
      </c>
      <c r="C624" s="4" t="s">
        <v>553</v>
      </c>
      <c r="D624" t="s">
        <v>1482</v>
      </c>
      <c r="E624" t="s">
        <v>14</v>
      </c>
      <c r="F624" t="s">
        <v>83</v>
      </c>
      <c r="G624" t="s">
        <v>84</v>
      </c>
      <c r="H624" t="s">
        <v>78</v>
      </c>
      <c r="I624" t="s">
        <v>86</v>
      </c>
      <c r="J624" t="s">
        <v>1002</v>
      </c>
      <c r="K624" t="s">
        <v>2460</v>
      </c>
      <c r="L624" t="s">
        <v>89</v>
      </c>
      <c r="M624" t="s">
        <v>318</v>
      </c>
      <c r="N624" t="s">
        <v>1536</v>
      </c>
      <c r="O624" t="s">
        <v>2509</v>
      </c>
      <c r="P624" t="s">
        <v>2510</v>
      </c>
      <c r="Q624" t="s">
        <v>102</v>
      </c>
      <c r="R624" t="s">
        <v>85</v>
      </c>
      <c r="S624" t="s">
        <v>2462</v>
      </c>
      <c r="T624" t="s">
        <v>2508</v>
      </c>
      <c r="U624" t="s">
        <v>322</v>
      </c>
      <c r="V624" t="s">
        <v>82</v>
      </c>
      <c r="W624" t="s">
        <v>1303</v>
      </c>
      <c r="X624" t="s">
        <v>96</v>
      </c>
      <c r="Y624" t="s">
        <v>82</v>
      </c>
      <c r="Z624" t="s">
        <v>134</v>
      </c>
    </row>
    <row r="625" spans="1:26" x14ac:dyDescent="0.25">
      <c r="A625" t="s">
        <v>2511</v>
      </c>
      <c r="B625" t="s">
        <v>2512</v>
      </c>
      <c r="C625" s="4" t="s">
        <v>553</v>
      </c>
      <c r="D625" t="s">
        <v>1482</v>
      </c>
      <c r="E625" t="s">
        <v>14</v>
      </c>
      <c r="F625" t="s">
        <v>83</v>
      </c>
      <c r="G625" t="s">
        <v>84</v>
      </c>
      <c r="H625" t="s">
        <v>78</v>
      </c>
      <c r="I625" t="s">
        <v>86</v>
      </c>
      <c r="J625" t="s">
        <v>2494</v>
      </c>
      <c r="K625" t="s">
        <v>2460</v>
      </c>
      <c r="L625" t="s">
        <v>89</v>
      </c>
      <c r="M625" t="s">
        <v>318</v>
      </c>
      <c r="N625" t="s">
        <v>1536</v>
      </c>
      <c r="O625" t="s">
        <v>2509</v>
      </c>
      <c r="P625" t="s">
        <v>2513</v>
      </c>
      <c r="Q625" t="s">
        <v>102</v>
      </c>
      <c r="R625" t="s">
        <v>85</v>
      </c>
      <c r="S625" t="s">
        <v>2462</v>
      </c>
      <c r="T625" t="s">
        <v>2512</v>
      </c>
      <c r="U625" t="s">
        <v>322</v>
      </c>
      <c r="V625" t="s">
        <v>82</v>
      </c>
      <c r="W625" t="s">
        <v>1303</v>
      </c>
      <c r="X625" t="s">
        <v>96</v>
      </c>
      <c r="Y625" t="s">
        <v>82</v>
      </c>
      <c r="Z625" t="s">
        <v>134</v>
      </c>
    </row>
    <row r="626" spans="1:26" x14ac:dyDescent="0.25">
      <c r="A626" t="s">
        <v>812</v>
      </c>
      <c r="B626" t="s">
        <v>2514</v>
      </c>
      <c r="C626" s="4" t="s">
        <v>553</v>
      </c>
      <c r="D626" t="s">
        <v>1482</v>
      </c>
      <c r="E626" t="s">
        <v>14</v>
      </c>
      <c r="F626" t="s">
        <v>83</v>
      </c>
      <c r="G626" t="s">
        <v>84</v>
      </c>
      <c r="H626" t="s">
        <v>78</v>
      </c>
      <c r="I626" t="s">
        <v>86</v>
      </c>
      <c r="J626" t="s">
        <v>87</v>
      </c>
      <c r="K626" t="s">
        <v>2460</v>
      </c>
      <c r="L626" t="s">
        <v>89</v>
      </c>
      <c r="M626" t="s">
        <v>318</v>
      </c>
      <c r="N626" t="s">
        <v>1536</v>
      </c>
      <c r="O626" t="s">
        <v>2515</v>
      </c>
      <c r="P626" t="s">
        <v>2516</v>
      </c>
      <c r="Q626" t="s">
        <v>102</v>
      </c>
      <c r="R626" t="s">
        <v>85</v>
      </c>
      <c r="S626" t="s">
        <v>2462</v>
      </c>
      <c r="T626" t="s">
        <v>2514</v>
      </c>
      <c r="U626" t="s">
        <v>322</v>
      </c>
      <c r="V626" t="s">
        <v>82</v>
      </c>
      <c r="W626" t="s">
        <v>1303</v>
      </c>
      <c r="X626" t="s">
        <v>96</v>
      </c>
      <c r="Y626" t="s">
        <v>82</v>
      </c>
      <c r="Z626" t="s">
        <v>134</v>
      </c>
    </row>
    <row r="627" spans="1:26" x14ac:dyDescent="0.25">
      <c r="A627" t="s">
        <v>2517</v>
      </c>
      <c r="B627" t="s">
        <v>2518</v>
      </c>
      <c r="C627" s="4" t="s">
        <v>553</v>
      </c>
      <c r="D627" t="s">
        <v>1482</v>
      </c>
      <c r="E627" t="s">
        <v>14</v>
      </c>
      <c r="F627" t="s">
        <v>83</v>
      </c>
      <c r="G627" t="s">
        <v>84</v>
      </c>
      <c r="H627" t="s">
        <v>78</v>
      </c>
      <c r="I627" t="s">
        <v>86</v>
      </c>
      <c r="J627" t="s">
        <v>30</v>
      </c>
      <c r="K627" t="s">
        <v>2460</v>
      </c>
      <c r="L627" t="s">
        <v>89</v>
      </c>
      <c r="M627" t="s">
        <v>318</v>
      </c>
      <c r="N627" t="s">
        <v>1536</v>
      </c>
      <c r="O627" t="s">
        <v>2515</v>
      </c>
      <c r="P627" t="s">
        <v>2519</v>
      </c>
      <c r="Q627" t="s">
        <v>102</v>
      </c>
      <c r="R627" t="s">
        <v>85</v>
      </c>
      <c r="S627" t="s">
        <v>2462</v>
      </c>
      <c r="T627" t="s">
        <v>2518</v>
      </c>
      <c r="U627" t="s">
        <v>322</v>
      </c>
      <c r="V627" t="s">
        <v>82</v>
      </c>
      <c r="W627" t="s">
        <v>1303</v>
      </c>
      <c r="X627" t="s">
        <v>96</v>
      </c>
      <c r="Y627" t="s">
        <v>82</v>
      </c>
      <c r="Z627" t="s">
        <v>134</v>
      </c>
    </row>
    <row r="628" spans="1:26" x14ac:dyDescent="0.25">
      <c r="A628" t="s">
        <v>2520</v>
      </c>
      <c r="B628" t="s">
        <v>2521</v>
      </c>
      <c r="C628" s="4" t="s">
        <v>4105</v>
      </c>
      <c r="D628" t="s">
        <v>58</v>
      </c>
      <c r="E628" t="s">
        <v>14</v>
      </c>
      <c r="F628" t="s">
        <v>86</v>
      </c>
      <c r="G628" t="s">
        <v>111</v>
      </c>
      <c r="H628" t="s">
        <v>78</v>
      </c>
      <c r="I628" t="s">
        <v>86</v>
      </c>
      <c r="J628" t="s">
        <v>30</v>
      </c>
      <c r="K628" t="s">
        <v>1316</v>
      </c>
      <c r="L628" t="s">
        <v>89</v>
      </c>
      <c r="M628" t="s">
        <v>318</v>
      </c>
      <c r="N628" t="s">
        <v>2175</v>
      </c>
      <c r="O628" t="s">
        <v>2522</v>
      </c>
      <c r="P628" t="s">
        <v>2522</v>
      </c>
      <c r="Q628" t="s">
        <v>102</v>
      </c>
      <c r="R628" t="s">
        <v>143</v>
      </c>
      <c r="S628" t="s">
        <v>1551</v>
      </c>
      <c r="T628" t="s">
        <v>2521</v>
      </c>
      <c r="U628" t="s">
        <v>322</v>
      </c>
      <c r="V628" t="s">
        <v>82</v>
      </c>
      <c r="W628" t="s">
        <v>968</v>
      </c>
      <c r="X628" t="s">
        <v>96</v>
      </c>
      <c r="Y628" t="s">
        <v>82</v>
      </c>
      <c r="Z628" t="s">
        <v>149</v>
      </c>
    </row>
    <row r="629" spans="1:26" x14ac:dyDescent="0.25">
      <c r="A629" t="s">
        <v>2523</v>
      </c>
      <c r="B629" t="s">
        <v>2524</v>
      </c>
      <c r="C629" s="4" t="s">
        <v>4105</v>
      </c>
      <c r="D629" t="s">
        <v>58</v>
      </c>
      <c r="E629" t="s">
        <v>14</v>
      </c>
      <c r="F629" t="s">
        <v>86</v>
      </c>
      <c r="G629" t="s">
        <v>111</v>
      </c>
      <c r="H629" t="s">
        <v>78</v>
      </c>
      <c r="I629" t="s">
        <v>86</v>
      </c>
      <c r="J629" t="s">
        <v>1053</v>
      </c>
      <c r="K629" t="s">
        <v>1316</v>
      </c>
      <c r="L629" t="s">
        <v>89</v>
      </c>
      <c r="M629" t="s">
        <v>318</v>
      </c>
      <c r="N629" t="s">
        <v>2175</v>
      </c>
      <c r="O629" t="s">
        <v>2522</v>
      </c>
      <c r="P629" t="s">
        <v>2522</v>
      </c>
      <c r="Q629" t="s">
        <v>102</v>
      </c>
      <c r="R629" t="s">
        <v>143</v>
      </c>
      <c r="S629" t="s">
        <v>1551</v>
      </c>
      <c r="T629" t="s">
        <v>2524</v>
      </c>
      <c r="U629" t="s">
        <v>322</v>
      </c>
      <c r="V629" t="s">
        <v>82</v>
      </c>
      <c r="W629" t="s">
        <v>968</v>
      </c>
      <c r="X629" t="s">
        <v>96</v>
      </c>
      <c r="Y629" t="s">
        <v>82</v>
      </c>
      <c r="Z629" t="s">
        <v>149</v>
      </c>
    </row>
    <row r="630" spans="1:26" x14ac:dyDescent="0.25">
      <c r="A630" t="s">
        <v>2525</v>
      </c>
      <c r="B630" t="s">
        <v>2526</v>
      </c>
      <c r="C630" s="4" t="s">
        <v>4105</v>
      </c>
      <c r="D630" t="s">
        <v>58</v>
      </c>
      <c r="E630" t="s">
        <v>14</v>
      </c>
      <c r="F630" t="s">
        <v>86</v>
      </c>
      <c r="G630" t="s">
        <v>111</v>
      </c>
      <c r="H630" t="s">
        <v>78</v>
      </c>
      <c r="I630" t="s">
        <v>86</v>
      </c>
      <c r="J630" t="s">
        <v>1090</v>
      </c>
      <c r="K630" t="s">
        <v>1316</v>
      </c>
      <c r="L630" t="s">
        <v>89</v>
      </c>
      <c r="M630" t="s">
        <v>318</v>
      </c>
      <c r="N630" t="s">
        <v>2175</v>
      </c>
      <c r="O630" t="s">
        <v>2527</v>
      </c>
      <c r="P630" t="s">
        <v>2527</v>
      </c>
      <c r="Q630" t="s">
        <v>102</v>
      </c>
      <c r="R630" t="s">
        <v>143</v>
      </c>
      <c r="S630" t="s">
        <v>1551</v>
      </c>
      <c r="T630" t="s">
        <v>2526</v>
      </c>
      <c r="U630" t="s">
        <v>322</v>
      </c>
      <c r="V630" t="s">
        <v>82</v>
      </c>
      <c r="W630" t="s">
        <v>968</v>
      </c>
      <c r="X630" t="s">
        <v>96</v>
      </c>
      <c r="Y630" t="s">
        <v>82</v>
      </c>
      <c r="Z630" t="s">
        <v>149</v>
      </c>
    </row>
    <row r="631" spans="1:26" x14ac:dyDescent="0.25">
      <c r="A631" t="s">
        <v>2528</v>
      </c>
      <c r="B631" t="s">
        <v>2529</v>
      </c>
      <c r="C631" s="4" t="s">
        <v>4105</v>
      </c>
      <c r="D631" t="s">
        <v>58</v>
      </c>
      <c r="E631" t="s">
        <v>14</v>
      </c>
      <c r="F631" t="s">
        <v>86</v>
      </c>
      <c r="G631" t="s">
        <v>111</v>
      </c>
      <c r="H631" t="s">
        <v>78</v>
      </c>
      <c r="I631" t="s">
        <v>86</v>
      </c>
      <c r="J631" t="s">
        <v>130</v>
      </c>
      <c r="K631" t="s">
        <v>1316</v>
      </c>
      <c r="L631" t="s">
        <v>89</v>
      </c>
      <c r="M631" t="s">
        <v>318</v>
      </c>
      <c r="N631" t="s">
        <v>2175</v>
      </c>
      <c r="O631" t="s">
        <v>2527</v>
      </c>
      <c r="P631" t="s">
        <v>2527</v>
      </c>
      <c r="Q631" t="s">
        <v>102</v>
      </c>
      <c r="R631" t="s">
        <v>143</v>
      </c>
      <c r="S631" t="s">
        <v>1551</v>
      </c>
      <c r="T631" t="s">
        <v>2529</v>
      </c>
      <c r="U631" t="s">
        <v>322</v>
      </c>
      <c r="V631" t="s">
        <v>82</v>
      </c>
      <c r="W631" t="s">
        <v>968</v>
      </c>
      <c r="X631" t="s">
        <v>96</v>
      </c>
      <c r="Y631" t="s">
        <v>82</v>
      </c>
      <c r="Z631" t="s">
        <v>149</v>
      </c>
    </row>
    <row r="632" spans="1:26" x14ac:dyDescent="0.25">
      <c r="A632" t="s">
        <v>2530</v>
      </c>
      <c r="B632" t="s">
        <v>2531</v>
      </c>
      <c r="C632" s="4" t="s">
        <v>4105</v>
      </c>
      <c r="D632" t="s">
        <v>58</v>
      </c>
      <c r="E632" t="s">
        <v>14</v>
      </c>
      <c r="F632" t="s">
        <v>86</v>
      </c>
      <c r="G632" t="s">
        <v>111</v>
      </c>
      <c r="H632" t="s">
        <v>78</v>
      </c>
      <c r="I632" t="s">
        <v>86</v>
      </c>
      <c r="J632" t="s">
        <v>265</v>
      </c>
      <c r="K632" t="s">
        <v>1316</v>
      </c>
      <c r="L632" t="s">
        <v>89</v>
      </c>
      <c r="M632" t="s">
        <v>318</v>
      </c>
      <c r="N632" t="s">
        <v>2175</v>
      </c>
      <c r="O632" t="s">
        <v>2527</v>
      </c>
      <c r="P632" t="s">
        <v>2527</v>
      </c>
      <c r="Q632" t="s">
        <v>102</v>
      </c>
      <c r="R632" t="s">
        <v>143</v>
      </c>
      <c r="S632" t="s">
        <v>1551</v>
      </c>
      <c r="T632" t="s">
        <v>2531</v>
      </c>
      <c r="U632" t="s">
        <v>322</v>
      </c>
      <c r="V632" t="s">
        <v>82</v>
      </c>
      <c r="W632" t="s">
        <v>968</v>
      </c>
      <c r="X632" t="s">
        <v>96</v>
      </c>
      <c r="Y632" t="s">
        <v>82</v>
      </c>
      <c r="Z632" t="s">
        <v>149</v>
      </c>
    </row>
    <row r="633" spans="1:26" x14ac:dyDescent="0.25">
      <c r="A633" t="s">
        <v>2532</v>
      </c>
      <c r="B633" t="s">
        <v>2533</v>
      </c>
      <c r="C633" s="4" t="s">
        <v>2534</v>
      </c>
      <c r="D633" t="s">
        <v>2535</v>
      </c>
      <c r="E633" t="s">
        <v>14</v>
      </c>
      <c r="F633" t="s">
        <v>83</v>
      </c>
      <c r="G633" t="s">
        <v>84</v>
      </c>
      <c r="H633" t="s">
        <v>78</v>
      </c>
      <c r="I633" t="s">
        <v>86</v>
      </c>
      <c r="J633" t="s">
        <v>1002</v>
      </c>
      <c r="K633" t="s">
        <v>2536</v>
      </c>
      <c r="L633" t="s">
        <v>89</v>
      </c>
      <c r="M633" t="s">
        <v>318</v>
      </c>
      <c r="N633" t="s">
        <v>2175</v>
      </c>
      <c r="O633" t="s">
        <v>2537</v>
      </c>
      <c r="P633" t="s">
        <v>2538</v>
      </c>
      <c r="Q633" t="s">
        <v>78</v>
      </c>
      <c r="R633" t="s">
        <v>85</v>
      </c>
      <c r="S633" t="s">
        <v>2539</v>
      </c>
      <c r="T633" t="s">
        <v>2533</v>
      </c>
      <c r="U633" t="s">
        <v>322</v>
      </c>
      <c r="V633" t="s">
        <v>82</v>
      </c>
      <c r="W633" t="s">
        <v>354</v>
      </c>
      <c r="X633" t="s">
        <v>96</v>
      </c>
      <c r="Y633" t="s">
        <v>82</v>
      </c>
      <c r="Z633" t="s">
        <v>149</v>
      </c>
    </row>
    <row r="634" spans="1:26" x14ac:dyDescent="0.25">
      <c r="A634" t="s">
        <v>2540</v>
      </c>
      <c r="B634" t="s">
        <v>2541</v>
      </c>
      <c r="C634" s="4" t="s">
        <v>2534</v>
      </c>
      <c r="D634" t="s">
        <v>2535</v>
      </c>
      <c r="E634" t="s">
        <v>14</v>
      </c>
      <c r="F634" t="s">
        <v>83</v>
      </c>
      <c r="G634" t="s">
        <v>84</v>
      </c>
      <c r="H634" t="s">
        <v>78</v>
      </c>
      <c r="I634" t="s">
        <v>86</v>
      </c>
      <c r="J634" t="s">
        <v>30</v>
      </c>
      <c r="K634" t="s">
        <v>2536</v>
      </c>
      <c r="L634" t="s">
        <v>89</v>
      </c>
      <c r="M634" t="s">
        <v>318</v>
      </c>
      <c r="N634" t="s">
        <v>2175</v>
      </c>
      <c r="O634" t="s">
        <v>2542</v>
      </c>
      <c r="P634" t="s">
        <v>2543</v>
      </c>
      <c r="Q634" t="s">
        <v>78</v>
      </c>
      <c r="R634" t="s">
        <v>85</v>
      </c>
      <c r="S634" t="s">
        <v>2539</v>
      </c>
      <c r="T634" t="s">
        <v>2541</v>
      </c>
      <c r="U634" t="s">
        <v>322</v>
      </c>
      <c r="V634" t="s">
        <v>82</v>
      </c>
      <c r="W634" t="s">
        <v>354</v>
      </c>
      <c r="X634" t="s">
        <v>96</v>
      </c>
      <c r="Y634" t="s">
        <v>82</v>
      </c>
      <c r="Z634" t="s">
        <v>149</v>
      </c>
    </row>
    <row r="635" spans="1:26" x14ac:dyDescent="0.25">
      <c r="A635" t="s">
        <v>2053</v>
      </c>
      <c r="B635" t="s">
        <v>2544</v>
      </c>
      <c r="C635" s="4" t="s">
        <v>2534</v>
      </c>
      <c r="D635" t="s">
        <v>2535</v>
      </c>
      <c r="E635" t="s">
        <v>14</v>
      </c>
      <c r="F635" t="s">
        <v>83</v>
      </c>
      <c r="G635" t="s">
        <v>84</v>
      </c>
      <c r="H635" t="s">
        <v>78</v>
      </c>
      <c r="I635" t="s">
        <v>86</v>
      </c>
      <c r="J635" t="s">
        <v>29</v>
      </c>
      <c r="K635" t="s">
        <v>2536</v>
      </c>
      <c r="L635" t="s">
        <v>89</v>
      </c>
      <c r="M635" t="s">
        <v>318</v>
      </c>
      <c r="N635" t="s">
        <v>2175</v>
      </c>
      <c r="O635" t="s">
        <v>2542</v>
      </c>
      <c r="P635" t="s">
        <v>2545</v>
      </c>
      <c r="Q635" t="s">
        <v>78</v>
      </c>
      <c r="R635" t="s">
        <v>85</v>
      </c>
      <c r="S635" t="s">
        <v>2539</v>
      </c>
      <c r="T635" t="s">
        <v>2544</v>
      </c>
      <c r="U635" t="s">
        <v>322</v>
      </c>
      <c r="V635" t="s">
        <v>82</v>
      </c>
      <c r="W635" t="s">
        <v>354</v>
      </c>
      <c r="X635" t="s">
        <v>96</v>
      </c>
      <c r="Y635" t="s">
        <v>82</v>
      </c>
      <c r="Z635" t="s">
        <v>149</v>
      </c>
    </row>
    <row r="636" spans="1:26" x14ac:dyDescent="0.25">
      <c r="A636" t="s">
        <v>2546</v>
      </c>
      <c r="B636" t="s">
        <v>2547</v>
      </c>
      <c r="C636" s="4" t="s">
        <v>2534</v>
      </c>
      <c r="D636" t="s">
        <v>2535</v>
      </c>
      <c r="E636" t="s">
        <v>14</v>
      </c>
      <c r="F636" t="s">
        <v>83</v>
      </c>
      <c r="G636" t="s">
        <v>84</v>
      </c>
      <c r="H636" t="s">
        <v>78</v>
      </c>
      <c r="I636" t="s">
        <v>86</v>
      </c>
      <c r="J636" t="s">
        <v>87</v>
      </c>
      <c r="K636" t="s">
        <v>2536</v>
      </c>
      <c r="L636" t="s">
        <v>89</v>
      </c>
      <c r="M636" t="s">
        <v>318</v>
      </c>
      <c r="N636" t="s">
        <v>2175</v>
      </c>
      <c r="O636" t="s">
        <v>2548</v>
      </c>
      <c r="P636" t="s">
        <v>2549</v>
      </c>
      <c r="Q636" t="s">
        <v>78</v>
      </c>
      <c r="R636" t="s">
        <v>85</v>
      </c>
      <c r="S636" t="s">
        <v>2539</v>
      </c>
      <c r="T636" t="s">
        <v>2547</v>
      </c>
      <c r="U636" t="s">
        <v>322</v>
      </c>
      <c r="V636" t="s">
        <v>82</v>
      </c>
      <c r="W636" t="s">
        <v>354</v>
      </c>
      <c r="X636" t="s">
        <v>96</v>
      </c>
      <c r="Y636" t="s">
        <v>82</v>
      </c>
      <c r="Z636" t="s">
        <v>149</v>
      </c>
    </row>
    <row r="637" spans="1:26" x14ac:dyDescent="0.25">
      <c r="A637" t="s">
        <v>2550</v>
      </c>
      <c r="B637" t="s">
        <v>2551</v>
      </c>
      <c r="C637" s="4" t="s">
        <v>2534</v>
      </c>
      <c r="D637" t="s">
        <v>2535</v>
      </c>
      <c r="E637" t="s">
        <v>14</v>
      </c>
      <c r="F637" t="s">
        <v>105</v>
      </c>
      <c r="G637" t="s">
        <v>106</v>
      </c>
      <c r="H637" t="s">
        <v>78</v>
      </c>
      <c r="I637" t="s">
        <v>86</v>
      </c>
      <c r="J637" t="s">
        <v>87</v>
      </c>
      <c r="K637" t="s">
        <v>679</v>
      </c>
      <c r="L637" t="s">
        <v>89</v>
      </c>
      <c r="M637" t="s">
        <v>318</v>
      </c>
      <c r="N637" t="s">
        <v>1766</v>
      </c>
      <c r="O637" t="s">
        <v>2552</v>
      </c>
      <c r="P637" t="s">
        <v>2553</v>
      </c>
      <c r="Q637" t="s">
        <v>78</v>
      </c>
      <c r="R637" t="s">
        <v>85</v>
      </c>
      <c r="S637" t="s">
        <v>1575</v>
      </c>
      <c r="T637" t="s">
        <v>2551</v>
      </c>
      <c r="U637" t="s">
        <v>322</v>
      </c>
      <c r="V637" t="s">
        <v>82</v>
      </c>
      <c r="W637" t="s">
        <v>639</v>
      </c>
      <c r="X637" t="s">
        <v>96</v>
      </c>
      <c r="Y637" t="s">
        <v>82</v>
      </c>
      <c r="Z637" t="s">
        <v>149</v>
      </c>
    </row>
    <row r="638" spans="1:26" x14ac:dyDescent="0.25">
      <c r="A638" t="s">
        <v>2554</v>
      </c>
      <c r="B638" t="s">
        <v>2555</v>
      </c>
      <c r="C638" s="4" t="s">
        <v>2534</v>
      </c>
      <c r="D638" t="s">
        <v>2535</v>
      </c>
      <c r="E638" t="s">
        <v>14</v>
      </c>
      <c r="F638" t="s">
        <v>105</v>
      </c>
      <c r="G638" t="s">
        <v>106</v>
      </c>
      <c r="H638" t="s">
        <v>78</v>
      </c>
      <c r="I638" t="s">
        <v>86</v>
      </c>
      <c r="J638" t="s">
        <v>1002</v>
      </c>
      <c r="K638" t="s">
        <v>679</v>
      </c>
      <c r="L638" t="s">
        <v>89</v>
      </c>
      <c r="M638" t="s">
        <v>318</v>
      </c>
      <c r="N638" t="s">
        <v>1766</v>
      </c>
      <c r="O638" t="s">
        <v>2556</v>
      </c>
      <c r="P638" t="s">
        <v>2557</v>
      </c>
      <c r="Q638" t="s">
        <v>78</v>
      </c>
      <c r="R638" t="s">
        <v>85</v>
      </c>
      <c r="S638" t="s">
        <v>1575</v>
      </c>
      <c r="T638" t="s">
        <v>2555</v>
      </c>
      <c r="U638" t="s">
        <v>322</v>
      </c>
      <c r="V638" t="s">
        <v>82</v>
      </c>
      <c r="W638" t="s">
        <v>639</v>
      </c>
      <c r="X638" t="s">
        <v>96</v>
      </c>
      <c r="Y638" t="s">
        <v>82</v>
      </c>
      <c r="Z638" t="s">
        <v>149</v>
      </c>
    </row>
    <row r="639" spans="1:26" x14ac:dyDescent="0.25">
      <c r="A639" t="s">
        <v>2558</v>
      </c>
      <c r="B639" t="s">
        <v>2559</v>
      </c>
      <c r="C639" s="4" t="s">
        <v>2534</v>
      </c>
      <c r="D639" t="s">
        <v>2535</v>
      </c>
      <c r="E639" t="s">
        <v>14</v>
      </c>
      <c r="F639" t="s">
        <v>105</v>
      </c>
      <c r="G639" t="s">
        <v>106</v>
      </c>
      <c r="H639" t="s">
        <v>78</v>
      </c>
      <c r="I639" t="s">
        <v>86</v>
      </c>
      <c r="J639" t="s">
        <v>30</v>
      </c>
      <c r="K639" t="s">
        <v>679</v>
      </c>
      <c r="L639" t="s">
        <v>89</v>
      </c>
      <c r="M639" t="s">
        <v>318</v>
      </c>
      <c r="N639" t="s">
        <v>1766</v>
      </c>
      <c r="O639" t="s">
        <v>2556</v>
      </c>
      <c r="P639" t="s">
        <v>2560</v>
      </c>
      <c r="Q639" t="s">
        <v>78</v>
      </c>
      <c r="R639" t="s">
        <v>85</v>
      </c>
      <c r="S639" t="s">
        <v>1575</v>
      </c>
      <c r="T639" t="s">
        <v>2559</v>
      </c>
      <c r="U639" t="s">
        <v>322</v>
      </c>
      <c r="V639" t="s">
        <v>82</v>
      </c>
      <c r="W639" t="s">
        <v>639</v>
      </c>
      <c r="X639" t="s">
        <v>96</v>
      </c>
      <c r="Y639" t="s">
        <v>82</v>
      </c>
      <c r="Z639" t="s">
        <v>149</v>
      </c>
    </row>
    <row r="640" spans="1:26" x14ac:dyDescent="0.25">
      <c r="A640" t="s">
        <v>2561</v>
      </c>
      <c r="B640" t="s">
        <v>2562</v>
      </c>
      <c r="C640" s="4" t="s">
        <v>2534</v>
      </c>
      <c r="D640" t="s">
        <v>2535</v>
      </c>
      <c r="E640" t="s">
        <v>14</v>
      </c>
      <c r="F640" t="s">
        <v>105</v>
      </c>
      <c r="G640" t="s">
        <v>106</v>
      </c>
      <c r="H640" t="s">
        <v>78</v>
      </c>
      <c r="I640" t="s">
        <v>86</v>
      </c>
      <c r="J640" t="s">
        <v>29</v>
      </c>
      <c r="K640" t="s">
        <v>679</v>
      </c>
      <c r="L640" t="s">
        <v>89</v>
      </c>
      <c r="M640" t="s">
        <v>318</v>
      </c>
      <c r="N640" t="s">
        <v>1766</v>
      </c>
      <c r="O640" t="s">
        <v>2556</v>
      </c>
      <c r="P640" t="s">
        <v>2563</v>
      </c>
      <c r="Q640" t="s">
        <v>78</v>
      </c>
      <c r="R640" t="s">
        <v>85</v>
      </c>
      <c r="S640" t="s">
        <v>1575</v>
      </c>
      <c r="T640" t="s">
        <v>2562</v>
      </c>
      <c r="U640" t="s">
        <v>322</v>
      </c>
      <c r="V640" t="s">
        <v>82</v>
      </c>
      <c r="W640" t="s">
        <v>639</v>
      </c>
      <c r="X640" t="s">
        <v>96</v>
      </c>
      <c r="Y640" t="s">
        <v>82</v>
      </c>
      <c r="Z640" t="s">
        <v>149</v>
      </c>
    </row>
    <row r="641" spans="1:26" x14ac:dyDescent="0.25">
      <c r="A641" t="s">
        <v>2564</v>
      </c>
      <c r="B641" t="s">
        <v>2565</v>
      </c>
      <c r="C641" s="4" t="s">
        <v>2566</v>
      </c>
      <c r="D641" t="s">
        <v>2567</v>
      </c>
      <c r="E641" t="s">
        <v>14</v>
      </c>
      <c r="F641" t="s">
        <v>83</v>
      </c>
      <c r="G641" t="s">
        <v>84</v>
      </c>
      <c r="H641" t="s">
        <v>78</v>
      </c>
      <c r="I641" t="s">
        <v>86</v>
      </c>
      <c r="J641" t="s">
        <v>1002</v>
      </c>
      <c r="K641" t="s">
        <v>2536</v>
      </c>
      <c r="L641" t="s">
        <v>89</v>
      </c>
      <c r="M641" t="s">
        <v>318</v>
      </c>
      <c r="N641" t="s">
        <v>2175</v>
      </c>
      <c r="O641" t="s">
        <v>2568</v>
      </c>
      <c r="P641" t="s">
        <v>2569</v>
      </c>
      <c r="Q641" t="s">
        <v>78</v>
      </c>
      <c r="R641" t="s">
        <v>85</v>
      </c>
      <c r="S641" t="s">
        <v>2539</v>
      </c>
      <c r="T641" t="s">
        <v>2565</v>
      </c>
      <c r="U641" t="s">
        <v>322</v>
      </c>
      <c r="V641" t="s">
        <v>82</v>
      </c>
      <c r="W641" t="s">
        <v>354</v>
      </c>
      <c r="X641" t="s">
        <v>96</v>
      </c>
      <c r="Y641" t="s">
        <v>82</v>
      </c>
      <c r="Z641" t="s">
        <v>149</v>
      </c>
    </row>
    <row r="642" spans="1:26" x14ac:dyDescent="0.25">
      <c r="A642" t="s">
        <v>2570</v>
      </c>
      <c r="B642" t="s">
        <v>2571</v>
      </c>
      <c r="C642" s="4" t="s">
        <v>2566</v>
      </c>
      <c r="D642" t="s">
        <v>2567</v>
      </c>
      <c r="E642" t="s">
        <v>14</v>
      </c>
      <c r="F642" t="s">
        <v>83</v>
      </c>
      <c r="G642" t="s">
        <v>84</v>
      </c>
      <c r="H642" t="s">
        <v>78</v>
      </c>
      <c r="I642" t="s">
        <v>86</v>
      </c>
      <c r="J642" t="s">
        <v>15</v>
      </c>
      <c r="K642" t="s">
        <v>2536</v>
      </c>
      <c r="L642" t="s">
        <v>89</v>
      </c>
      <c r="M642" t="s">
        <v>318</v>
      </c>
      <c r="N642" t="s">
        <v>2175</v>
      </c>
      <c r="O642" t="s">
        <v>2568</v>
      </c>
      <c r="P642" t="s">
        <v>2572</v>
      </c>
      <c r="Q642" t="s">
        <v>78</v>
      </c>
      <c r="R642" t="s">
        <v>85</v>
      </c>
      <c r="S642" t="s">
        <v>2539</v>
      </c>
      <c r="T642" t="s">
        <v>2571</v>
      </c>
      <c r="U642" t="s">
        <v>322</v>
      </c>
      <c r="V642" t="s">
        <v>82</v>
      </c>
      <c r="W642" t="s">
        <v>354</v>
      </c>
      <c r="X642" t="s">
        <v>96</v>
      </c>
      <c r="Y642" t="s">
        <v>82</v>
      </c>
      <c r="Z642" t="s">
        <v>149</v>
      </c>
    </row>
    <row r="643" spans="1:26" x14ac:dyDescent="0.25">
      <c r="A643" t="s">
        <v>2573</v>
      </c>
      <c r="B643" t="s">
        <v>2574</v>
      </c>
      <c r="C643" s="4" t="s">
        <v>2566</v>
      </c>
      <c r="D643" t="s">
        <v>2567</v>
      </c>
      <c r="E643" t="s">
        <v>14</v>
      </c>
      <c r="F643" t="s">
        <v>83</v>
      </c>
      <c r="G643" t="s">
        <v>84</v>
      </c>
      <c r="H643" t="s">
        <v>78</v>
      </c>
      <c r="I643" t="s">
        <v>86</v>
      </c>
      <c r="J643" t="s">
        <v>340</v>
      </c>
      <c r="K643" t="s">
        <v>2536</v>
      </c>
      <c r="L643" t="s">
        <v>89</v>
      </c>
      <c r="M643" t="s">
        <v>318</v>
      </c>
      <c r="N643" t="s">
        <v>2175</v>
      </c>
      <c r="O643" t="s">
        <v>2568</v>
      </c>
      <c r="P643" t="s">
        <v>2575</v>
      </c>
      <c r="Q643" t="s">
        <v>78</v>
      </c>
      <c r="R643" t="s">
        <v>85</v>
      </c>
      <c r="S643" t="s">
        <v>2539</v>
      </c>
      <c r="T643" t="s">
        <v>2574</v>
      </c>
      <c r="U643" t="s">
        <v>322</v>
      </c>
      <c r="V643" t="s">
        <v>82</v>
      </c>
      <c r="W643" t="s">
        <v>354</v>
      </c>
      <c r="X643" t="s">
        <v>96</v>
      </c>
      <c r="Y643" t="s">
        <v>82</v>
      </c>
      <c r="Z643" t="s">
        <v>149</v>
      </c>
    </row>
    <row r="644" spans="1:26" x14ac:dyDescent="0.25">
      <c r="A644" t="s">
        <v>2576</v>
      </c>
      <c r="B644" t="s">
        <v>2577</v>
      </c>
      <c r="C644" s="4" t="s">
        <v>2566</v>
      </c>
      <c r="D644" t="s">
        <v>2567</v>
      </c>
      <c r="E644" t="s">
        <v>14</v>
      </c>
      <c r="F644" t="s">
        <v>83</v>
      </c>
      <c r="G644" t="s">
        <v>84</v>
      </c>
      <c r="H644" t="s">
        <v>78</v>
      </c>
      <c r="I644" t="s">
        <v>86</v>
      </c>
      <c r="J644" t="s">
        <v>607</v>
      </c>
      <c r="K644" t="s">
        <v>2536</v>
      </c>
      <c r="L644" t="s">
        <v>89</v>
      </c>
      <c r="M644" t="s">
        <v>318</v>
      </c>
      <c r="N644" t="s">
        <v>2175</v>
      </c>
      <c r="O644" t="s">
        <v>2568</v>
      </c>
      <c r="P644" t="s">
        <v>2578</v>
      </c>
      <c r="Q644" t="s">
        <v>78</v>
      </c>
      <c r="R644" t="s">
        <v>85</v>
      </c>
      <c r="S644" t="s">
        <v>2539</v>
      </c>
      <c r="T644" t="s">
        <v>2577</v>
      </c>
      <c r="U644" t="s">
        <v>322</v>
      </c>
      <c r="V644" t="s">
        <v>82</v>
      </c>
      <c r="W644" t="s">
        <v>354</v>
      </c>
      <c r="X644" t="s">
        <v>96</v>
      </c>
      <c r="Y644" t="s">
        <v>82</v>
      </c>
      <c r="Z644" t="s">
        <v>149</v>
      </c>
    </row>
    <row r="645" spans="1:26" x14ac:dyDescent="0.25">
      <c r="A645" t="s">
        <v>2579</v>
      </c>
      <c r="B645" t="s">
        <v>2580</v>
      </c>
      <c r="C645" s="4" t="s">
        <v>2566</v>
      </c>
      <c r="D645" t="s">
        <v>2567</v>
      </c>
      <c r="E645" t="s">
        <v>14</v>
      </c>
      <c r="F645" t="s">
        <v>105</v>
      </c>
      <c r="G645" t="s">
        <v>106</v>
      </c>
      <c r="H645" t="s">
        <v>78</v>
      </c>
      <c r="I645" t="s">
        <v>86</v>
      </c>
      <c r="J645" t="s">
        <v>607</v>
      </c>
      <c r="K645" t="s">
        <v>2581</v>
      </c>
      <c r="L645" t="s">
        <v>89</v>
      </c>
      <c r="M645" t="s">
        <v>318</v>
      </c>
      <c r="N645" t="s">
        <v>1766</v>
      </c>
      <c r="O645" t="s">
        <v>2582</v>
      </c>
      <c r="P645" t="s">
        <v>2583</v>
      </c>
      <c r="Q645" t="s">
        <v>78</v>
      </c>
      <c r="R645" t="s">
        <v>85</v>
      </c>
      <c r="S645" t="s">
        <v>2584</v>
      </c>
      <c r="T645" t="s">
        <v>2580</v>
      </c>
      <c r="U645" t="s">
        <v>322</v>
      </c>
      <c r="V645" t="s">
        <v>82</v>
      </c>
      <c r="W645" t="s">
        <v>2585</v>
      </c>
      <c r="X645" t="s">
        <v>96</v>
      </c>
      <c r="Y645" t="s">
        <v>82</v>
      </c>
      <c r="Z645" t="s">
        <v>149</v>
      </c>
    </row>
    <row r="646" spans="1:26" x14ac:dyDescent="0.25">
      <c r="A646" t="s">
        <v>2586</v>
      </c>
      <c r="B646" t="s">
        <v>2587</v>
      </c>
      <c r="C646" s="4" t="s">
        <v>2566</v>
      </c>
      <c r="D646" t="s">
        <v>2567</v>
      </c>
      <c r="E646" t="s">
        <v>14</v>
      </c>
      <c r="F646" t="s">
        <v>105</v>
      </c>
      <c r="G646" t="s">
        <v>106</v>
      </c>
      <c r="H646" t="s">
        <v>78</v>
      </c>
      <c r="I646" t="s">
        <v>86</v>
      </c>
      <c r="J646" t="s">
        <v>340</v>
      </c>
      <c r="K646" t="s">
        <v>2581</v>
      </c>
      <c r="L646" t="s">
        <v>89</v>
      </c>
      <c r="M646" t="s">
        <v>318</v>
      </c>
      <c r="N646" t="s">
        <v>1766</v>
      </c>
      <c r="O646" t="s">
        <v>2582</v>
      </c>
      <c r="P646" t="s">
        <v>2588</v>
      </c>
      <c r="Q646" t="s">
        <v>78</v>
      </c>
      <c r="R646" t="s">
        <v>85</v>
      </c>
      <c r="S646" t="s">
        <v>2584</v>
      </c>
      <c r="T646" t="s">
        <v>2587</v>
      </c>
      <c r="U646" t="s">
        <v>322</v>
      </c>
      <c r="V646" t="s">
        <v>82</v>
      </c>
      <c r="W646" t="s">
        <v>2585</v>
      </c>
      <c r="X646" t="s">
        <v>96</v>
      </c>
      <c r="Y646" t="s">
        <v>82</v>
      </c>
      <c r="Z646" t="s">
        <v>149</v>
      </c>
    </row>
    <row r="647" spans="1:26" x14ac:dyDescent="0.25">
      <c r="A647" t="s">
        <v>2589</v>
      </c>
      <c r="B647" t="s">
        <v>2590</v>
      </c>
      <c r="C647" s="4" t="s">
        <v>2566</v>
      </c>
      <c r="D647" t="s">
        <v>2567</v>
      </c>
      <c r="E647" t="s">
        <v>14</v>
      </c>
      <c r="F647" t="s">
        <v>105</v>
      </c>
      <c r="G647" t="s">
        <v>106</v>
      </c>
      <c r="H647" t="s">
        <v>78</v>
      </c>
      <c r="I647" t="s">
        <v>86</v>
      </c>
      <c r="J647" t="s">
        <v>15</v>
      </c>
      <c r="K647" t="s">
        <v>2581</v>
      </c>
      <c r="L647" t="s">
        <v>89</v>
      </c>
      <c r="M647" t="s">
        <v>318</v>
      </c>
      <c r="N647" t="s">
        <v>1766</v>
      </c>
      <c r="O647" t="s">
        <v>2582</v>
      </c>
      <c r="P647" t="s">
        <v>2591</v>
      </c>
      <c r="Q647" t="s">
        <v>78</v>
      </c>
      <c r="R647" t="s">
        <v>85</v>
      </c>
      <c r="S647" t="s">
        <v>2584</v>
      </c>
      <c r="T647" t="s">
        <v>2590</v>
      </c>
      <c r="U647" t="s">
        <v>322</v>
      </c>
      <c r="V647" t="s">
        <v>82</v>
      </c>
      <c r="W647" t="s">
        <v>2585</v>
      </c>
      <c r="X647" t="s">
        <v>96</v>
      </c>
      <c r="Y647" t="s">
        <v>82</v>
      </c>
      <c r="Z647" t="s">
        <v>149</v>
      </c>
    </row>
    <row r="648" spans="1:26" x14ac:dyDescent="0.25">
      <c r="A648" t="s">
        <v>2111</v>
      </c>
      <c r="B648" t="s">
        <v>2592</v>
      </c>
      <c r="C648" s="4" t="s">
        <v>2566</v>
      </c>
      <c r="D648" t="s">
        <v>2567</v>
      </c>
      <c r="E648" t="s">
        <v>14</v>
      </c>
      <c r="F648" t="s">
        <v>105</v>
      </c>
      <c r="G648" t="s">
        <v>106</v>
      </c>
      <c r="H648" t="s">
        <v>78</v>
      </c>
      <c r="I648" t="s">
        <v>86</v>
      </c>
      <c r="J648" t="s">
        <v>1002</v>
      </c>
      <c r="K648" t="s">
        <v>2581</v>
      </c>
      <c r="L648" t="s">
        <v>89</v>
      </c>
      <c r="M648" t="s">
        <v>318</v>
      </c>
      <c r="N648" t="s">
        <v>1766</v>
      </c>
      <c r="O648" t="s">
        <v>2582</v>
      </c>
      <c r="P648" t="s">
        <v>2593</v>
      </c>
      <c r="Q648" t="s">
        <v>78</v>
      </c>
      <c r="R648" t="s">
        <v>85</v>
      </c>
      <c r="S648" t="s">
        <v>2584</v>
      </c>
      <c r="T648" t="s">
        <v>2592</v>
      </c>
      <c r="U648" t="s">
        <v>322</v>
      </c>
      <c r="V648" t="s">
        <v>82</v>
      </c>
      <c r="W648" t="s">
        <v>2585</v>
      </c>
      <c r="X648" t="s">
        <v>96</v>
      </c>
      <c r="Y648" t="s">
        <v>82</v>
      </c>
      <c r="Z648" t="s">
        <v>149</v>
      </c>
    </row>
    <row r="649" spans="1:26" x14ac:dyDescent="0.25">
      <c r="A649" t="s">
        <v>2189</v>
      </c>
      <c r="B649" t="s">
        <v>2594</v>
      </c>
      <c r="C649" s="4" t="s">
        <v>2595</v>
      </c>
      <c r="D649" t="s">
        <v>1460</v>
      </c>
      <c r="E649" t="s">
        <v>14</v>
      </c>
      <c r="F649" t="s">
        <v>85</v>
      </c>
      <c r="G649" t="s">
        <v>111</v>
      </c>
      <c r="H649" t="s">
        <v>78</v>
      </c>
      <c r="I649" t="s">
        <v>102</v>
      </c>
      <c r="J649" t="s">
        <v>340</v>
      </c>
      <c r="K649" t="s">
        <v>604</v>
      </c>
      <c r="L649" t="s">
        <v>89</v>
      </c>
      <c r="M649" t="s">
        <v>318</v>
      </c>
      <c r="N649" t="s">
        <v>1608</v>
      </c>
      <c r="O649" t="s">
        <v>2596</v>
      </c>
      <c r="P649" t="s">
        <v>2596</v>
      </c>
      <c r="Q649" t="s">
        <v>102</v>
      </c>
      <c r="R649" t="s">
        <v>85</v>
      </c>
      <c r="S649" t="s">
        <v>1465</v>
      </c>
      <c r="T649" t="s">
        <v>2594</v>
      </c>
      <c r="U649" t="s">
        <v>322</v>
      </c>
      <c r="V649" t="s">
        <v>82</v>
      </c>
      <c r="W649" t="s">
        <v>639</v>
      </c>
      <c r="X649" t="s">
        <v>96</v>
      </c>
      <c r="Y649" t="s">
        <v>82</v>
      </c>
      <c r="Z649" t="s">
        <v>149</v>
      </c>
    </row>
    <row r="650" spans="1:26" x14ac:dyDescent="0.25">
      <c r="A650" t="s">
        <v>2597</v>
      </c>
      <c r="B650" t="s">
        <v>2598</v>
      </c>
      <c r="C650" s="4" t="s">
        <v>2595</v>
      </c>
      <c r="D650" t="s">
        <v>1460</v>
      </c>
      <c r="E650" t="s">
        <v>14</v>
      </c>
      <c r="F650" t="s">
        <v>85</v>
      </c>
      <c r="G650" t="s">
        <v>111</v>
      </c>
      <c r="H650" t="s">
        <v>78</v>
      </c>
      <c r="I650" t="s">
        <v>102</v>
      </c>
      <c r="J650" t="s">
        <v>17</v>
      </c>
      <c r="K650" t="s">
        <v>604</v>
      </c>
      <c r="L650" t="s">
        <v>89</v>
      </c>
      <c r="M650" t="s">
        <v>318</v>
      </c>
      <c r="N650" t="s">
        <v>1608</v>
      </c>
      <c r="O650" t="s">
        <v>2596</v>
      </c>
      <c r="P650" t="s">
        <v>2596</v>
      </c>
      <c r="Q650" t="s">
        <v>102</v>
      </c>
      <c r="R650" t="s">
        <v>85</v>
      </c>
      <c r="S650" t="s">
        <v>1465</v>
      </c>
      <c r="T650" t="s">
        <v>2598</v>
      </c>
      <c r="U650" t="s">
        <v>322</v>
      </c>
      <c r="V650" t="s">
        <v>82</v>
      </c>
      <c r="W650" t="s">
        <v>639</v>
      </c>
      <c r="X650" t="s">
        <v>96</v>
      </c>
      <c r="Y650" t="s">
        <v>82</v>
      </c>
      <c r="Z650" t="s">
        <v>149</v>
      </c>
    </row>
    <row r="651" spans="1:26" x14ac:dyDescent="0.25">
      <c r="A651" t="s">
        <v>2599</v>
      </c>
      <c r="B651" t="s">
        <v>2600</v>
      </c>
      <c r="C651" s="4" t="s">
        <v>2595</v>
      </c>
      <c r="D651" t="s">
        <v>1460</v>
      </c>
      <c r="E651" t="s">
        <v>14</v>
      </c>
      <c r="F651" t="s">
        <v>85</v>
      </c>
      <c r="G651" t="s">
        <v>111</v>
      </c>
      <c r="H651" t="s">
        <v>78</v>
      </c>
      <c r="I651" t="s">
        <v>102</v>
      </c>
      <c r="J651" t="s">
        <v>1053</v>
      </c>
      <c r="K651" t="s">
        <v>604</v>
      </c>
      <c r="L651" t="s">
        <v>89</v>
      </c>
      <c r="M651" t="s">
        <v>318</v>
      </c>
      <c r="N651" t="s">
        <v>1608</v>
      </c>
      <c r="O651" t="s">
        <v>2596</v>
      </c>
      <c r="P651" t="s">
        <v>2596</v>
      </c>
      <c r="Q651" t="s">
        <v>102</v>
      </c>
      <c r="R651" t="s">
        <v>85</v>
      </c>
      <c r="S651" t="s">
        <v>1465</v>
      </c>
      <c r="T651" t="s">
        <v>2600</v>
      </c>
      <c r="U651" t="s">
        <v>322</v>
      </c>
      <c r="V651" t="s">
        <v>82</v>
      </c>
      <c r="W651" t="s">
        <v>639</v>
      </c>
      <c r="X651" t="s">
        <v>96</v>
      </c>
      <c r="Y651" t="s">
        <v>82</v>
      </c>
      <c r="Z651" t="s">
        <v>149</v>
      </c>
    </row>
    <row r="652" spans="1:26" x14ac:dyDescent="0.25">
      <c r="A652" t="s">
        <v>2601</v>
      </c>
      <c r="B652" t="s">
        <v>2602</v>
      </c>
      <c r="C652" s="4" t="s">
        <v>2595</v>
      </c>
      <c r="D652" t="s">
        <v>1460</v>
      </c>
      <c r="E652" t="s">
        <v>14</v>
      </c>
      <c r="F652" t="s">
        <v>85</v>
      </c>
      <c r="G652" t="s">
        <v>111</v>
      </c>
      <c r="H652" t="s">
        <v>78</v>
      </c>
      <c r="I652" t="s">
        <v>102</v>
      </c>
      <c r="J652" t="s">
        <v>546</v>
      </c>
      <c r="K652" t="s">
        <v>604</v>
      </c>
      <c r="L652" t="s">
        <v>89</v>
      </c>
      <c r="M652" t="s">
        <v>318</v>
      </c>
      <c r="N652" t="s">
        <v>1608</v>
      </c>
      <c r="O652" t="s">
        <v>2596</v>
      </c>
      <c r="P652" t="s">
        <v>2596</v>
      </c>
      <c r="Q652" t="s">
        <v>102</v>
      </c>
      <c r="R652" t="s">
        <v>85</v>
      </c>
      <c r="S652" t="s">
        <v>1465</v>
      </c>
      <c r="T652" t="s">
        <v>2602</v>
      </c>
      <c r="U652" t="s">
        <v>322</v>
      </c>
      <c r="V652" t="s">
        <v>82</v>
      </c>
      <c r="W652" t="s">
        <v>639</v>
      </c>
      <c r="X652" t="s">
        <v>96</v>
      </c>
      <c r="Y652" t="s">
        <v>82</v>
      </c>
      <c r="Z652" t="s">
        <v>149</v>
      </c>
    </row>
    <row r="653" spans="1:26" x14ac:dyDescent="0.25">
      <c r="A653" t="s">
        <v>2603</v>
      </c>
      <c r="B653" t="s">
        <v>2604</v>
      </c>
      <c r="C653" s="4" t="s">
        <v>2605</v>
      </c>
      <c r="D653" t="s">
        <v>1460</v>
      </c>
      <c r="E653" t="s">
        <v>14</v>
      </c>
      <c r="F653" t="s">
        <v>85</v>
      </c>
      <c r="G653" t="s">
        <v>111</v>
      </c>
      <c r="H653" t="s">
        <v>78</v>
      </c>
      <c r="I653" t="s">
        <v>102</v>
      </c>
      <c r="J653" t="s">
        <v>546</v>
      </c>
      <c r="K653" t="s">
        <v>604</v>
      </c>
      <c r="L653" t="s">
        <v>89</v>
      </c>
      <c r="M653" t="s">
        <v>318</v>
      </c>
      <c r="N653" t="s">
        <v>1608</v>
      </c>
      <c r="O653" t="s">
        <v>2606</v>
      </c>
      <c r="P653" t="s">
        <v>2606</v>
      </c>
      <c r="Q653" t="s">
        <v>102</v>
      </c>
      <c r="R653" t="s">
        <v>85</v>
      </c>
      <c r="S653" t="s">
        <v>1465</v>
      </c>
      <c r="T653" t="s">
        <v>2604</v>
      </c>
      <c r="U653" t="s">
        <v>322</v>
      </c>
      <c r="V653" t="s">
        <v>82</v>
      </c>
      <c r="W653" t="s">
        <v>639</v>
      </c>
      <c r="X653" t="s">
        <v>96</v>
      </c>
      <c r="Y653" t="s">
        <v>82</v>
      </c>
      <c r="Z653" t="s">
        <v>149</v>
      </c>
    </row>
    <row r="654" spans="1:26" x14ac:dyDescent="0.25">
      <c r="A654" t="s">
        <v>1804</v>
      </c>
      <c r="B654" t="s">
        <v>2607</v>
      </c>
      <c r="C654" s="4" t="s">
        <v>2605</v>
      </c>
      <c r="D654" t="s">
        <v>1460</v>
      </c>
      <c r="E654" t="s">
        <v>14</v>
      </c>
      <c r="F654" t="s">
        <v>85</v>
      </c>
      <c r="G654" t="s">
        <v>111</v>
      </c>
      <c r="H654" t="s">
        <v>78</v>
      </c>
      <c r="I654" t="s">
        <v>102</v>
      </c>
      <c r="J654" t="s">
        <v>1053</v>
      </c>
      <c r="K654" t="s">
        <v>604</v>
      </c>
      <c r="L654" t="s">
        <v>89</v>
      </c>
      <c r="M654" t="s">
        <v>318</v>
      </c>
      <c r="N654" t="s">
        <v>1608</v>
      </c>
      <c r="O654" t="s">
        <v>2606</v>
      </c>
      <c r="P654" t="s">
        <v>2606</v>
      </c>
      <c r="Q654" t="s">
        <v>102</v>
      </c>
      <c r="R654" t="s">
        <v>85</v>
      </c>
      <c r="S654" t="s">
        <v>1465</v>
      </c>
      <c r="T654" t="s">
        <v>2607</v>
      </c>
      <c r="U654" t="s">
        <v>322</v>
      </c>
      <c r="V654" t="s">
        <v>82</v>
      </c>
      <c r="W654" t="s">
        <v>639</v>
      </c>
      <c r="X654" t="s">
        <v>96</v>
      </c>
      <c r="Y654" t="s">
        <v>82</v>
      </c>
      <c r="Z654" t="s">
        <v>149</v>
      </c>
    </row>
    <row r="655" spans="1:26" x14ac:dyDescent="0.25">
      <c r="A655" t="s">
        <v>2608</v>
      </c>
      <c r="B655" t="s">
        <v>2609</v>
      </c>
      <c r="C655" s="4" t="s">
        <v>2605</v>
      </c>
      <c r="D655" t="s">
        <v>1460</v>
      </c>
      <c r="E655" t="s">
        <v>14</v>
      </c>
      <c r="F655" t="s">
        <v>85</v>
      </c>
      <c r="G655" t="s">
        <v>111</v>
      </c>
      <c r="H655" t="s">
        <v>78</v>
      </c>
      <c r="I655" t="s">
        <v>102</v>
      </c>
      <c r="J655" t="s">
        <v>30</v>
      </c>
      <c r="K655" t="s">
        <v>604</v>
      </c>
      <c r="L655" t="s">
        <v>89</v>
      </c>
      <c r="M655" t="s">
        <v>318</v>
      </c>
      <c r="N655" t="s">
        <v>1608</v>
      </c>
      <c r="O655" t="s">
        <v>2606</v>
      </c>
      <c r="P655" t="s">
        <v>2606</v>
      </c>
      <c r="Q655" t="s">
        <v>102</v>
      </c>
      <c r="R655" t="s">
        <v>85</v>
      </c>
      <c r="S655" t="s">
        <v>1465</v>
      </c>
      <c r="T655" t="s">
        <v>2609</v>
      </c>
      <c r="U655" t="s">
        <v>322</v>
      </c>
      <c r="V655" t="s">
        <v>82</v>
      </c>
      <c r="W655" t="s">
        <v>639</v>
      </c>
      <c r="X655" t="s">
        <v>96</v>
      </c>
      <c r="Y655" t="s">
        <v>82</v>
      </c>
      <c r="Z655" t="s">
        <v>149</v>
      </c>
    </row>
    <row r="656" spans="1:26" x14ac:dyDescent="0.25">
      <c r="A656" t="s">
        <v>2610</v>
      </c>
      <c r="B656" t="s">
        <v>2611</v>
      </c>
      <c r="C656" s="4" t="s">
        <v>2605</v>
      </c>
      <c r="D656" t="s">
        <v>1460</v>
      </c>
      <c r="E656" t="s">
        <v>14</v>
      </c>
      <c r="F656" t="s">
        <v>85</v>
      </c>
      <c r="G656" t="s">
        <v>111</v>
      </c>
      <c r="H656" t="s">
        <v>78</v>
      </c>
      <c r="I656" t="s">
        <v>102</v>
      </c>
      <c r="J656" t="s">
        <v>1530</v>
      </c>
      <c r="K656" t="s">
        <v>604</v>
      </c>
      <c r="L656" t="s">
        <v>89</v>
      </c>
      <c r="M656" t="s">
        <v>318</v>
      </c>
      <c r="N656" t="s">
        <v>1608</v>
      </c>
      <c r="O656" t="s">
        <v>2606</v>
      </c>
      <c r="P656" t="s">
        <v>2606</v>
      </c>
      <c r="Q656" t="s">
        <v>102</v>
      </c>
      <c r="R656" t="s">
        <v>85</v>
      </c>
      <c r="S656" t="s">
        <v>1465</v>
      </c>
      <c r="T656" t="s">
        <v>2611</v>
      </c>
      <c r="U656" t="s">
        <v>322</v>
      </c>
      <c r="V656" t="s">
        <v>82</v>
      </c>
      <c r="W656" t="s">
        <v>639</v>
      </c>
      <c r="X656" t="s">
        <v>96</v>
      </c>
      <c r="Y656" t="s">
        <v>82</v>
      </c>
      <c r="Z656" t="s">
        <v>149</v>
      </c>
    </row>
    <row r="657" spans="1:26" x14ac:dyDescent="0.25">
      <c r="A657" t="s">
        <v>2612</v>
      </c>
      <c r="B657" t="s">
        <v>2613</v>
      </c>
      <c r="C657" s="4" t="s">
        <v>2614</v>
      </c>
      <c r="D657" t="s">
        <v>2615</v>
      </c>
      <c r="E657" t="s">
        <v>14</v>
      </c>
      <c r="F657" t="s">
        <v>86</v>
      </c>
      <c r="G657" t="s">
        <v>111</v>
      </c>
      <c r="H657" t="s">
        <v>78</v>
      </c>
      <c r="I657" t="s">
        <v>86</v>
      </c>
      <c r="J657" t="s">
        <v>32</v>
      </c>
      <c r="K657" t="s">
        <v>2024</v>
      </c>
      <c r="L657" t="s">
        <v>89</v>
      </c>
      <c r="M657" t="s">
        <v>318</v>
      </c>
      <c r="N657" t="s">
        <v>375</v>
      </c>
      <c r="O657" t="s">
        <v>2616</v>
      </c>
      <c r="P657" t="s">
        <v>2616</v>
      </c>
      <c r="Q657" t="s">
        <v>102</v>
      </c>
      <c r="R657" t="s">
        <v>83</v>
      </c>
      <c r="S657" t="s">
        <v>2617</v>
      </c>
      <c r="T657" t="s">
        <v>2613</v>
      </c>
      <c r="U657" t="s">
        <v>322</v>
      </c>
      <c r="V657" t="s">
        <v>82</v>
      </c>
      <c r="W657" t="s">
        <v>354</v>
      </c>
      <c r="X657" t="s">
        <v>96</v>
      </c>
      <c r="Y657" t="s">
        <v>82</v>
      </c>
      <c r="Z657" t="s">
        <v>149</v>
      </c>
    </row>
    <row r="658" spans="1:26" x14ac:dyDescent="0.25">
      <c r="A658" t="s">
        <v>2618</v>
      </c>
      <c r="B658" t="s">
        <v>2619</v>
      </c>
      <c r="C658" s="4" t="s">
        <v>2614</v>
      </c>
      <c r="D658" t="s">
        <v>2615</v>
      </c>
      <c r="E658" t="s">
        <v>14</v>
      </c>
      <c r="F658" t="s">
        <v>86</v>
      </c>
      <c r="G658" t="s">
        <v>111</v>
      </c>
      <c r="H658" t="s">
        <v>78</v>
      </c>
      <c r="I658" t="s">
        <v>86</v>
      </c>
      <c r="J658" t="s">
        <v>546</v>
      </c>
      <c r="K658" t="s">
        <v>2024</v>
      </c>
      <c r="L658" t="s">
        <v>89</v>
      </c>
      <c r="M658" t="s">
        <v>318</v>
      </c>
      <c r="N658" t="s">
        <v>375</v>
      </c>
      <c r="O658" t="s">
        <v>2616</v>
      </c>
      <c r="P658" t="s">
        <v>2616</v>
      </c>
      <c r="Q658" t="s">
        <v>102</v>
      </c>
      <c r="R658" t="s">
        <v>83</v>
      </c>
      <c r="S658" t="s">
        <v>2617</v>
      </c>
      <c r="T658" t="s">
        <v>2619</v>
      </c>
      <c r="U658" t="s">
        <v>322</v>
      </c>
      <c r="V658" t="s">
        <v>82</v>
      </c>
      <c r="W658" t="s">
        <v>354</v>
      </c>
      <c r="X658" t="s">
        <v>96</v>
      </c>
      <c r="Y658" t="s">
        <v>82</v>
      </c>
      <c r="Z658" t="s">
        <v>149</v>
      </c>
    </row>
    <row r="659" spans="1:26" x14ac:dyDescent="0.25">
      <c r="A659" t="s">
        <v>2620</v>
      </c>
      <c r="B659" t="s">
        <v>2621</v>
      </c>
      <c r="C659" s="4" t="s">
        <v>2614</v>
      </c>
      <c r="D659" t="s">
        <v>2615</v>
      </c>
      <c r="E659" t="s">
        <v>14</v>
      </c>
      <c r="F659" t="s">
        <v>86</v>
      </c>
      <c r="G659" t="s">
        <v>111</v>
      </c>
      <c r="H659" t="s">
        <v>78</v>
      </c>
      <c r="I659" t="s">
        <v>86</v>
      </c>
      <c r="J659" t="s">
        <v>1002</v>
      </c>
      <c r="K659" t="s">
        <v>2024</v>
      </c>
      <c r="L659" t="s">
        <v>89</v>
      </c>
      <c r="M659" t="s">
        <v>318</v>
      </c>
      <c r="N659" t="s">
        <v>375</v>
      </c>
      <c r="O659" t="s">
        <v>2616</v>
      </c>
      <c r="P659" t="s">
        <v>2616</v>
      </c>
      <c r="Q659" t="s">
        <v>102</v>
      </c>
      <c r="R659" t="s">
        <v>83</v>
      </c>
      <c r="S659" t="s">
        <v>2617</v>
      </c>
      <c r="T659" t="s">
        <v>2621</v>
      </c>
      <c r="U659" t="s">
        <v>322</v>
      </c>
      <c r="V659" t="s">
        <v>82</v>
      </c>
      <c r="W659" t="s">
        <v>354</v>
      </c>
      <c r="X659" t="s">
        <v>96</v>
      </c>
      <c r="Y659" t="s">
        <v>82</v>
      </c>
      <c r="Z659" t="s">
        <v>149</v>
      </c>
    </row>
    <row r="660" spans="1:26" x14ac:dyDescent="0.25">
      <c r="A660" t="s">
        <v>2622</v>
      </c>
      <c r="B660" t="s">
        <v>2623</v>
      </c>
      <c r="C660" s="4" t="s">
        <v>2614</v>
      </c>
      <c r="D660" t="s">
        <v>2615</v>
      </c>
      <c r="E660" t="s">
        <v>14</v>
      </c>
      <c r="F660" t="s">
        <v>86</v>
      </c>
      <c r="G660" t="s">
        <v>111</v>
      </c>
      <c r="H660" t="s">
        <v>78</v>
      </c>
      <c r="I660" t="s">
        <v>86</v>
      </c>
      <c r="J660" t="s">
        <v>30</v>
      </c>
      <c r="K660" t="s">
        <v>2024</v>
      </c>
      <c r="L660" t="s">
        <v>89</v>
      </c>
      <c r="M660" t="s">
        <v>318</v>
      </c>
      <c r="N660" t="s">
        <v>375</v>
      </c>
      <c r="O660" t="s">
        <v>2616</v>
      </c>
      <c r="P660" t="s">
        <v>2616</v>
      </c>
      <c r="Q660" t="s">
        <v>102</v>
      </c>
      <c r="R660" t="s">
        <v>83</v>
      </c>
      <c r="S660" t="s">
        <v>2617</v>
      </c>
      <c r="T660" t="s">
        <v>2623</v>
      </c>
      <c r="U660" t="s">
        <v>322</v>
      </c>
      <c r="V660" t="s">
        <v>82</v>
      </c>
      <c r="W660" t="s">
        <v>354</v>
      </c>
      <c r="X660" t="s">
        <v>96</v>
      </c>
      <c r="Y660" t="s">
        <v>82</v>
      </c>
      <c r="Z660" t="s">
        <v>149</v>
      </c>
    </row>
    <row r="661" spans="1:26" x14ac:dyDescent="0.25">
      <c r="A661" t="s">
        <v>2624</v>
      </c>
      <c r="B661" t="s">
        <v>2625</v>
      </c>
      <c r="C661" s="4" t="s">
        <v>2626</v>
      </c>
      <c r="D661" t="s">
        <v>2615</v>
      </c>
      <c r="E661" t="s">
        <v>14</v>
      </c>
      <c r="F661" t="s">
        <v>86</v>
      </c>
      <c r="G661" t="s">
        <v>111</v>
      </c>
      <c r="H661" t="s">
        <v>78</v>
      </c>
      <c r="I661" t="s">
        <v>86</v>
      </c>
      <c r="J661" t="s">
        <v>30</v>
      </c>
      <c r="K661" t="s">
        <v>2009</v>
      </c>
      <c r="L661" t="s">
        <v>89</v>
      </c>
      <c r="M661" t="s">
        <v>318</v>
      </c>
      <c r="N661" t="s">
        <v>1136</v>
      </c>
      <c r="O661" t="s">
        <v>2627</v>
      </c>
      <c r="P661" t="s">
        <v>2628</v>
      </c>
      <c r="Q661" t="s">
        <v>102</v>
      </c>
      <c r="R661" t="s">
        <v>111</v>
      </c>
      <c r="S661" t="s">
        <v>636</v>
      </c>
      <c r="T661" t="s">
        <v>2625</v>
      </c>
      <c r="U661" t="s">
        <v>322</v>
      </c>
      <c r="V661" t="s">
        <v>82</v>
      </c>
      <c r="W661" t="s">
        <v>1539</v>
      </c>
      <c r="X661" t="s">
        <v>96</v>
      </c>
      <c r="Y661" t="s">
        <v>82</v>
      </c>
      <c r="Z661" t="s">
        <v>149</v>
      </c>
    </row>
    <row r="662" spans="1:26" x14ac:dyDescent="0.25">
      <c r="A662" t="s">
        <v>2629</v>
      </c>
      <c r="B662" t="s">
        <v>2630</v>
      </c>
      <c r="C662" s="4" t="s">
        <v>2626</v>
      </c>
      <c r="D662" t="s">
        <v>2615</v>
      </c>
      <c r="E662" t="s">
        <v>14</v>
      </c>
      <c r="F662" t="s">
        <v>86</v>
      </c>
      <c r="G662" t="s">
        <v>111</v>
      </c>
      <c r="H662" t="s">
        <v>78</v>
      </c>
      <c r="I662" t="s">
        <v>86</v>
      </c>
      <c r="J662" t="s">
        <v>32</v>
      </c>
      <c r="K662" t="s">
        <v>2009</v>
      </c>
      <c r="L662" t="s">
        <v>89</v>
      </c>
      <c r="M662" t="s">
        <v>318</v>
      </c>
      <c r="N662" t="s">
        <v>1136</v>
      </c>
      <c r="O662" t="s">
        <v>2627</v>
      </c>
      <c r="P662" t="s">
        <v>2631</v>
      </c>
      <c r="Q662" t="s">
        <v>102</v>
      </c>
      <c r="R662" t="s">
        <v>111</v>
      </c>
      <c r="S662" t="s">
        <v>636</v>
      </c>
      <c r="T662" t="s">
        <v>2630</v>
      </c>
      <c r="U662" t="s">
        <v>322</v>
      </c>
      <c r="V662" t="s">
        <v>82</v>
      </c>
      <c r="W662" t="s">
        <v>1539</v>
      </c>
      <c r="X662" t="s">
        <v>96</v>
      </c>
      <c r="Y662" t="s">
        <v>82</v>
      </c>
      <c r="Z662" t="s">
        <v>149</v>
      </c>
    </row>
    <row r="663" spans="1:26" x14ac:dyDescent="0.25">
      <c r="A663" t="s">
        <v>2632</v>
      </c>
      <c r="B663" t="s">
        <v>2633</v>
      </c>
      <c r="C663" s="4" t="s">
        <v>2626</v>
      </c>
      <c r="D663" t="s">
        <v>2615</v>
      </c>
      <c r="E663" t="s">
        <v>14</v>
      </c>
      <c r="F663" t="s">
        <v>86</v>
      </c>
      <c r="G663" t="s">
        <v>111</v>
      </c>
      <c r="H663" t="s">
        <v>78</v>
      </c>
      <c r="I663" t="s">
        <v>86</v>
      </c>
      <c r="J663" t="s">
        <v>1002</v>
      </c>
      <c r="K663" t="s">
        <v>2009</v>
      </c>
      <c r="L663" t="s">
        <v>89</v>
      </c>
      <c r="M663" t="s">
        <v>318</v>
      </c>
      <c r="N663" t="s">
        <v>1136</v>
      </c>
      <c r="O663" t="s">
        <v>2627</v>
      </c>
      <c r="P663" t="s">
        <v>2634</v>
      </c>
      <c r="Q663" t="s">
        <v>102</v>
      </c>
      <c r="R663" t="s">
        <v>111</v>
      </c>
      <c r="S663" t="s">
        <v>636</v>
      </c>
      <c r="T663" t="s">
        <v>2633</v>
      </c>
      <c r="U663" t="s">
        <v>322</v>
      </c>
      <c r="V663" t="s">
        <v>82</v>
      </c>
      <c r="W663" t="s">
        <v>1539</v>
      </c>
      <c r="X663" t="s">
        <v>96</v>
      </c>
      <c r="Y663" t="s">
        <v>82</v>
      </c>
      <c r="Z663" t="s">
        <v>149</v>
      </c>
    </row>
    <row r="664" spans="1:26" x14ac:dyDescent="0.25">
      <c r="A664" t="s">
        <v>2146</v>
      </c>
      <c r="B664" t="s">
        <v>2635</v>
      </c>
      <c r="C664" s="4" t="s">
        <v>2626</v>
      </c>
      <c r="D664" t="s">
        <v>2615</v>
      </c>
      <c r="E664" t="s">
        <v>14</v>
      </c>
      <c r="F664" t="s">
        <v>86</v>
      </c>
      <c r="G664" t="s">
        <v>111</v>
      </c>
      <c r="H664" t="s">
        <v>78</v>
      </c>
      <c r="I664" t="s">
        <v>86</v>
      </c>
      <c r="J664" t="s">
        <v>1053</v>
      </c>
      <c r="K664" t="s">
        <v>2009</v>
      </c>
      <c r="L664" t="s">
        <v>89</v>
      </c>
      <c r="M664" t="s">
        <v>318</v>
      </c>
      <c r="N664" t="s">
        <v>1136</v>
      </c>
      <c r="O664" t="s">
        <v>2627</v>
      </c>
      <c r="P664" t="s">
        <v>2636</v>
      </c>
      <c r="Q664" t="s">
        <v>102</v>
      </c>
      <c r="R664" t="s">
        <v>111</v>
      </c>
      <c r="S664" t="s">
        <v>636</v>
      </c>
      <c r="T664" t="s">
        <v>2635</v>
      </c>
      <c r="U664" t="s">
        <v>322</v>
      </c>
      <c r="V664" t="s">
        <v>82</v>
      </c>
      <c r="W664" t="s">
        <v>1539</v>
      </c>
      <c r="X664" t="s">
        <v>96</v>
      </c>
      <c r="Y664" t="s">
        <v>82</v>
      </c>
      <c r="Z664" t="s">
        <v>149</v>
      </c>
    </row>
    <row r="665" spans="1:26" x14ac:dyDescent="0.25">
      <c r="A665" t="s">
        <v>2637</v>
      </c>
      <c r="B665" t="s">
        <v>2638</v>
      </c>
      <c r="C665" s="4" t="s">
        <v>2639</v>
      </c>
      <c r="D665" t="s">
        <v>2640</v>
      </c>
      <c r="E665" t="s">
        <v>14</v>
      </c>
      <c r="F665" t="s">
        <v>83</v>
      </c>
      <c r="G665" t="s">
        <v>84</v>
      </c>
      <c r="H665" t="s">
        <v>78</v>
      </c>
      <c r="I665" t="s">
        <v>86</v>
      </c>
      <c r="J665" t="s">
        <v>1053</v>
      </c>
      <c r="K665" t="s">
        <v>354</v>
      </c>
      <c r="L665" t="s">
        <v>89</v>
      </c>
      <c r="M665" t="s">
        <v>318</v>
      </c>
      <c r="N665" t="s">
        <v>347</v>
      </c>
      <c r="O665" t="s">
        <v>2641</v>
      </c>
      <c r="P665" t="s">
        <v>2642</v>
      </c>
      <c r="Q665" t="s">
        <v>102</v>
      </c>
      <c r="R665" t="s">
        <v>111</v>
      </c>
      <c r="S665" t="s">
        <v>198</v>
      </c>
      <c r="T665" t="s">
        <v>2638</v>
      </c>
      <c r="U665" t="s">
        <v>322</v>
      </c>
      <c r="V665" t="s">
        <v>82</v>
      </c>
      <c r="W665" t="s">
        <v>718</v>
      </c>
      <c r="X665" t="s">
        <v>96</v>
      </c>
      <c r="Y665" t="s">
        <v>82</v>
      </c>
      <c r="Z665" t="s">
        <v>149</v>
      </c>
    </row>
    <row r="666" spans="1:26" x14ac:dyDescent="0.25">
      <c r="A666" t="s">
        <v>2643</v>
      </c>
      <c r="B666" t="s">
        <v>2644</v>
      </c>
      <c r="C666" s="4" t="s">
        <v>2639</v>
      </c>
      <c r="D666" t="s">
        <v>2640</v>
      </c>
      <c r="E666" t="s">
        <v>14</v>
      </c>
      <c r="F666" t="s">
        <v>83</v>
      </c>
      <c r="G666" t="s">
        <v>84</v>
      </c>
      <c r="H666" t="s">
        <v>78</v>
      </c>
      <c r="I666" t="s">
        <v>86</v>
      </c>
      <c r="J666" t="s">
        <v>1002</v>
      </c>
      <c r="K666" t="s">
        <v>354</v>
      </c>
      <c r="L666" t="s">
        <v>89</v>
      </c>
      <c r="M666" t="s">
        <v>318</v>
      </c>
      <c r="N666" t="s">
        <v>347</v>
      </c>
      <c r="O666" t="s">
        <v>2641</v>
      </c>
      <c r="P666" t="s">
        <v>2645</v>
      </c>
      <c r="Q666" t="s">
        <v>102</v>
      </c>
      <c r="R666" t="s">
        <v>111</v>
      </c>
      <c r="S666" t="s">
        <v>198</v>
      </c>
      <c r="T666" t="s">
        <v>2644</v>
      </c>
      <c r="U666" t="s">
        <v>322</v>
      </c>
      <c r="V666" t="s">
        <v>82</v>
      </c>
      <c r="W666" t="s">
        <v>718</v>
      </c>
      <c r="X666" t="s">
        <v>96</v>
      </c>
      <c r="Y666" t="s">
        <v>82</v>
      </c>
      <c r="Z666" t="s">
        <v>149</v>
      </c>
    </row>
    <row r="667" spans="1:26" x14ac:dyDescent="0.25">
      <c r="A667" t="s">
        <v>2646</v>
      </c>
      <c r="B667" t="s">
        <v>2647</v>
      </c>
      <c r="C667" s="4" t="s">
        <v>2639</v>
      </c>
      <c r="D667" t="s">
        <v>2640</v>
      </c>
      <c r="E667" t="s">
        <v>14</v>
      </c>
      <c r="F667" t="s">
        <v>83</v>
      </c>
      <c r="G667" t="s">
        <v>84</v>
      </c>
      <c r="H667" t="s">
        <v>78</v>
      </c>
      <c r="I667" t="s">
        <v>86</v>
      </c>
      <c r="J667" t="s">
        <v>32</v>
      </c>
      <c r="K667" t="s">
        <v>354</v>
      </c>
      <c r="L667" t="s">
        <v>89</v>
      </c>
      <c r="M667" t="s">
        <v>318</v>
      </c>
      <c r="N667" t="s">
        <v>347</v>
      </c>
      <c r="O667" t="s">
        <v>2641</v>
      </c>
      <c r="P667" t="s">
        <v>2648</v>
      </c>
      <c r="Q667" t="s">
        <v>102</v>
      </c>
      <c r="R667" t="s">
        <v>111</v>
      </c>
      <c r="S667" t="s">
        <v>198</v>
      </c>
      <c r="T667" t="s">
        <v>2647</v>
      </c>
      <c r="U667" t="s">
        <v>322</v>
      </c>
      <c r="V667" t="s">
        <v>82</v>
      </c>
      <c r="W667" t="s">
        <v>718</v>
      </c>
      <c r="X667" t="s">
        <v>96</v>
      </c>
      <c r="Y667" t="s">
        <v>82</v>
      </c>
      <c r="Z667" t="s">
        <v>149</v>
      </c>
    </row>
    <row r="668" spans="1:26" x14ac:dyDescent="0.25">
      <c r="A668" t="s">
        <v>2649</v>
      </c>
      <c r="B668" t="s">
        <v>2650</v>
      </c>
      <c r="C668" s="4" t="s">
        <v>2639</v>
      </c>
      <c r="D668" t="s">
        <v>2640</v>
      </c>
      <c r="E668" t="s">
        <v>14</v>
      </c>
      <c r="F668" t="s">
        <v>83</v>
      </c>
      <c r="G668" t="s">
        <v>84</v>
      </c>
      <c r="H668" t="s">
        <v>78</v>
      </c>
      <c r="I668" t="s">
        <v>86</v>
      </c>
      <c r="J668" t="s">
        <v>29</v>
      </c>
      <c r="K668" t="s">
        <v>354</v>
      </c>
      <c r="L668" t="s">
        <v>89</v>
      </c>
      <c r="M668" t="s">
        <v>318</v>
      </c>
      <c r="N668" t="s">
        <v>347</v>
      </c>
      <c r="O668" t="s">
        <v>2651</v>
      </c>
      <c r="P668" t="s">
        <v>2652</v>
      </c>
      <c r="Q668" t="s">
        <v>102</v>
      </c>
      <c r="R668" t="s">
        <v>111</v>
      </c>
      <c r="S668" t="s">
        <v>198</v>
      </c>
      <c r="T668" t="s">
        <v>2650</v>
      </c>
      <c r="U668" t="s">
        <v>322</v>
      </c>
      <c r="V668" t="s">
        <v>82</v>
      </c>
      <c r="W668" t="s">
        <v>718</v>
      </c>
      <c r="X668" t="s">
        <v>96</v>
      </c>
      <c r="Y668" t="s">
        <v>82</v>
      </c>
      <c r="Z668" t="s">
        <v>149</v>
      </c>
    </row>
    <row r="669" spans="1:26" x14ac:dyDescent="0.25">
      <c r="A669" t="s">
        <v>2653</v>
      </c>
      <c r="B669" t="s">
        <v>2654</v>
      </c>
      <c r="C669" s="4" t="s">
        <v>2655</v>
      </c>
      <c r="D669" t="s">
        <v>1460</v>
      </c>
      <c r="E669" t="s">
        <v>14</v>
      </c>
      <c r="F669" t="s">
        <v>85</v>
      </c>
      <c r="G669" t="s">
        <v>111</v>
      </c>
      <c r="H669" t="s">
        <v>78</v>
      </c>
      <c r="I669" t="s">
        <v>102</v>
      </c>
      <c r="J669" t="s">
        <v>1053</v>
      </c>
      <c r="K669" t="s">
        <v>374</v>
      </c>
      <c r="L669" t="s">
        <v>89</v>
      </c>
      <c r="M669" t="s">
        <v>318</v>
      </c>
      <c r="N669" t="s">
        <v>1148</v>
      </c>
      <c r="O669" t="s">
        <v>2656</v>
      </c>
      <c r="P669" t="s">
        <v>2656</v>
      </c>
      <c r="Q669" t="s">
        <v>102</v>
      </c>
      <c r="R669" t="s">
        <v>85</v>
      </c>
      <c r="S669" t="s">
        <v>1745</v>
      </c>
      <c r="T669" t="s">
        <v>2654</v>
      </c>
      <c r="U669" t="s">
        <v>322</v>
      </c>
      <c r="V669" t="s">
        <v>82</v>
      </c>
      <c r="W669" t="s">
        <v>1046</v>
      </c>
      <c r="X669" t="s">
        <v>96</v>
      </c>
      <c r="Y669" t="s">
        <v>82</v>
      </c>
      <c r="Z669" t="s">
        <v>149</v>
      </c>
    </row>
    <row r="670" spans="1:26" x14ac:dyDescent="0.25">
      <c r="A670" t="s">
        <v>2657</v>
      </c>
      <c r="B670" t="s">
        <v>2658</v>
      </c>
      <c r="C670" s="4" t="s">
        <v>2655</v>
      </c>
      <c r="D670" t="s">
        <v>1460</v>
      </c>
      <c r="E670" t="s">
        <v>14</v>
      </c>
      <c r="F670" t="s">
        <v>85</v>
      </c>
      <c r="G670" t="s">
        <v>111</v>
      </c>
      <c r="H670" t="s">
        <v>78</v>
      </c>
      <c r="I670" t="s">
        <v>102</v>
      </c>
      <c r="J670" t="s">
        <v>2494</v>
      </c>
      <c r="K670" t="s">
        <v>374</v>
      </c>
      <c r="L670" t="s">
        <v>89</v>
      </c>
      <c r="M670" t="s">
        <v>318</v>
      </c>
      <c r="N670" t="s">
        <v>1148</v>
      </c>
      <c r="O670" t="s">
        <v>2656</v>
      </c>
      <c r="P670" t="s">
        <v>2656</v>
      </c>
      <c r="Q670" t="s">
        <v>102</v>
      </c>
      <c r="R670" t="s">
        <v>85</v>
      </c>
      <c r="S670" t="s">
        <v>1745</v>
      </c>
      <c r="T670" t="s">
        <v>2658</v>
      </c>
      <c r="U670" t="s">
        <v>322</v>
      </c>
      <c r="V670" t="s">
        <v>82</v>
      </c>
      <c r="W670" t="s">
        <v>1046</v>
      </c>
      <c r="X670" t="s">
        <v>96</v>
      </c>
      <c r="Y670" t="s">
        <v>82</v>
      </c>
      <c r="Z670" t="s">
        <v>149</v>
      </c>
    </row>
    <row r="671" spans="1:26" x14ac:dyDescent="0.25">
      <c r="A671" t="s">
        <v>2659</v>
      </c>
      <c r="B671" t="s">
        <v>2660</v>
      </c>
      <c r="C671" s="4" t="s">
        <v>2655</v>
      </c>
      <c r="D671" t="s">
        <v>1460</v>
      </c>
      <c r="E671" t="s">
        <v>14</v>
      </c>
      <c r="F671" t="s">
        <v>85</v>
      </c>
      <c r="G671" t="s">
        <v>111</v>
      </c>
      <c r="H671" t="s">
        <v>78</v>
      </c>
      <c r="I671" t="s">
        <v>102</v>
      </c>
      <c r="J671" t="s">
        <v>546</v>
      </c>
      <c r="K671" t="s">
        <v>374</v>
      </c>
      <c r="L671" t="s">
        <v>89</v>
      </c>
      <c r="M671" t="s">
        <v>318</v>
      </c>
      <c r="N671" t="s">
        <v>1148</v>
      </c>
      <c r="O671" t="s">
        <v>2656</v>
      </c>
      <c r="P671" t="s">
        <v>2656</v>
      </c>
      <c r="Q671" t="s">
        <v>102</v>
      </c>
      <c r="R671" t="s">
        <v>85</v>
      </c>
      <c r="S671" t="s">
        <v>1745</v>
      </c>
      <c r="T671" t="s">
        <v>2660</v>
      </c>
      <c r="U671" t="s">
        <v>322</v>
      </c>
      <c r="V671" t="s">
        <v>82</v>
      </c>
      <c r="W671" t="s">
        <v>1046</v>
      </c>
      <c r="X671" t="s">
        <v>96</v>
      </c>
      <c r="Y671" t="s">
        <v>82</v>
      </c>
      <c r="Z671" t="s">
        <v>149</v>
      </c>
    </row>
    <row r="672" spans="1:26" x14ac:dyDescent="0.25">
      <c r="A672" t="s">
        <v>1840</v>
      </c>
      <c r="B672" t="s">
        <v>2661</v>
      </c>
      <c r="C672" s="4" t="s">
        <v>2662</v>
      </c>
      <c r="D672" t="s">
        <v>1482</v>
      </c>
      <c r="E672" t="s">
        <v>14</v>
      </c>
      <c r="F672" t="s">
        <v>83</v>
      </c>
      <c r="G672" t="s">
        <v>84</v>
      </c>
      <c r="H672" t="s">
        <v>78</v>
      </c>
      <c r="I672" t="s">
        <v>86</v>
      </c>
      <c r="J672" t="s">
        <v>15</v>
      </c>
      <c r="K672" t="s">
        <v>1607</v>
      </c>
      <c r="L672" t="s">
        <v>89</v>
      </c>
      <c r="M672" t="s">
        <v>318</v>
      </c>
      <c r="N672" t="s">
        <v>1047</v>
      </c>
      <c r="O672" t="s">
        <v>2663</v>
      </c>
      <c r="P672" t="s">
        <v>2663</v>
      </c>
      <c r="Q672" t="s">
        <v>102</v>
      </c>
      <c r="R672" t="s">
        <v>85</v>
      </c>
      <c r="S672" t="s">
        <v>1807</v>
      </c>
      <c r="T672" t="s">
        <v>2661</v>
      </c>
      <c r="U672" t="s">
        <v>322</v>
      </c>
      <c r="V672" t="s">
        <v>82</v>
      </c>
      <c r="W672" t="s">
        <v>2664</v>
      </c>
      <c r="X672" t="s">
        <v>96</v>
      </c>
      <c r="Y672" t="s">
        <v>82</v>
      </c>
      <c r="Z672" t="s">
        <v>149</v>
      </c>
    </row>
    <row r="673" spans="1:26" x14ac:dyDescent="0.25">
      <c r="A673" t="s">
        <v>2665</v>
      </c>
      <c r="B673" t="s">
        <v>2666</v>
      </c>
      <c r="C673" s="4" t="s">
        <v>2662</v>
      </c>
      <c r="D673" t="s">
        <v>1482</v>
      </c>
      <c r="E673" t="s">
        <v>14</v>
      </c>
      <c r="F673" t="s">
        <v>83</v>
      </c>
      <c r="G673" t="s">
        <v>84</v>
      </c>
      <c r="H673" t="s">
        <v>78</v>
      </c>
      <c r="I673" t="s">
        <v>86</v>
      </c>
      <c r="J673" t="s">
        <v>17</v>
      </c>
      <c r="K673" t="s">
        <v>1607</v>
      </c>
      <c r="L673" t="s">
        <v>89</v>
      </c>
      <c r="M673" t="s">
        <v>318</v>
      </c>
      <c r="N673" t="s">
        <v>1047</v>
      </c>
      <c r="O673" t="s">
        <v>2667</v>
      </c>
      <c r="P673" t="s">
        <v>2667</v>
      </c>
      <c r="Q673" t="s">
        <v>102</v>
      </c>
      <c r="R673" t="s">
        <v>85</v>
      </c>
      <c r="S673" t="s">
        <v>1807</v>
      </c>
      <c r="T673" t="s">
        <v>2666</v>
      </c>
      <c r="U673" t="s">
        <v>322</v>
      </c>
      <c r="V673" t="s">
        <v>82</v>
      </c>
      <c r="W673" t="s">
        <v>2664</v>
      </c>
      <c r="X673" t="s">
        <v>96</v>
      </c>
      <c r="Y673" t="s">
        <v>82</v>
      </c>
      <c r="Z673" t="s">
        <v>149</v>
      </c>
    </row>
    <row r="674" spans="1:26" x14ac:dyDescent="0.25">
      <c r="A674" t="s">
        <v>2668</v>
      </c>
      <c r="B674" t="s">
        <v>2669</v>
      </c>
      <c r="C674" s="4" t="s">
        <v>2662</v>
      </c>
      <c r="D674" t="s">
        <v>1482</v>
      </c>
      <c r="E674" t="s">
        <v>14</v>
      </c>
      <c r="F674" t="s">
        <v>83</v>
      </c>
      <c r="G674" t="s">
        <v>84</v>
      </c>
      <c r="H674" t="s">
        <v>78</v>
      </c>
      <c r="I674" t="s">
        <v>86</v>
      </c>
      <c r="J674" t="s">
        <v>130</v>
      </c>
      <c r="K674" t="s">
        <v>1607</v>
      </c>
      <c r="L674" t="s">
        <v>89</v>
      </c>
      <c r="M674" t="s">
        <v>318</v>
      </c>
      <c r="N674" t="s">
        <v>1047</v>
      </c>
      <c r="O674" t="s">
        <v>2667</v>
      </c>
      <c r="P674" t="s">
        <v>2667</v>
      </c>
      <c r="Q674" t="s">
        <v>102</v>
      </c>
      <c r="R674" t="s">
        <v>85</v>
      </c>
      <c r="S674" t="s">
        <v>1807</v>
      </c>
      <c r="T674" t="s">
        <v>2669</v>
      </c>
      <c r="U674" t="s">
        <v>322</v>
      </c>
      <c r="V674" t="s">
        <v>82</v>
      </c>
      <c r="W674" t="s">
        <v>2664</v>
      </c>
      <c r="X674" t="s">
        <v>96</v>
      </c>
      <c r="Y674" t="s">
        <v>82</v>
      </c>
      <c r="Z674" t="s">
        <v>149</v>
      </c>
    </row>
    <row r="675" spans="1:26" x14ac:dyDescent="0.25">
      <c r="A675" t="s">
        <v>1828</v>
      </c>
      <c r="B675" t="s">
        <v>2670</v>
      </c>
      <c r="C675" s="4" t="s">
        <v>2662</v>
      </c>
      <c r="D675" t="s">
        <v>1482</v>
      </c>
      <c r="E675" t="s">
        <v>14</v>
      </c>
      <c r="F675" t="s">
        <v>83</v>
      </c>
      <c r="G675" t="s">
        <v>84</v>
      </c>
      <c r="H675" t="s">
        <v>78</v>
      </c>
      <c r="I675" t="s">
        <v>86</v>
      </c>
      <c r="J675" t="s">
        <v>37</v>
      </c>
      <c r="K675" t="s">
        <v>1607</v>
      </c>
      <c r="L675" t="s">
        <v>89</v>
      </c>
      <c r="M675" t="s">
        <v>318</v>
      </c>
      <c r="N675" t="s">
        <v>1047</v>
      </c>
      <c r="O675" t="s">
        <v>2667</v>
      </c>
      <c r="P675" t="s">
        <v>2667</v>
      </c>
      <c r="Q675" t="s">
        <v>102</v>
      </c>
      <c r="R675" t="s">
        <v>85</v>
      </c>
      <c r="S675" t="s">
        <v>1807</v>
      </c>
      <c r="T675" t="s">
        <v>2670</v>
      </c>
      <c r="U675" t="s">
        <v>322</v>
      </c>
      <c r="V675" t="s">
        <v>82</v>
      </c>
      <c r="W675" t="s">
        <v>2664</v>
      </c>
      <c r="X675" t="s">
        <v>96</v>
      </c>
      <c r="Y675" t="s">
        <v>82</v>
      </c>
      <c r="Z675" t="s">
        <v>149</v>
      </c>
    </row>
    <row r="676" spans="1:26" x14ac:dyDescent="0.25">
      <c r="A676" t="s">
        <v>2671</v>
      </c>
      <c r="B676" t="s">
        <v>2672</v>
      </c>
      <c r="C676" s="4" t="s">
        <v>2673</v>
      </c>
      <c r="D676" t="s">
        <v>1482</v>
      </c>
      <c r="E676" t="s">
        <v>14</v>
      </c>
      <c r="F676" t="s">
        <v>83</v>
      </c>
      <c r="G676" t="s">
        <v>84</v>
      </c>
      <c r="H676" t="s">
        <v>78</v>
      </c>
      <c r="I676" t="s">
        <v>86</v>
      </c>
      <c r="J676" t="s">
        <v>30</v>
      </c>
      <c r="K676" t="s">
        <v>1607</v>
      </c>
      <c r="L676" t="s">
        <v>89</v>
      </c>
      <c r="M676" t="s">
        <v>318</v>
      </c>
      <c r="N676" t="s">
        <v>1047</v>
      </c>
      <c r="O676" t="s">
        <v>2674</v>
      </c>
      <c r="P676" t="s">
        <v>2674</v>
      </c>
      <c r="Q676" t="s">
        <v>102</v>
      </c>
      <c r="R676" t="s">
        <v>85</v>
      </c>
      <c r="S676" t="s">
        <v>1807</v>
      </c>
      <c r="T676" t="s">
        <v>2672</v>
      </c>
      <c r="U676" t="s">
        <v>322</v>
      </c>
      <c r="V676" t="s">
        <v>82</v>
      </c>
      <c r="W676" t="s">
        <v>2664</v>
      </c>
      <c r="X676" t="s">
        <v>96</v>
      </c>
      <c r="Y676" t="s">
        <v>82</v>
      </c>
      <c r="Z676" t="s">
        <v>149</v>
      </c>
    </row>
    <row r="677" spans="1:26" x14ac:dyDescent="0.25">
      <c r="A677" t="s">
        <v>2675</v>
      </c>
      <c r="B677" t="s">
        <v>2676</v>
      </c>
      <c r="C677" s="4" t="s">
        <v>2673</v>
      </c>
      <c r="D677" t="s">
        <v>1482</v>
      </c>
      <c r="E677" t="s">
        <v>14</v>
      </c>
      <c r="F677" t="s">
        <v>83</v>
      </c>
      <c r="G677" t="s">
        <v>84</v>
      </c>
      <c r="H677" t="s">
        <v>78</v>
      </c>
      <c r="I677" t="s">
        <v>86</v>
      </c>
      <c r="J677" t="s">
        <v>1530</v>
      </c>
      <c r="K677" t="s">
        <v>1607</v>
      </c>
      <c r="L677" t="s">
        <v>89</v>
      </c>
      <c r="M677" t="s">
        <v>318</v>
      </c>
      <c r="N677" t="s">
        <v>1047</v>
      </c>
      <c r="O677" t="s">
        <v>2674</v>
      </c>
      <c r="P677" t="s">
        <v>2674</v>
      </c>
      <c r="Q677" t="s">
        <v>102</v>
      </c>
      <c r="R677" t="s">
        <v>85</v>
      </c>
      <c r="S677" t="s">
        <v>1807</v>
      </c>
      <c r="T677" t="s">
        <v>2676</v>
      </c>
      <c r="U677" t="s">
        <v>322</v>
      </c>
      <c r="V677" t="s">
        <v>82</v>
      </c>
      <c r="W677" t="s">
        <v>2664</v>
      </c>
      <c r="X677" t="s">
        <v>96</v>
      </c>
      <c r="Y677" t="s">
        <v>82</v>
      </c>
      <c r="Z677" t="s">
        <v>149</v>
      </c>
    </row>
    <row r="678" spans="1:26" x14ac:dyDescent="0.25">
      <c r="A678" t="s">
        <v>1835</v>
      </c>
      <c r="B678" t="s">
        <v>2677</v>
      </c>
      <c r="C678" s="4" t="s">
        <v>2673</v>
      </c>
      <c r="D678" t="s">
        <v>1482</v>
      </c>
      <c r="E678" t="s">
        <v>14</v>
      </c>
      <c r="F678" t="s">
        <v>83</v>
      </c>
      <c r="G678" t="s">
        <v>84</v>
      </c>
      <c r="H678" t="s">
        <v>78</v>
      </c>
      <c r="I678" t="s">
        <v>86</v>
      </c>
      <c r="J678" t="s">
        <v>1002</v>
      </c>
      <c r="K678" t="s">
        <v>1607</v>
      </c>
      <c r="L678" t="s">
        <v>89</v>
      </c>
      <c r="M678" t="s">
        <v>318</v>
      </c>
      <c r="N678" t="s">
        <v>1047</v>
      </c>
      <c r="O678" t="s">
        <v>2674</v>
      </c>
      <c r="P678" t="s">
        <v>2674</v>
      </c>
      <c r="Q678" t="s">
        <v>102</v>
      </c>
      <c r="R678" t="s">
        <v>85</v>
      </c>
      <c r="S678" t="s">
        <v>1807</v>
      </c>
      <c r="T678" t="s">
        <v>2677</v>
      </c>
      <c r="U678" t="s">
        <v>322</v>
      </c>
      <c r="V678" t="s">
        <v>82</v>
      </c>
      <c r="W678" t="s">
        <v>2664</v>
      </c>
      <c r="X678" t="s">
        <v>96</v>
      </c>
      <c r="Y678" t="s">
        <v>82</v>
      </c>
      <c r="Z678" t="s">
        <v>149</v>
      </c>
    </row>
    <row r="679" spans="1:26" x14ac:dyDescent="0.25">
      <c r="A679" t="s">
        <v>2678</v>
      </c>
      <c r="B679" t="s">
        <v>2679</v>
      </c>
      <c r="C679" s="4" t="s">
        <v>2673</v>
      </c>
      <c r="D679" t="s">
        <v>1482</v>
      </c>
      <c r="E679" t="s">
        <v>14</v>
      </c>
      <c r="F679" t="s">
        <v>83</v>
      </c>
      <c r="G679" t="s">
        <v>84</v>
      </c>
      <c r="H679" t="s">
        <v>78</v>
      </c>
      <c r="I679" t="s">
        <v>86</v>
      </c>
      <c r="J679" t="s">
        <v>1053</v>
      </c>
      <c r="K679" t="s">
        <v>1607</v>
      </c>
      <c r="L679" t="s">
        <v>89</v>
      </c>
      <c r="M679" t="s">
        <v>318</v>
      </c>
      <c r="N679" t="s">
        <v>1047</v>
      </c>
      <c r="O679" t="s">
        <v>2680</v>
      </c>
      <c r="P679" t="s">
        <v>2680</v>
      </c>
      <c r="Q679" t="s">
        <v>102</v>
      </c>
      <c r="R679" t="s">
        <v>85</v>
      </c>
      <c r="S679" t="s">
        <v>1807</v>
      </c>
      <c r="T679" t="s">
        <v>2679</v>
      </c>
      <c r="U679" t="s">
        <v>322</v>
      </c>
      <c r="V679" t="s">
        <v>82</v>
      </c>
      <c r="W679" t="s">
        <v>2664</v>
      </c>
      <c r="X679" t="s">
        <v>96</v>
      </c>
      <c r="Y679" t="s">
        <v>82</v>
      </c>
      <c r="Z679" t="s">
        <v>149</v>
      </c>
    </row>
    <row r="680" spans="1:26" x14ac:dyDescent="0.25">
      <c r="A680" t="s">
        <v>2681</v>
      </c>
      <c r="B680" t="s">
        <v>2682</v>
      </c>
      <c r="C680" s="4" t="s">
        <v>2477</v>
      </c>
      <c r="D680" t="s">
        <v>2683</v>
      </c>
      <c r="E680" t="s">
        <v>14</v>
      </c>
      <c r="F680" t="s">
        <v>105</v>
      </c>
      <c r="G680" t="s">
        <v>106</v>
      </c>
      <c r="H680" t="s">
        <v>78</v>
      </c>
      <c r="I680" t="s">
        <v>86</v>
      </c>
      <c r="J680" t="s">
        <v>1053</v>
      </c>
      <c r="K680" t="s">
        <v>1236</v>
      </c>
      <c r="L680" t="s">
        <v>89</v>
      </c>
      <c r="M680" t="s">
        <v>318</v>
      </c>
      <c r="N680" t="s">
        <v>326</v>
      </c>
      <c r="O680" t="s">
        <v>2684</v>
      </c>
      <c r="P680" t="s">
        <v>2684</v>
      </c>
      <c r="Q680" t="s">
        <v>102</v>
      </c>
      <c r="R680" t="s">
        <v>105</v>
      </c>
      <c r="S680" t="s">
        <v>1981</v>
      </c>
      <c r="T680" t="s">
        <v>2682</v>
      </c>
      <c r="U680" t="s">
        <v>322</v>
      </c>
      <c r="V680" t="s">
        <v>82</v>
      </c>
      <c r="W680" t="s">
        <v>354</v>
      </c>
      <c r="X680" t="s">
        <v>96</v>
      </c>
      <c r="Y680" t="s">
        <v>82</v>
      </c>
      <c r="Z680" t="s">
        <v>149</v>
      </c>
    </row>
    <row r="681" spans="1:26" x14ac:dyDescent="0.25">
      <c r="A681" t="s">
        <v>2685</v>
      </c>
      <c r="B681" t="s">
        <v>2686</v>
      </c>
      <c r="C681" s="4" t="s">
        <v>2477</v>
      </c>
      <c r="D681" t="s">
        <v>2683</v>
      </c>
      <c r="E681" t="s">
        <v>14</v>
      </c>
      <c r="F681" t="s">
        <v>105</v>
      </c>
      <c r="G681" t="s">
        <v>106</v>
      </c>
      <c r="H681" t="s">
        <v>78</v>
      </c>
      <c r="I681" t="s">
        <v>86</v>
      </c>
      <c r="J681" t="s">
        <v>32</v>
      </c>
      <c r="K681" t="s">
        <v>1236</v>
      </c>
      <c r="L681" t="s">
        <v>89</v>
      </c>
      <c r="M681" t="s">
        <v>318</v>
      </c>
      <c r="N681" t="s">
        <v>326</v>
      </c>
      <c r="O681" t="s">
        <v>2687</v>
      </c>
      <c r="P681" t="s">
        <v>2687</v>
      </c>
      <c r="Q681" t="s">
        <v>102</v>
      </c>
      <c r="R681" t="s">
        <v>105</v>
      </c>
      <c r="S681" t="s">
        <v>1981</v>
      </c>
      <c r="T681" t="s">
        <v>2686</v>
      </c>
      <c r="U681" t="s">
        <v>322</v>
      </c>
      <c r="V681" t="s">
        <v>82</v>
      </c>
      <c r="W681" t="s">
        <v>354</v>
      </c>
      <c r="X681" t="s">
        <v>96</v>
      </c>
      <c r="Y681" t="s">
        <v>82</v>
      </c>
      <c r="Z681" t="s">
        <v>149</v>
      </c>
    </row>
    <row r="682" spans="1:26" x14ac:dyDescent="0.25">
      <c r="A682" t="s">
        <v>2688</v>
      </c>
      <c r="B682" t="s">
        <v>2689</v>
      </c>
      <c r="C682" s="4" t="s">
        <v>482</v>
      </c>
      <c r="D682" t="s">
        <v>2690</v>
      </c>
      <c r="E682" t="s">
        <v>14</v>
      </c>
      <c r="F682" t="s">
        <v>83</v>
      </c>
      <c r="G682" t="s">
        <v>84</v>
      </c>
      <c r="H682" t="s">
        <v>78</v>
      </c>
      <c r="I682" t="s">
        <v>86</v>
      </c>
      <c r="J682" t="s">
        <v>1461</v>
      </c>
      <c r="K682" t="s">
        <v>1357</v>
      </c>
      <c r="L682" t="s">
        <v>89</v>
      </c>
      <c r="M682" t="s">
        <v>318</v>
      </c>
      <c r="N682" t="s">
        <v>1186</v>
      </c>
      <c r="O682" t="s">
        <v>2691</v>
      </c>
      <c r="P682" t="s">
        <v>2692</v>
      </c>
      <c r="Q682" t="s">
        <v>102</v>
      </c>
      <c r="R682" t="s">
        <v>134</v>
      </c>
      <c r="S682" t="s">
        <v>679</v>
      </c>
      <c r="T682" t="s">
        <v>2689</v>
      </c>
      <c r="U682" t="s">
        <v>322</v>
      </c>
      <c r="V682" t="s">
        <v>82</v>
      </c>
      <c r="W682" t="s">
        <v>1539</v>
      </c>
      <c r="X682" t="s">
        <v>96</v>
      </c>
      <c r="Y682" t="s">
        <v>82</v>
      </c>
      <c r="Z682" t="s">
        <v>149</v>
      </c>
    </row>
    <row r="683" spans="1:26" x14ac:dyDescent="0.25">
      <c r="A683" t="s">
        <v>2693</v>
      </c>
      <c r="B683" t="s">
        <v>2694</v>
      </c>
      <c r="C683" s="4" t="s">
        <v>2477</v>
      </c>
      <c r="D683" t="s">
        <v>2690</v>
      </c>
      <c r="E683" t="s">
        <v>14</v>
      </c>
      <c r="F683" t="s">
        <v>83</v>
      </c>
      <c r="G683" t="s">
        <v>84</v>
      </c>
      <c r="H683" t="s">
        <v>78</v>
      </c>
      <c r="I683" t="s">
        <v>86</v>
      </c>
      <c r="J683" t="s">
        <v>531</v>
      </c>
      <c r="K683" t="s">
        <v>1357</v>
      </c>
      <c r="L683" t="s">
        <v>89</v>
      </c>
      <c r="M683" t="s">
        <v>318</v>
      </c>
      <c r="N683" t="s">
        <v>1186</v>
      </c>
      <c r="O683" t="s">
        <v>2691</v>
      </c>
      <c r="P683" t="s">
        <v>2691</v>
      </c>
      <c r="Q683" t="s">
        <v>102</v>
      </c>
      <c r="R683" t="s">
        <v>134</v>
      </c>
      <c r="S683" t="s">
        <v>679</v>
      </c>
      <c r="T683" t="s">
        <v>2694</v>
      </c>
      <c r="U683" t="s">
        <v>322</v>
      </c>
      <c r="V683" t="s">
        <v>82</v>
      </c>
      <c r="W683" t="s">
        <v>1539</v>
      </c>
      <c r="X683" t="s">
        <v>96</v>
      </c>
      <c r="Y683" t="s">
        <v>82</v>
      </c>
      <c r="Z683" t="s">
        <v>149</v>
      </c>
    </row>
    <row r="684" spans="1:26" x14ac:dyDescent="0.25">
      <c r="A684" t="s">
        <v>2695</v>
      </c>
      <c r="B684" t="s">
        <v>2696</v>
      </c>
      <c r="C684" s="4" t="s">
        <v>2477</v>
      </c>
      <c r="D684" t="s">
        <v>2690</v>
      </c>
      <c r="E684" t="s">
        <v>14</v>
      </c>
      <c r="F684" t="s">
        <v>83</v>
      </c>
      <c r="G684" t="s">
        <v>84</v>
      </c>
      <c r="H684" t="s">
        <v>78</v>
      </c>
      <c r="I684" t="s">
        <v>86</v>
      </c>
      <c r="J684" t="s">
        <v>340</v>
      </c>
      <c r="K684" t="s">
        <v>1357</v>
      </c>
      <c r="L684" t="s">
        <v>89</v>
      </c>
      <c r="M684" t="s">
        <v>318</v>
      </c>
      <c r="N684" t="s">
        <v>1186</v>
      </c>
      <c r="O684" t="s">
        <v>2691</v>
      </c>
      <c r="P684" t="s">
        <v>2691</v>
      </c>
      <c r="Q684" t="s">
        <v>102</v>
      </c>
      <c r="R684" t="s">
        <v>134</v>
      </c>
      <c r="S684" t="s">
        <v>679</v>
      </c>
      <c r="T684" t="s">
        <v>2696</v>
      </c>
      <c r="U684" t="s">
        <v>322</v>
      </c>
      <c r="V684" t="s">
        <v>82</v>
      </c>
      <c r="W684" t="s">
        <v>1539</v>
      </c>
      <c r="X684" t="s">
        <v>96</v>
      </c>
      <c r="Y684" t="s">
        <v>82</v>
      </c>
      <c r="Z684" t="s">
        <v>149</v>
      </c>
    </row>
    <row r="685" spans="1:26" x14ac:dyDescent="0.25">
      <c r="A685" t="s">
        <v>2697</v>
      </c>
      <c r="B685" t="s">
        <v>2698</v>
      </c>
      <c r="C685" s="4" t="s">
        <v>479</v>
      </c>
      <c r="D685" t="s">
        <v>2699</v>
      </c>
      <c r="E685" t="s">
        <v>14</v>
      </c>
      <c r="F685" t="s">
        <v>105</v>
      </c>
      <c r="G685" t="s">
        <v>106</v>
      </c>
      <c r="H685" t="s">
        <v>78</v>
      </c>
      <c r="I685" t="s">
        <v>86</v>
      </c>
      <c r="J685" t="s">
        <v>531</v>
      </c>
      <c r="K685" t="s">
        <v>1250</v>
      </c>
      <c r="L685" t="s">
        <v>89</v>
      </c>
      <c r="M685" t="s">
        <v>318</v>
      </c>
      <c r="N685" t="s">
        <v>506</v>
      </c>
      <c r="O685" t="s">
        <v>2700</v>
      </c>
      <c r="P685" t="s">
        <v>2700</v>
      </c>
      <c r="Q685" t="s">
        <v>102</v>
      </c>
      <c r="R685" t="s">
        <v>134</v>
      </c>
      <c r="S685" t="s">
        <v>1861</v>
      </c>
      <c r="T685" t="s">
        <v>2698</v>
      </c>
      <c r="U685" t="s">
        <v>322</v>
      </c>
      <c r="V685" t="s">
        <v>82</v>
      </c>
      <c r="W685" t="s">
        <v>2701</v>
      </c>
      <c r="X685" t="s">
        <v>96</v>
      </c>
      <c r="Y685" t="s">
        <v>82</v>
      </c>
      <c r="Z685" t="s">
        <v>149</v>
      </c>
    </row>
    <row r="686" spans="1:26" x14ac:dyDescent="0.25">
      <c r="A686" t="s">
        <v>2702</v>
      </c>
      <c r="B686" t="s">
        <v>2703</v>
      </c>
      <c r="C686" s="4" t="s">
        <v>479</v>
      </c>
      <c r="D686" t="s">
        <v>2699</v>
      </c>
      <c r="E686" t="s">
        <v>14</v>
      </c>
      <c r="F686" t="s">
        <v>105</v>
      </c>
      <c r="G686" t="s">
        <v>106</v>
      </c>
      <c r="H686" t="s">
        <v>78</v>
      </c>
      <c r="I686" t="s">
        <v>86</v>
      </c>
      <c r="J686" t="s">
        <v>1461</v>
      </c>
      <c r="K686" t="s">
        <v>1250</v>
      </c>
      <c r="L686" t="s">
        <v>89</v>
      </c>
      <c r="M686" t="s">
        <v>318</v>
      </c>
      <c r="N686" t="s">
        <v>506</v>
      </c>
      <c r="O686" t="s">
        <v>2700</v>
      </c>
      <c r="P686" t="s">
        <v>2700</v>
      </c>
      <c r="Q686" t="s">
        <v>102</v>
      </c>
      <c r="R686" t="s">
        <v>134</v>
      </c>
      <c r="S686" t="s">
        <v>1861</v>
      </c>
      <c r="T686" t="s">
        <v>2703</v>
      </c>
      <c r="U686" t="s">
        <v>322</v>
      </c>
      <c r="V686" t="s">
        <v>82</v>
      </c>
      <c r="W686" t="s">
        <v>2701</v>
      </c>
      <c r="X686" t="s">
        <v>96</v>
      </c>
      <c r="Y686" t="s">
        <v>82</v>
      </c>
      <c r="Z686" t="s">
        <v>149</v>
      </c>
    </row>
    <row r="687" spans="1:26" x14ac:dyDescent="0.25">
      <c r="A687" t="s">
        <v>2704</v>
      </c>
      <c r="B687" t="s">
        <v>2705</v>
      </c>
      <c r="C687" s="4" t="s">
        <v>479</v>
      </c>
      <c r="D687" t="s">
        <v>2699</v>
      </c>
      <c r="E687" t="s">
        <v>14</v>
      </c>
      <c r="F687" t="s">
        <v>105</v>
      </c>
      <c r="G687" t="s">
        <v>106</v>
      </c>
      <c r="H687" t="s">
        <v>78</v>
      </c>
      <c r="I687" t="s">
        <v>86</v>
      </c>
      <c r="J687" t="s">
        <v>130</v>
      </c>
      <c r="K687" t="s">
        <v>1250</v>
      </c>
      <c r="L687" t="s">
        <v>89</v>
      </c>
      <c r="M687" t="s">
        <v>318</v>
      </c>
      <c r="N687" t="s">
        <v>506</v>
      </c>
      <c r="O687" t="s">
        <v>2706</v>
      </c>
      <c r="P687" t="s">
        <v>2706</v>
      </c>
      <c r="Q687" t="s">
        <v>102</v>
      </c>
      <c r="R687" t="s">
        <v>134</v>
      </c>
      <c r="S687" t="s">
        <v>1861</v>
      </c>
      <c r="T687" t="s">
        <v>2705</v>
      </c>
      <c r="U687" t="s">
        <v>322</v>
      </c>
      <c r="V687" t="s">
        <v>82</v>
      </c>
      <c r="W687" t="s">
        <v>2701</v>
      </c>
      <c r="X687" t="s">
        <v>96</v>
      </c>
      <c r="Y687" t="s">
        <v>82</v>
      </c>
      <c r="Z687" t="s">
        <v>149</v>
      </c>
    </row>
    <row r="688" spans="1:26" x14ac:dyDescent="0.25">
      <c r="A688" t="s">
        <v>2707</v>
      </c>
      <c r="B688" t="s">
        <v>2708</v>
      </c>
      <c r="C688" s="4" t="s">
        <v>2709</v>
      </c>
      <c r="D688" t="s">
        <v>2710</v>
      </c>
      <c r="E688" t="s">
        <v>14</v>
      </c>
      <c r="F688" t="s">
        <v>83</v>
      </c>
      <c r="G688" t="s">
        <v>105</v>
      </c>
      <c r="H688" t="s">
        <v>78</v>
      </c>
      <c r="I688" t="s">
        <v>102</v>
      </c>
      <c r="J688" t="s">
        <v>1053</v>
      </c>
      <c r="K688" t="s">
        <v>1779</v>
      </c>
      <c r="L688" t="s">
        <v>89</v>
      </c>
      <c r="M688" t="s">
        <v>318</v>
      </c>
      <c r="N688" t="s">
        <v>815</v>
      </c>
      <c r="O688" t="s">
        <v>2711</v>
      </c>
      <c r="P688" t="s">
        <v>2711</v>
      </c>
      <c r="Q688" t="s">
        <v>102</v>
      </c>
      <c r="R688" t="s">
        <v>84</v>
      </c>
      <c r="S688" t="s">
        <v>1996</v>
      </c>
      <c r="T688" t="s">
        <v>2708</v>
      </c>
      <c r="U688" t="s">
        <v>322</v>
      </c>
      <c r="V688" t="s">
        <v>82</v>
      </c>
      <c r="W688" t="s">
        <v>354</v>
      </c>
      <c r="X688" t="s">
        <v>96</v>
      </c>
      <c r="Y688" t="s">
        <v>82</v>
      </c>
      <c r="Z688" t="s">
        <v>149</v>
      </c>
    </row>
    <row r="689" spans="1:26" x14ac:dyDescent="0.25">
      <c r="A689" t="s">
        <v>2712</v>
      </c>
      <c r="B689" t="s">
        <v>2713</v>
      </c>
      <c r="C689" s="4" t="s">
        <v>2709</v>
      </c>
      <c r="D689" t="s">
        <v>2710</v>
      </c>
      <c r="E689" t="s">
        <v>14</v>
      </c>
      <c r="F689" t="s">
        <v>83</v>
      </c>
      <c r="G689" t="s">
        <v>105</v>
      </c>
      <c r="H689" t="s">
        <v>78</v>
      </c>
      <c r="I689" t="s">
        <v>102</v>
      </c>
      <c r="J689" t="s">
        <v>29</v>
      </c>
      <c r="K689" t="s">
        <v>1779</v>
      </c>
      <c r="L689" t="s">
        <v>89</v>
      </c>
      <c r="M689" t="s">
        <v>318</v>
      </c>
      <c r="N689" t="s">
        <v>815</v>
      </c>
      <c r="O689" t="s">
        <v>2711</v>
      </c>
      <c r="P689" t="s">
        <v>2711</v>
      </c>
      <c r="Q689" t="s">
        <v>102</v>
      </c>
      <c r="R689" t="s">
        <v>84</v>
      </c>
      <c r="S689" t="s">
        <v>1996</v>
      </c>
      <c r="T689" t="s">
        <v>2713</v>
      </c>
      <c r="U689" t="s">
        <v>322</v>
      </c>
      <c r="V689" t="s">
        <v>82</v>
      </c>
      <c r="W689" t="s">
        <v>354</v>
      </c>
      <c r="X689" t="s">
        <v>96</v>
      </c>
      <c r="Y689" t="s">
        <v>82</v>
      </c>
      <c r="Z689" t="s">
        <v>149</v>
      </c>
    </row>
    <row r="690" spans="1:26" x14ac:dyDescent="0.25">
      <c r="A690" t="s">
        <v>2714</v>
      </c>
      <c r="B690" t="s">
        <v>2715</v>
      </c>
      <c r="C690" s="4" t="s">
        <v>2709</v>
      </c>
      <c r="D690" t="s">
        <v>2710</v>
      </c>
      <c r="E690" t="s">
        <v>14</v>
      </c>
      <c r="F690" t="s">
        <v>83</v>
      </c>
      <c r="G690" t="s">
        <v>105</v>
      </c>
      <c r="H690" t="s">
        <v>78</v>
      </c>
      <c r="I690" t="s">
        <v>102</v>
      </c>
      <c r="J690" t="s">
        <v>30</v>
      </c>
      <c r="K690" t="s">
        <v>1779</v>
      </c>
      <c r="L690" t="s">
        <v>89</v>
      </c>
      <c r="M690" t="s">
        <v>318</v>
      </c>
      <c r="N690" t="s">
        <v>815</v>
      </c>
      <c r="O690" t="s">
        <v>2711</v>
      </c>
      <c r="P690" t="s">
        <v>2711</v>
      </c>
      <c r="Q690" t="s">
        <v>102</v>
      </c>
      <c r="R690" t="s">
        <v>84</v>
      </c>
      <c r="S690" t="s">
        <v>1996</v>
      </c>
      <c r="T690" t="s">
        <v>2715</v>
      </c>
      <c r="U690" t="s">
        <v>322</v>
      </c>
      <c r="V690" t="s">
        <v>82</v>
      </c>
      <c r="W690" t="s">
        <v>354</v>
      </c>
      <c r="X690" t="s">
        <v>96</v>
      </c>
      <c r="Y690" t="s">
        <v>82</v>
      </c>
      <c r="Z690" t="s">
        <v>149</v>
      </c>
    </row>
    <row r="691" spans="1:26" x14ac:dyDescent="0.25">
      <c r="A691" t="s">
        <v>2716</v>
      </c>
      <c r="B691" t="s">
        <v>2717</v>
      </c>
      <c r="C691" s="4" t="s">
        <v>2718</v>
      </c>
      <c r="D691" t="s">
        <v>2710</v>
      </c>
      <c r="E691" t="s">
        <v>14</v>
      </c>
      <c r="F691" t="s">
        <v>83</v>
      </c>
      <c r="G691" t="s">
        <v>105</v>
      </c>
      <c r="H691" t="s">
        <v>78</v>
      </c>
      <c r="I691" t="s">
        <v>86</v>
      </c>
      <c r="J691" t="s">
        <v>1002</v>
      </c>
      <c r="K691" t="s">
        <v>1779</v>
      </c>
      <c r="L691" t="s">
        <v>89</v>
      </c>
      <c r="M691" t="s">
        <v>318</v>
      </c>
      <c r="N691" t="s">
        <v>815</v>
      </c>
      <c r="O691" t="s">
        <v>2719</v>
      </c>
      <c r="P691" t="s">
        <v>2720</v>
      </c>
      <c r="Q691" t="s">
        <v>102</v>
      </c>
      <c r="R691" t="s">
        <v>84</v>
      </c>
      <c r="S691" t="s">
        <v>1782</v>
      </c>
      <c r="T691" t="s">
        <v>2717</v>
      </c>
      <c r="U691" t="s">
        <v>322</v>
      </c>
      <c r="V691" t="s">
        <v>82</v>
      </c>
      <c r="W691" t="s">
        <v>354</v>
      </c>
      <c r="X691" t="s">
        <v>96</v>
      </c>
      <c r="Y691" t="s">
        <v>82</v>
      </c>
      <c r="Z691" t="s">
        <v>149</v>
      </c>
    </row>
    <row r="692" spans="1:26" x14ac:dyDescent="0.25">
      <c r="A692" t="s">
        <v>2721</v>
      </c>
      <c r="B692" t="s">
        <v>2722</v>
      </c>
      <c r="C692" s="4" t="s">
        <v>2718</v>
      </c>
      <c r="D692" t="s">
        <v>2710</v>
      </c>
      <c r="E692" t="s">
        <v>14</v>
      </c>
      <c r="F692" t="s">
        <v>83</v>
      </c>
      <c r="G692" t="s">
        <v>105</v>
      </c>
      <c r="H692" t="s">
        <v>78</v>
      </c>
      <c r="I692" t="s">
        <v>86</v>
      </c>
      <c r="J692" t="s">
        <v>32</v>
      </c>
      <c r="K692" t="s">
        <v>1779</v>
      </c>
      <c r="L692" t="s">
        <v>89</v>
      </c>
      <c r="M692" t="s">
        <v>318</v>
      </c>
      <c r="N692" t="s">
        <v>815</v>
      </c>
      <c r="O692" t="s">
        <v>2719</v>
      </c>
      <c r="P692" t="s">
        <v>2723</v>
      </c>
      <c r="Q692" t="s">
        <v>102</v>
      </c>
      <c r="R692" t="s">
        <v>84</v>
      </c>
      <c r="S692" t="s">
        <v>1782</v>
      </c>
      <c r="T692" t="s">
        <v>2722</v>
      </c>
      <c r="U692" t="s">
        <v>322</v>
      </c>
      <c r="V692" t="s">
        <v>82</v>
      </c>
      <c r="W692" t="s">
        <v>354</v>
      </c>
      <c r="X692" t="s">
        <v>96</v>
      </c>
      <c r="Y692" t="s">
        <v>82</v>
      </c>
      <c r="Z692" t="s">
        <v>149</v>
      </c>
    </row>
    <row r="693" spans="1:26" x14ac:dyDescent="0.25">
      <c r="A693" t="s">
        <v>2724</v>
      </c>
      <c r="B693" t="s">
        <v>2725</v>
      </c>
      <c r="C693" s="4" t="s">
        <v>2718</v>
      </c>
      <c r="D693" t="s">
        <v>2710</v>
      </c>
      <c r="E693" t="s">
        <v>14</v>
      </c>
      <c r="F693" t="s">
        <v>83</v>
      </c>
      <c r="G693" t="s">
        <v>105</v>
      </c>
      <c r="H693" t="s">
        <v>78</v>
      </c>
      <c r="I693" t="s">
        <v>86</v>
      </c>
      <c r="J693" t="s">
        <v>1053</v>
      </c>
      <c r="K693" t="s">
        <v>1779</v>
      </c>
      <c r="L693" t="s">
        <v>89</v>
      </c>
      <c r="M693" t="s">
        <v>318</v>
      </c>
      <c r="N693" t="s">
        <v>815</v>
      </c>
      <c r="O693" t="s">
        <v>2719</v>
      </c>
      <c r="P693" t="s">
        <v>2726</v>
      </c>
      <c r="Q693" t="s">
        <v>102</v>
      </c>
      <c r="R693" t="s">
        <v>84</v>
      </c>
      <c r="S693" t="s">
        <v>1782</v>
      </c>
      <c r="T693" t="s">
        <v>2725</v>
      </c>
      <c r="U693" t="s">
        <v>322</v>
      </c>
      <c r="V693" t="s">
        <v>82</v>
      </c>
      <c r="W693" t="s">
        <v>354</v>
      </c>
      <c r="X693" t="s">
        <v>96</v>
      </c>
      <c r="Y693" t="s">
        <v>82</v>
      </c>
      <c r="Z693" t="s">
        <v>149</v>
      </c>
    </row>
    <row r="694" spans="1:26" x14ac:dyDescent="0.25">
      <c r="A694" t="s">
        <v>2727</v>
      </c>
      <c r="B694" t="s">
        <v>2728</v>
      </c>
      <c r="C694" s="4" t="s">
        <v>2729</v>
      </c>
      <c r="D694" t="s">
        <v>2710</v>
      </c>
      <c r="E694" t="s">
        <v>14</v>
      </c>
      <c r="F694" t="s">
        <v>83</v>
      </c>
      <c r="G694" t="s">
        <v>105</v>
      </c>
      <c r="H694" t="s">
        <v>78</v>
      </c>
      <c r="I694" t="s">
        <v>102</v>
      </c>
      <c r="J694" t="s">
        <v>1053</v>
      </c>
      <c r="K694" t="s">
        <v>1779</v>
      </c>
      <c r="L694" t="s">
        <v>89</v>
      </c>
      <c r="M694" t="s">
        <v>318</v>
      </c>
      <c r="N694" t="s">
        <v>815</v>
      </c>
      <c r="O694" t="s">
        <v>2730</v>
      </c>
      <c r="P694" t="s">
        <v>2730</v>
      </c>
      <c r="Q694" t="s">
        <v>102</v>
      </c>
      <c r="R694" t="s">
        <v>84</v>
      </c>
      <c r="S694" t="s">
        <v>1996</v>
      </c>
      <c r="T694" t="s">
        <v>2728</v>
      </c>
      <c r="U694" t="s">
        <v>322</v>
      </c>
      <c r="V694" t="s">
        <v>82</v>
      </c>
      <c r="W694" t="s">
        <v>354</v>
      </c>
      <c r="X694" t="s">
        <v>96</v>
      </c>
      <c r="Y694" t="s">
        <v>82</v>
      </c>
      <c r="Z694" t="s">
        <v>149</v>
      </c>
    </row>
    <row r="695" spans="1:26" x14ac:dyDescent="0.25">
      <c r="A695" t="s">
        <v>2731</v>
      </c>
      <c r="B695" t="s">
        <v>2732</v>
      </c>
      <c r="C695" s="4" t="s">
        <v>2729</v>
      </c>
      <c r="D695" t="s">
        <v>2710</v>
      </c>
      <c r="E695" t="s">
        <v>14</v>
      </c>
      <c r="F695" t="s">
        <v>83</v>
      </c>
      <c r="G695" t="s">
        <v>105</v>
      </c>
      <c r="H695" t="s">
        <v>78</v>
      </c>
      <c r="I695" t="s">
        <v>102</v>
      </c>
      <c r="J695" t="s">
        <v>1002</v>
      </c>
      <c r="K695" t="s">
        <v>1779</v>
      </c>
      <c r="L695" t="s">
        <v>89</v>
      </c>
      <c r="M695" t="s">
        <v>318</v>
      </c>
      <c r="N695" t="s">
        <v>815</v>
      </c>
      <c r="O695" t="s">
        <v>2730</v>
      </c>
      <c r="P695" t="s">
        <v>2730</v>
      </c>
      <c r="Q695" t="s">
        <v>102</v>
      </c>
      <c r="R695" t="s">
        <v>84</v>
      </c>
      <c r="S695" t="s">
        <v>1996</v>
      </c>
      <c r="T695" t="s">
        <v>2732</v>
      </c>
      <c r="U695" t="s">
        <v>322</v>
      </c>
      <c r="V695" t="s">
        <v>82</v>
      </c>
      <c r="W695" t="s">
        <v>354</v>
      </c>
      <c r="X695" t="s">
        <v>96</v>
      </c>
      <c r="Y695" t="s">
        <v>82</v>
      </c>
      <c r="Z695" t="s">
        <v>149</v>
      </c>
    </row>
    <row r="696" spans="1:26" x14ac:dyDescent="0.25">
      <c r="A696" t="s">
        <v>2733</v>
      </c>
      <c r="B696" t="s">
        <v>2734</v>
      </c>
      <c r="C696" s="4" t="s">
        <v>2729</v>
      </c>
      <c r="D696" t="s">
        <v>2710</v>
      </c>
      <c r="E696" t="s">
        <v>14</v>
      </c>
      <c r="F696" t="s">
        <v>83</v>
      </c>
      <c r="G696" t="s">
        <v>105</v>
      </c>
      <c r="H696" t="s">
        <v>78</v>
      </c>
      <c r="I696" t="s">
        <v>102</v>
      </c>
      <c r="J696" t="s">
        <v>37</v>
      </c>
      <c r="K696" t="s">
        <v>1779</v>
      </c>
      <c r="L696" t="s">
        <v>89</v>
      </c>
      <c r="M696" t="s">
        <v>318</v>
      </c>
      <c r="N696" t="s">
        <v>815</v>
      </c>
      <c r="O696" t="s">
        <v>2730</v>
      </c>
      <c r="P696" t="s">
        <v>2730</v>
      </c>
      <c r="Q696" t="s">
        <v>102</v>
      </c>
      <c r="R696" t="s">
        <v>84</v>
      </c>
      <c r="S696" t="s">
        <v>1996</v>
      </c>
      <c r="T696" t="s">
        <v>2734</v>
      </c>
      <c r="U696" t="s">
        <v>322</v>
      </c>
      <c r="V696" t="s">
        <v>82</v>
      </c>
      <c r="W696" t="s">
        <v>354</v>
      </c>
      <c r="X696" t="s">
        <v>96</v>
      </c>
      <c r="Y696" t="s">
        <v>82</v>
      </c>
      <c r="Z696" t="s">
        <v>149</v>
      </c>
    </row>
    <row r="697" spans="1:26" x14ac:dyDescent="0.25">
      <c r="A697" t="s">
        <v>2735</v>
      </c>
      <c r="B697" t="s">
        <v>2736</v>
      </c>
      <c r="C697" s="4" t="s">
        <v>2737</v>
      </c>
      <c r="D697" t="s">
        <v>1805</v>
      </c>
      <c r="E697" t="s">
        <v>14</v>
      </c>
      <c r="F697" t="s">
        <v>83</v>
      </c>
      <c r="G697" t="s">
        <v>84</v>
      </c>
      <c r="H697" t="s">
        <v>78</v>
      </c>
      <c r="I697" t="s">
        <v>86</v>
      </c>
      <c r="J697" t="s">
        <v>1002</v>
      </c>
      <c r="K697" t="s">
        <v>604</v>
      </c>
      <c r="L697" t="s">
        <v>89</v>
      </c>
      <c r="M697" t="s">
        <v>318</v>
      </c>
      <c r="N697" t="s">
        <v>1608</v>
      </c>
      <c r="O697" t="s">
        <v>2738</v>
      </c>
      <c r="P697" t="s">
        <v>2738</v>
      </c>
      <c r="Q697" t="s">
        <v>102</v>
      </c>
      <c r="R697" t="s">
        <v>84</v>
      </c>
      <c r="S697" t="s">
        <v>1745</v>
      </c>
      <c r="T697" t="s">
        <v>2736</v>
      </c>
      <c r="U697" t="s">
        <v>322</v>
      </c>
      <c r="V697" t="s">
        <v>82</v>
      </c>
      <c r="W697" t="s">
        <v>639</v>
      </c>
      <c r="X697" t="s">
        <v>96</v>
      </c>
      <c r="Y697" t="s">
        <v>82</v>
      </c>
      <c r="Z697" t="s">
        <v>149</v>
      </c>
    </row>
    <row r="698" spans="1:26" x14ac:dyDescent="0.25">
      <c r="A698" t="s">
        <v>2739</v>
      </c>
      <c r="B698" t="s">
        <v>2740</v>
      </c>
      <c r="C698" s="4" t="s">
        <v>2737</v>
      </c>
      <c r="D698" t="s">
        <v>1805</v>
      </c>
      <c r="E698" t="s">
        <v>14</v>
      </c>
      <c r="F698" t="s">
        <v>83</v>
      </c>
      <c r="G698" t="s">
        <v>84</v>
      </c>
      <c r="H698" t="s">
        <v>78</v>
      </c>
      <c r="I698" t="s">
        <v>86</v>
      </c>
      <c r="J698" t="s">
        <v>1053</v>
      </c>
      <c r="K698" t="s">
        <v>604</v>
      </c>
      <c r="L698" t="s">
        <v>89</v>
      </c>
      <c r="M698" t="s">
        <v>318</v>
      </c>
      <c r="N698" t="s">
        <v>1608</v>
      </c>
      <c r="O698" t="s">
        <v>2738</v>
      </c>
      <c r="P698" t="s">
        <v>2738</v>
      </c>
      <c r="Q698" t="s">
        <v>102</v>
      </c>
      <c r="R698" t="s">
        <v>84</v>
      </c>
      <c r="S698" t="s">
        <v>1745</v>
      </c>
      <c r="T698" t="s">
        <v>2740</v>
      </c>
      <c r="U698" t="s">
        <v>322</v>
      </c>
      <c r="V698" t="s">
        <v>82</v>
      </c>
      <c r="W698" t="s">
        <v>639</v>
      </c>
      <c r="X698" t="s">
        <v>96</v>
      </c>
      <c r="Y698" t="s">
        <v>82</v>
      </c>
      <c r="Z698" t="s">
        <v>149</v>
      </c>
    </row>
    <row r="699" spans="1:26" x14ac:dyDescent="0.25">
      <c r="A699" t="s">
        <v>2741</v>
      </c>
      <c r="B699" t="s">
        <v>2742</v>
      </c>
      <c r="C699" s="4" t="s">
        <v>2737</v>
      </c>
      <c r="D699" t="s">
        <v>1805</v>
      </c>
      <c r="E699" t="s">
        <v>14</v>
      </c>
      <c r="F699" t="s">
        <v>83</v>
      </c>
      <c r="G699" t="s">
        <v>84</v>
      </c>
      <c r="H699" t="s">
        <v>78</v>
      </c>
      <c r="I699" t="s">
        <v>86</v>
      </c>
      <c r="J699" t="s">
        <v>130</v>
      </c>
      <c r="K699" t="s">
        <v>604</v>
      </c>
      <c r="L699" t="s">
        <v>89</v>
      </c>
      <c r="M699" t="s">
        <v>318</v>
      </c>
      <c r="N699" t="s">
        <v>1608</v>
      </c>
      <c r="O699" t="s">
        <v>2743</v>
      </c>
      <c r="P699" t="s">
        <v>2743</v>
      </c>
      <c r="Q699" t="s">
        <v>102</v>
      </c>
      <c r="R699" t="s">
        <v>84</v>
      </c>
      <c r="S699" t="s">
        <v>1745</v>
      </c>
      <c r="T699" t="s">
        <v>2742</v>
      </c>
      <c r="U699" t="s">
        <v>322</v>
      </c>
      <c r="V699" t="s">
        <v>82</v>
      </c>
      <c r="W699" t="s">
        <v>639</v>
      </c>
      <c r="X699" t="s">
        <v>96</v>
      </c>
      <c r="Y699" t="s">
        <v>82</v>
      </c>
      <c r="Z699" t="s">
        <v>149</v>
      </c>
    </row>
    <row r="700" spans="1:26" x14ac:dyDescent="0.25">
      <c r="A700" t="s">
        <v>2744</v>
      </c>
      <c r="B700" t="s">
        <v>2745</v>
      </c>
      <c r="C700" s="4" t="s">
        <v>1835</v>
      </c>
      <c r="D700" t="s">
        <v>2746</v>
      </c>
      <c r="E700" t="s">
        <v>14</v>
      </c>
      <c r="F700" t="s">
        <v>85</v>
      </c>
      <c r="G700" t="s">
        <v>111</v>
      </c>
      <c r="H700" t="s">
        <v>78</v>
      </c>
      <c r="I700" t="s">
        <v>102</v>
      </c>
      <c r="J700" t="s">
        <v>130</v>
      </c>
      <c r="K700" t="s">
        <v>1078</v>
      </c>
      <c r="L700" t="s">
        <v>89</v>
      </c>
      <c r="M700" t="s">
        <v>318</v>
      </c>
      <c r="N700" t="s">
        <v>2379</v>
      </c>
      <c r="O700" t="s">
        <v>2747</v>
      </c>
      <c r="P700" t="s">
        <v>2747</v>
      </c>
      <c r="Q700" t="s">
        <v>102</v>
      </c>
      <c r="R700" t="s">
        <v>85</v>
      </c>
      <c r="S700" t="s">
        <v>2748</v>
      </c>
      <c r="T700" t="s">
        <v>2745</v>
      </c>
      <c r="U700" t="s">
        <v>322</v>
      </c>
      <c r="V700" t="s">
        <v>82</v>
      </c>
      <c r="W700" t="s">
        <v>2749</v>
      </c>
      <c r="X700" t="s">
        <v>96</v>
      </c>
      <c r="Y700" t="s">
        <v>82</v>
      </c>
      <c r="Z700" t="s">
        <v>149</v>
      </c>
    </row>
    <row r="701" spans="1:26" x14ac:dyDescent="0.25">
      <c r="A701" t="s">
        <v>2750</v>
      </c>
      <c r="B701" t="s">
        <v>2751</v>
      </c>
      <c r="C701" s="4" t="s">
        <v>1835</v>
      </c>
      <c r="D701" t="s">
        <v>2746</v>
      </c>
      <c r="E701" t="s">
        <v>14</v>
      </c>
      <c r="F701" t="s">
        <v>85</v>
      </c>
      <c r="G701" t="s">
        <v>111</v>
      </c>
      <c r="H701" t="s">
        <v>78</v>
      </c>
      <c r="I701" t="s">
        <v>102</v>
      </c>
      <c r="J701" t="s">
        <v>37</v>
      </c>
      <c r="K701" t="s">
        <v>1078</v>
      </c>
      <c r="L701" t="s">
        <v>89</v>
      </c>
      <c r="M701" t="s">
        <v>318</v>
      </c>
      <c r="N701" t="s">
        <v>2379</v>
      </c>
      <c r="O701" t="s">
        <v>2747</v>
      </c>
      <c r="P701" t="s">
        <v>2747</v>
      </c>
      <c r="Q701" t="s">
        <v>102</v>
      </c>
      <c r="R701" t="s">
        <v>85</v>
      </c>
      <c r="S701" t="s">
        <v>2748</v>
      </c>
      <c r="T701" t="s">
        <v>2751</v>
      </c>
      <c r="U701" t="s">
        <v>322</v>
      </c>
      <c r="V701" t="s">
        <v>82</v>
      </c>
      <c r="W701" t="s">
        <v>2749</v>
      </c>
      <c r="X701" t="s">
        <v>96</v>
      </c>
      <c r="Y701" t="s">
        <v>82</v>
      </c>
      <c r="Z701" t="s">
        <v>149</v>
      </c>
    </row>
    <row r="702" spans="1:26" x14ac:dyDescent="0.25">
      <c r="A702" t="s">
        <v>2752</v>
      </c>
      <c r="B702" t="s">
        <v>2753</v>
      </c>
      <c r="C702" s="4" t="s">
        <v>1835</v>
      </c>
      <c r="D702" t="s">
        <v>2746</v>
      </c>
      <c r="E702" t="s">
        <v>14</v>
      </c>
      <c r="F702" t="s">
        <v>85</v>
      </c>
      <c r="G702" t="s">
        <v>111</v>
      </c>
      <c r="H702" t="s">
        <v>78</v>
      </c>
      <c r="I702" t="s">
        <v>102</v>
      </c>
      <c r="J702" t="s">
        <v>1530</v>
      </c>
      <c r="K702" t="s">
        <v>1078</v>
      </c>
      <c r="L702" t="s">
        <v>89</v>
      </c>
      <c r="M702" t="s">
        <v>318</v>
      </c>
      <c r="N702" t="s">
        <v>2379</v>
      </c>
      <c r="O702" t="s">
        <v>2747</v>
      </c>
      <c r="P702" t="s">
        <v>2747</v>
      </c>
      <c r="Q702" t="s">
        <v>102</v>
      </c>
      <c r="R702" t="s">
        <v>85</v>
      </c>
      <c r="S702" t="s">
        <v>2748</v>
      </c>
      <c r="T702" t="s">
        <v>2753</v>
      </c>
      <c r="U702" t="s">
        <v>322</v>
      </c>
      <c r="V702" t="s">
        <v>82</v>
      </c>
      <c r="W702" t="s">
        <v>2749</v>
      </c>
      <c r="X702" t="s">
        <v>96</v>
      </c>
      <c r="Y702" t="s">
        <v>82</v>
      </c>
      <c r="Z702" t="s">
        <v>149</v>
      </c>
    </row>
    <row r="703" spans="1:26" x14ac:dyDescent="0.25">
      <c r="A703" t="s">
        <v>2754</v>
      </c>
      <c r="B703" t="s">
        <v>2755</v>
      </c>
      <c r="C703" s="4" t="s">
        <v>1835</v>
      </c>
      <c r="D703" t="s">
        <v>2746</v>
      </c>
      <c r="E703" t="s">
        <v>14</v>
      </c>
      <c r="F703" t="s">
        <v>85</v>
      </c>
      <c r="G703" t="s">
        <v>111</v>
      </c>
      <c r="H703" t="s">
        <v>78</v>
      </c>
      <c r="I703" t="s">
        <v>102</v>
      </c>
      <c r="J703" t="s">
        <v>30</v>
      </c>
      <c r="K703" t="s">
        <v>1078</v>
      </c>
      <c r="L703" t="s">
        <v>89</v>
      </c>
      <c r="M703" t="s">
        <v>318</v>
      </c>
      <c r="N703" t="s">
        <v>2379</v>
      </c>
      <c r="O703" t="s">
        <v>2747</v>
      </c>
      <c r="P703" t="s">
        <v>2747</v>
      </c>
      <c r="Q703" t="s">
        <v>102</v>
      </c>
      <c r="R703" t="s">
        <v>85</v>
      </c>
      <c r="S703" t="s">
        <v>2748</v>
      </c>
      <c r="T703" t="s">
        <v>2755</v>
      </c>
      <c r="U703" t="s">
        <v>322</v>
      </c>
      <c r="V703" t="s">
        <v>82</v>
      </c>
      <c r="W703" t="s">
        <v>2749</v>
      </c>
      <c r="X703" t="s">
        <v>96</v>
      </c>
      <c r="Y703" t="s">
        <v>82</v>
      </c>
      <c r="Z703" t="s">
        <v>149</v>
      </c>
    </row>
    <row r="704" spans="1:26" x14ac:dyDescent="0.25">
      <c r="A704" t="s">
        <v>2756</v>
      </c>
      <c r="B704" t="s">
        <v>2757</v>
      </c>
      <c r="C704" s="4" t="s">
        <v>1835</v>
      </c>
      <c r="D704" t="s">
        <v>1805</v>
      </c>
      <c r="E704" t="s">
        <v>14</v>
      </c>
      <c r="F704" t="s">
        <v>105</v>
      </c>
      <c r="G704" t="s">
        <v>106</v>
      </c>
      <c r="H704" t="s">
        <v>78</v>
      </c>
      <c r="I704" t="s">
        <v>86</v>
      </c>
      <c r="J704" t="s">
        <v>32</v>
      </c>
      <c r="K704" t="s">
        <v>604</v>
      </c>
      <c r="L704" t="s">
        <v>89</v>
      </c>
      <c r="M704" t="s">
        <v>318</v>
      </c>
      <c r="N704" t="s">
        <v>1608</v>
      </c>
      <c r="O704" t="s">
        <v>2758</v>
      </c>
      <c r="P704" t="s">
        <v>2758</v>
      </c>
      <c r="Q704" t="s">
        <v>102</v>
      </c>
      <c r="R704" t="s">
        <v>84</v>
      </c>
      <c r="S704" t="s">
        <v>1745</v>
      </c>
      <c r="T704" t="s">
        <v>2757</v>
      </c>
      <c r="U704" t="s">
        <v>322</v>
      </c>
      <c r="V704" t="s">
        <v>82</v>
      </c>
      <c r="W704" t="s">
        <v>639</v>
      </c>
      <c r="X704" t="s">
        <v>96</v>
      </c>
      <c r="Y704" t="s">
        <v>82</v>
      </c>
      <c r="Z704" t="s">
        <v>149</v>
      </c>
    </row>
    <row r="705" spans="1:26" x14ac:dyDescent="0.25">
      <c r="A705" t="s">
        <v>2759</v>
      </c>
      <c r="B705" t="s">
        <v>2760</v>
      </c>
      <c r="C705" s="4" t="s">
        <v>1835</v>
      </c>
      <c r="D705" t="s">
        <v>1805</v>
      </c>
      <c r="E705" t="s">
        <v>14</v>
      </c>
      <c r="F705" t="s">
        <v>105</v>
      </c>
      <c r="G705" t="s">
        <v>106</v>
      </c>
      <c r="H705" t="s">
        <v>78</v>
      </c>
      <c r="I705" t="s">
        <v>86</v>
      </c>
      <c r="J705" t="s">
        <v>546</v>
      </c>
      <c r="K705" t="s">
        <v>604</v>
      </c>
      <c r="L705" t="s">
        <v>89</v>
      </c>
      <c r="M705" t="s">
        <v>318</v>
      </c>
      <c r="N705" t="s">
        <v>1608</v>
      </c>
      <c r="O705" t="s">
        <v>2758</v>
      </c>
      <c r="P705" t="s">
        <v>2758</v>
      </c>
      <c r="Q705" t="s">
        <v>102</v>
      </c>
      <c r="R705" t="s">
        <v>84</v>
      </c>
      <c r="S705" t="s">
        <v>1745</v>
      </c>
      <c r="T705" t="s">
        <v>2760</v>
      </c>
      <c r="U705" t="s">
        <v>322</v>
      </c>
      <c r="V705" t="s">
        <v>82</v>
      </c>
      <c r="W705" t="s">
        <v>639</v>
      </c>
      <c r="X705" t="s">
        <v>96</v>
      </c>
      <c r="Y705" t="s">
        <v>82</v>
      </c>
      <c r="Z705" t="s">
        <v>149</v>
      </c>
    </row>
    <row r="706" spans="1:26" x14ac:dyDescent="0.25">
      <c r="A706" t="s">
        <v>2761</v>
      </c>
      <c r="B706" t="s">
        <v>2762</v>
      </c>
      <c r="C706" s="4" t="s">
        <v>1835</v>
      </c>
      <c r="D706" t="s">
        <v>1805</v>
      </c>
      <c r="E706" t="s">
        <v>14</v>
      </c>
      <c r="F706" t="s">
        <v>105</v>
      </c>
      <c r="G706" t="s">
        <v>106</v>
      </c>
      <c r="H706" t="s">
        <v>78</v>
      </c>
      <c r="I706" t="s">
        <v>86</v>
      </c>
      <c r="J706" t="s">
        <v>30</v>
      </c>
      <c r="K706" t="s">
        <v>604</v>
      </c>
      <c r="L706" t="s">
        <v>89</v>
      </c>
      <c r="M706" t="s">
        <v>318</v>
      </c>
      <c r="N706" t="s">
        <v>1608</v>
      </c>
      <c r="O706" t="s">
        <v>2763</v>
      </c>
      <c r="P706" t="s">
        <v>2763</v>
      </c>
      <c r="Q706" t="s">
        <v>102</v>
      </c>
      <c r="R706" t="s">
        <v>84</v>
      </c>
      <c r="S706" t="s">
        <v>1745</v>
      </c>
      <c r="T706" t="s">
        <v>2762</v>
      </c>
      <c r="U706" t="s">
        <v>322</v>
      </c>
      <c r="V706" t="s">
        <v>82</v>
      </c>
      <c r="W706" t="s">
        <v>639</v>
      </c>
      <c r="X706" t="s">
        <v>96</v>
      </c>
      <c r="Y706" t="s">
        <v>82</v>
      </c>
      <c r="Z706" t="s">
        <v>149</v>
      </c>
    </row>
    <row r="707" spans="1:26" x14ac:dyDescent="0.25">
      <c r="A707" t="s">
        <v>2764</v>
      </c>
      <c r="B707" t="s">
        <v>2765</v>
      </c>
      <c r="C707" s="4" t="s">
        <v>1835</v>
      </c>
      <c r="D707" t="s">
        <v>1805</v>
      </c>
      <c r="E707" t="s">
        <v>14</v>
      </c>
      <c r="F707" t="s">
        <v>105</v>
      </c>
      <c r="G707" t="s">
        <v>106</v>
      </c>
      <c r="H707" t="s">
        <v>78</v>
      </c>
      <c r="I707" t="s">
        <v>86</v>
      </c>
      <c r="J707" t="s">
        <v>1002</v>
      </c>
      <c r="K707" t="s">
        <v>604</v>
      </c>
      <c r="L707" t="s">
        <v>89</v>
      </c>
      <c r="M707" t="s">
        <v>318</v>
      </c>
      <c r="N707" t="s">
        <v>1608</v>
      </c>
      <c r="O707" t="s">
        <v>2763</v>
      </c>
      <c r="P707" t="s">
        <v>2763</v>
      </c>
      <c r="Q707" t="s">
        <v>102</v>
      </c>
      <c r="R707" t="s">
        <v>84</v>
      </c>
      <c r="S707" t="s">
        <v>1745</v>
      </c>
      <c r="T707" t="s">
        <v>2765</v>
      </c>
      <c r="U707" t="s">
        <v>322</v>
      </c>
      <c r="V707" t="s">
        <v>82</v>
      </c>
      <c r="W707" t="s">
        <v>639</v>
      </c>
      <c r="X707" t="s">
        <v>96</v>
      </c>
      <c r="Y707" t="s">
        <v>82</v>
      </c>
      <c r="Z707" t="s">
        <v>149</v>
      </c>
    </row>
    <row r="708" spans="1:26" x14ac:dyDescent="0.25">
      <c r="A708" t="s">
        <v>2766</v>
      </c>
      <c r="B708" t="s">
        <v>2767</v>
      </c>
      <c r="C708" s="4" t="s">
        <v>2477</v>
      </c>
      <c r="D708" t="s">
        <v>2768</v>
      </c>
      <c r="E708" t="s">
        <v>14</v>
      </c>
      <c r="F708" t="s">
        <v>105</v>
      </c>
      <c r="G708" t="s">
        <v>106</v>
      </c>
      <c r="H708" t="s">
        <v>78</v>
      </c>
      <c r="I708" t="s">
        <v>86</v>
      </c>
      <c r="J708" t="s">
        <v>17</v>
      </c>
      <c r="K708" t="s">
        <v>1236</v>
      </c>
      <c r="L708" t="s">
        <v>89</v>
      </c>
      <c r="M708" t="s">
        <v>318</v>
      </c>
      <c r="N708" t="s">
        <v>326</v>
      </c>
      <c r="O708" t="s">
        <v>2769</v>
      </c>
      <c r="P708" t="s">
        <v>2769</v>
      </c>
      <c r="Q708" t="s">
        <v>102</v>
      </c>
      <c r="R708" t="s">
        <v>105</v>
      </c>
      <c r="S708" t="s">
        <v>1981</v>
      </c>
      <c r="T708" t="s">
        <v>2767</v>
      </c>
      <c r="U708" t="s">
        <v>322</v>
      </c>
      <c r="V708" t="s">
        <v>82</v>
      </c>
      <c r="W708" t="s">
        <v>354</v>
      </c>
      <c r="X708" t="s">
        <v>96</v>
      </c>
      <c r="Y708" t="s">
        <v>82</v>
      </c>
      <c r="Z708" t="s">
        <v>149</v>
      </c>
    </row>
    <row r="709" spans="1:26" x14ac:dyDescent="0.25">
      <c r="A709" t="s">
        <v>2770</v>
      </c>
      <c r="B709" t="s">
        <v>2771</v>
      </c>
      <c r="C709" s="4" t="s">
        <v>2477</v>
      </c>
      <c r="D709" t="s">
        <v>2768</v>
      </c>
      <c r="E709" t="s">
        <v>14</v>
      </c>
      <c r="F709" t="s">
        <v>105</v>
      </c>
      <c r="G709" t="s">
        <v>106</v>
      </c>
      <c r="H709" t="s">
        <v>78</v>
      </c>
      <c r="I709" t="s">
        <v>86</v>
      </c>
      <c r="J709" t="s">
        <v>130</v>
      </c>
      <c r="K709" t="s">
        <v>1236</v>
      </c>
      <c r="L709" t="s">
        <v>89</v>
      </c>
      <c r="M709" t="s">
        <v>318</v>
      </c>
      <c r="N709" t="s">
        <v>326</v>
      </c>
      <c r="O709" t="s">
        <v>2772</v>
      </c>
      <c r="P709" t="s">
        <v>2772</v>
      </c>
      <c r="Q709" t="s">
        <v>102</v>
      </c>
      <c r="R709" t="s">
        <v>105</v>
      </c>
      <c r="S709" t="s">
        <v>1981</v>
      </c>
      <c r="T709" t="s">
        <v>2771</v>
      </c>
      <c r="U709" t="s">
        <v>322</v>
      </c>
      <c r="V709" t="s">
        <v>82</v>
      </c>
      <c r="W709" t="s">
        <v>354</v>
      </c>
      <c r="X709" t="s">
        <v>96</v>
      </c>
      <c r="Y709" t="s">
        <v>82</v>
      </c>
      <c r="Z709" t="s">
        <v>149</v>
      </c>
    </row>
    <row r="710" spans="1:26" x14ac:dyDescent="0.25">
      <c r="A710" t="s">
        <v>2773</v>
      </c>
      <c r="B710" t="s">
        <v>2774</v>
      </c>
      <c r="C710" s="4" t="s">
        <v>482</v>
      </c>
      <c r="D710" t="s">
        <v>2690</v>
      </c>
      <c r="E710" t="s">
        <v>14</v>
      </c>
      <c r="F710" t="s">
        <v>83</v>
      </c>
      <c r="G710" t="s">
        <v>84</v>
      </c>
      <c r="H710" t="s">
        <v>78</v>
      </c>
      <c r="I710" t="s">
        <v>86</v>
      </c>
      <c r="J710" t="s">
        <v>130</v>
      </c>
      <c r="K710" t="s">
        <v>1357</v>
      </c>
      <c r="L710" t="s">
        <v>89</v>
      </c>
      <c r="M710" t="s">
        <v>318</v>
      </c>
      <c r="N710" t="s">
        <v>1186</v>
      </c>
      <c r="O710" t="s">
        <v>2775</v>
      </c>
      <c r="P710" t="s">
        <v>2775</v>
      </c>
      <c r="Q710" t="s">
        <v>102</v>
      </c>
      <c r="R710" t="s">
        <v>134</v>
      </c>
      <c r="S710" t="s">
        <v>679</v>
      </c>
      <c r="T710" t="s">
        <v>2774</v>
      </c>
      <c r="U710" t="s">
        <v>322</v>
      </c>
      <c r="V710" t="s">
        <v>82</v>
      </c>
      <c r="W710" t="s">
        <v>1539</v>
      </c>
      <c r="X710" t="s">
        <v>96</v>
      </c>
      <c r="Y710" t="s">
        <v>82</v>
      </c>
      <c r="Z710" t="s">
        <v>149</v>
      </c>
    </row>
    <row r="711" spans="1:26" x14ac:dyDescent="0.25">
      <c r="A711" t="s">
        <v>2776</v>
      </c>
      <c r="B711" t="s">
        <v>2777</v>
      </c>
      <c r="C711" s="4" t="s">
        <v>482</v>
      </c>
      <c r="D711" t="s">
        <v>2690</v>
      </c>
      <c r="E711" t="s">
        <v>14</v>
      </c>
      <c r="F711" t="s">
        <v>83</v>
      </c>
      <c r="G711" t="s">
        <v>84</v>
      </c>
      <c r="H711" t="s">
        <v>78</v>
      </c>
      <c r="I711" t="s">
        <v>86</v>
      </c>
      <c r="J711" t="s">
        <v>531</v>
      </c>
      <c r="K711" t="s">
        <v>1357</v>
      </c>
      <c r="L711" t="s">
        <v>89</v>
      </c>
      <c r="M711" t="s">
        <v>318</v>
      </c>
      <c r="N711" t="s">
        <v>1186</v>
      </c>
      <c r="O711" t="s">
        <v>2775</v>
      </c>
      <c r="P711" t="s">
        <v>2775</v>
      </c>
      <c r="Q711" t="s">
        <v>102</v>
      </c>
      <c r="R711" t="s">
        <v>134</v>
      </c>
      <c r="S711" t="s">
        <v>679</v>
      </c>
      <c r="T711" t="s">
        <v>2777</v>
      </c>
      <c r="U711" t="s">
        <v>322</v>
      </c>
      <c r="V711" t="s">
        <v>82</v>
      </c>
      <c r="W711" t="s">
        <v>1539</v>
      </c>
      <c r="X711" t="s">
        <v>96</v>
      </c>
      <c r="Y711" t="s">
        <v>82</v>
      </c>
      <c r="Z711" t="s">
        <v>149</v>
      </c>
    </row>
    <row r="712" spans="1:26" x14ac:dyDescent="0.25">
      <c r="A712" t="s">
        <v>2778</v>
      </c>
      <c r="B712" t="s">
        <v>2779</v>
      </c>
      <c r="C712" s="4" t="s">
        <v>2780</v>
      </c>
      <c r="D712" t="s">
        <v>1805</v>
      </c>
      <c r="E712" t="s">
        <v>14</v>
      </c>
      <c r="F712" t="s">
        <v>105</v>
      </c>
      <c r="G712" t="s">
        <v>106</v>
      </c>
      <c r="H712" t="s">
        <v>78</v>
      </c>
      <c r="I712" t="s">
        <v>86</v>
      </c>
      <c r="J712" t="s">
        <v>15</v>
      </c>
      <c r="K712" t="s">
        <v>604</v>
      </c>
      <c r="L712" t="s">
        <v>89</v>
      </c>
      <c r="M712" t="s">
        <v>318</v>
      </c>
      <c r="N712" t="s">
        <v>1608</v>
      </c>
      <c r="O712" t="s">
        <v>2781</v>
      </c>
      <c r="P712" t="s">
        <v>2781</v>
      </c>
      <c r="Q712" t="s">
        <v>102</v>
      </c>
      <c r="R712" t="s">
        <v>84</v>
      </c>
      <c r="S712" t="s">
        <v>1745</v>
      </c>
      <c r="T712" t="s">
        <v>2779</v>
      </c>
      <c r="U712" t="s">
        <v>322</v>
      </c>
      <c r="V712" t="s">
        <v>82</v>
      </c>
      <c r="W712" t="s">
        <v>639</v>
      </c>
      <c r="X712" t="s">
        <v>96</v>
      </c>
      <c r="Y712" t="s">
        <v>82</v>
      </c>
      <c r="Z712" t="s">
        <v>149</v>
      </c>
    </row>
    <row r="713" spans="1:26" x14ac:dyDescent="0.25">
      <c r="A713" t="s">
        <v>2782</v>
      </c>
      <c r="B713" t="s">
        <v>2783</v>
      </c>
      <c r="C713" s="4" t="s">
        <v>2780</v>
      </c>
      <c r="D713" t="s">
        <v>1805</v>
      </c>
      <c r="E713" t="s">
        <v>14</v>
      </c>
      <c r="F713" t="s">
        <v>105</v>
      </c>
      <c r="G713" t="s">
        <v>106</v>
      </c>
      <c r="H713" t="s">
        <v>78</v>
      </c>
      <c r="I713" t="s">
        <v>86</v>
      </c>
      <c r="J713" t="s">
        <v>32</v>
      </c>
      <c r="K713" t="s">
        <v>604</v>
      </c>
      <c r="L713" t="s">
        <v>89</v>
      </c>
      <c r="M713" t="s">
        <v>318</v>
      </c>
      <c r="N713" t="s">
        <v>1608</v>
      </c>
      <c r="O713" t="s">
        <v>2781</v>
      </c>
      <c r="P713" t="s">
        <v>2781</v>
      </c>
      <c r="Q713" t="s">
        <v>102</v>
      </c>
      <c r="R713" t="s">
        <v>84</v>
      </c>
      <c r="S713" t="s">
        <v>1745</v>
      </c>
      <c r="T713" t="s">
        <v>2783</v>
      </c>
      <c r="U713" t="s">
        <v>322</v>
      </c>
      <c r="V713" t="s">
        <v>82</v>
      </c>
      <c r="W713" t="s">
        <v>639</v>
      </c>
      <c r="X713" t="s">
        <v>96</v>
      </c>
      <c r="Y713" t="s">
        <v>82</v>
      </c>
      <c r="Z713" t="s">
        <v>149</v>
      </c>
    </row>
    <row r="714" spans="1:26" x14ac:dyDescent="0.25">
      <c r="A714" t="s">
        <v>2784</v>
      </c>
      <c r="B714" t="s">
        <v>2785</v>
      </c>
      <c r="C714" s="4" t="s">
        <v>2780</v>
      </c>
      <c r="D714" t="s">
        <v>1805</v>
      </c>
      <c r="E714" t="s">
        <v>14</v>
      </c>
      <c r="F714" t="s">
        <v>105</v>
      </c>
      <c r="G714" t="s">
        <v>106</v>
      </c>
      <c r="H714" t="s">
        <v>78</v>
      </c>
      <c r="I714" t="s">
        <v>86</v>
      </c>
      <c r="J714" t="s">
        <v>546</v>
      </c>
      <c r="K714" t="s">
        <v>604</v>
      </c>
      <c r="L714" t="s">
        <v>89</v>
      </c>
      <c r="M714" t="s">
        <v>318</v>
      </c>
      <c r="N714" t="s">
        <v>1608</v>
      </c>
      <c r="O714" t="s">
        <v>2781</v>
      </c>
      <c r="P714" t="s">
        <v>2781</v>
      </c>
      <c r="Q714" t="s">
        <v>102</v>
      </c>
      <c r="R714" t="s">
        <v>84</v>
      </c>
      <c r="S714" t="s">
        <v>1745</v>
      </c>
      <c r="T714" t="s">
        <v>2785</v>
      </c>
      <c r="U714" t="s">
        <v>322</v>
      </c>
      <c r="V714" t="s">
        <v>82</v>
      </c>
      <c r="W714" t="s">
        <v>639</v>
      </c>
      <c r="X714" t="s">
        <v>96</v>
      </c>
      <c r="Y714" t="s">
        <v>82</v>
      </c>
      <c r="Z714" t="s">
        <v>149</v>
      </c>
    </row>
    <row r="715" spans="1:26" x14ac:dyDescent="0.25">
      <c r="A715" t="s">
        <v>2786</v>
      </c>
      <c r="B715" t="s">
        <v>2787</v>
      </c>
      <c r="C715" s="4" t="s">
        <v>2780</v>
      </c>
      <c r="D715" t="s">
        <v>1805</v>
      </c>
      <c r="E715" t="s">
        <v>14</v>
      </c>
      <c r="F715" t="s">
        <v>105</v>
      </c>
      <c r="G715" t="s">
        <v>106</v>
      </c>
      <c r="H715" t="s">
        <v>78</v>
      </c>
      <c r="I715" t="s">
        <v>86</v>
      </c>
      <c r="J715" t="s">
        <v>30</v>
      </c>
      <c r="K715" t="s">
        <v>604</v>
      </c>
      <c r="L715" t="s">
        <v>89</v>
      </c>
      <c r="M715" t="s">
        <v>318</v>
      </c>
      <c r="N715" t="s">
        <v>1608</v>
      </c>
      <c r="O715" t="s">
        <v>2781</v>
      </c>
      <c r="P715" t="s">
        <v>2781</v>
      </c>
      <c r="Q715" t="s">
        <v>102</v>
      </c>
      <c r="R715" t="s">
        <v>84</v>
      </c>
      <c r="S715" t="s">
        <v>1745</v>
      </c>
      <c r="T715" t="s">
        <v>2787</v>
      </c>
      <c r="U715" t="s">
        <v>322</v>
      </c>
      <c r="V715" t="s">
        <v>82</v>
      </c>
      <c r="W715" t="s">
        <v>639</v>
      </c>
      <c r="X715" t="s">
        <v>96</v>
      </c>
      <c r="Y715" t="s">
        <v>82</v>
      </c>
      <c r="Z715" t="s">
        <v>149</v>
      </c>
    </row>
    <row r="716" spans="1:26" x14ac:dyDescent="0.25">
      <c r="A716" t="s">
        <v>2788</v>
      </c>
      <c r="B716" t="s">
        <v>2789</v>
      </c>
      <c r="C716" s="4" t="s">
        <v>1430</v>
      </c>
      <c r="D716" t="s">
        <v>2790</v>
      </c>
      <c r="E716" t="s">
        <v>14</v>
      </c>
      <c r="F716" t="s">
        <v>83</v>
      </c>
      <c r="G716" t="s">
        <v>84</v>
      </c>
      <c r="H716" t="s">
        <v>78</v>
      </c>
      <c r="I716" t="s">
        <v>86</v>
      </c>
      <c r="J716" t="s">
        <v>30</v>
      </c>
      <c r="K716" t="s">
        <v>936</v>
      </c>
      <c r="L716" t="s">
        <v>89</v>
      </c>
      <c r="M716" t="s">
        <v>318</v>
      </c>
      <c r="N716" t="s">
        <v>2791</v>
      </c>
      <c r="O716" t="s">
        <v>2792</v>
      </c>
      <c r="P716" t="s">
        <v>2793</v>
      </c>
      <c r="Q716" t="s">
        <v>78</v>
      </c>
      <c r="R716" t="s">
        <v>128</v>
      </c>
      <c r="S716" t="s">
        <v>604</v>
      </c>
      <c r="T716" t="s">
        <v>2789</v>
      </c>
      <c r="U716" t="s">
        <v>322</v>
      </c>
      <c r="V716" t="s">
        <v>82</v>
      </c>
      <c r="W716" t="s">
        <v>1539</v>
      </c>
      <c r="X716" t="s">
        <v>96</v>
      </c>
      <c r="Y716" t="s">
        <v>82</v>
      </c>
      <c r="Z716" t="s">
        <v>102</v>
      </c>
    </row>
    <row r="717" spans="1:26" x14ac:dyDescent="0.25">
      <c r="A717" t="s">
        <v>2794</v>
      </c>
      <c r="B717" t="s">
        <v>2795</v>
      </c>
      <c r="C717" s="4" t="s">
        <v>1430</v>
      </c>
      <c r="D717" t="s">
        <v>2790</v>
      </c>
      <c r="E717" t="s">
        <v>14</v>
      </c>
      <c r="F717" t="s">
        <v>83</v>
      </c>
      <c r="G717" t="s">
        <v>84</v>
      </c>
      <c r="H717" t="s">
        <v>78</v>
      </c>
      <c r="I717" t="s">
        <v>86</v>
      </c>
      <c r="J717" t="s">
        <v>1530</v>
      </c>
      <c r="K717" t="s">
        <v>936</v>
      </c>
      <c r="L717" t="s">
        <v>89</v>
      </c>
      <c r="M717" t="s">
        <v>318</v>
      </c>
      <c r="N717" t="s">
        <v>2791</v>
      </c>
      <c r="O717" t="s">
        <v>2796</v>
      </c>
      <c r="P717" t="s">
        <v>2797</v>
      </c>
      <c r="Q717" t="s">
        <v>78</v>
      </c>
      <c r="R717" t="s">
        <v>128</v>
      </c>
      <c r="S717" t="s">
        <v>604</v>
      </c>
      <c r="T717" t="s">
        <v>2795</v>
      </c>
      <c r="U717" t="s">
        <v>322</v>
      </c>
      <c r="V717" t="s">
        <v>82</v>
      </c>
      <c r="W717" t="s">
        <v>1539</v>
      </c>
      <c r="X717" t="s">
        <v>96</v>
      </c>
      <c r="Y717" t="s">
        <v>82</v>
      </c>
      <c r="Z717" t="s">
        <v>102</v>
      </c>
    </row>
    <row r="718" spans="1:26" x14ac:dyDescent="0.25">
      <c r="A718" t="s">
        <v>2798</v>
      </c>
      <c r="B718" t="s">
        <v>2799</v>
      </c>
      <c r="C718" s="4" t="s">
        <v>1430</v>
      </c>
      <c r="D718" t="s">
        <v>2790</v>
      </c>
      <c r="E718" t="s">
        <v>14</v>
      </c>
      <c r="F718" t="s">
        <v>83</v>
      </c>
      <c r="G718" t="s">
        <v>84</v>
      </c>
      <c r="H718" t="s">
        <v>78</v>
      </c>
      <c r="I718" t="s">
        <v>86</v>
      </c>
      <c r="J718" t="s">
        <v>546</v>
      </c>
      <c r="K718" t="s">
        <v>936</v>
      </c>
      <c r="L718" t="s">
        <v>89</v>
      </c>
      <c r="M718" t="s">
        <v>318</v>
      </c>
      <c r="N718" t="s">
        <v>2791</v>
      </c>
      <c r="O718" t="s">
        <v>2800</v>
      </c>
      <c r="P718" t="s">
        <v>2801</v>
      </c>
      <c r="Q718" t="s">
        <v>78</v>
      </c>
      <c r="R718" t="s">
        <v>128</v>
      </c>
      <c r="S718" t="s">
        <v>604</v>
      </c>
      <c r="T718" t="s">
        <v>2799</v>
      </c>
      <c r="U718" t="s">
        <v>322</v>
      </c>
      <c r="V718" t="s">
        <v>82</v>
      </c>
      <c r="W718" t="s">
        <v>1539</v>
      </c>
      <c r="X718" t="s">
        <v>96</v>
      </c>
      <c r="Y718" t="s">
        <v>82</v>
      </c>
      <c r="Z718" t="s">
        <v>102</v>
      </c>
    </row>
    <row r="719" spans="1:26" x14ac:dyDescent="0.25">
      <c r="A719" t="s">
        <v>2802</v>
      </c>
      <c r="B719" t="s">
        <v>2803</v>
      </c>
      <c r="C719" s="4" t="s">
        <v>1430</v>
      </c>
      <c r="D719" t="s">
        <v>2790</v>
      </c>
      <c r="E719" t="s">
        <v>14</v>
      </c>
      <c r="F719" t="s">
        <v>83</v>
      </c>
      <c r="G719" t="s">
        <v>84</v>
      </c>
      <c r="H719" t="s">
        <v>78</v>
      </c>
      <c r="I719" t="s">
        <v>86</v>
      </c>
      <c r="J719" t="s">
        <v>37</v>
      </c>
      <c r="K719" t="s">
        <v>936</v>
      </c>
      <c r="L719" t="s">
        <v>89</v>
      </c>
      <c r="M719" t="s">
        <v>318</v>
      </c>
      <c r="N719" t="s">
        <v>2791</v>
      </c>
      <c r="O719" t="s">
        <v>2804</v>
      </c>
      <c r="P719" t="s">
        <v>2805</v>
      </c>
      <c r="Q719" t="s">
        <v>78</v>
      </c>
      <c r="R719" t="s">
        <v>128</v>
      </c>
      <c r="S719" t="s">
        <v>604</v>
      </c>
      <c r="T719" t="s">
        <v>2803</v>
      </c>
      <c r="U719" t="s">
        <v>322</v>
      </c>
      <c r="V719" t="s">
        <v>82</v>
      </c>
      <c r="W719" t="s">
        <v>1539</v>
      </c>
      <c r="X719" t="s">
        <v>96</v>
      </c>
      <c r="Y719" t="s">
        <v>82</v>
      </c>
      <c r="Z719" t="s">
        <v>102</v>
      </c>
    </row>
    <row r="720" spans="1:26" x14ac:dyDescent="0.25">
      <c r="A720" t="s">
        <v>2806</v>
      </c>
      <c r="B720" t="s">
        <v>2807</v>
      </c>
      <c r="C720" s="4" t="s">
        <v>1430</v>
      </c>
      <c r="D720" t="s">
        <v>2808</v>
      </c>
      <c r="E720" t="s">
        <v>14</v>
      </c>
      <c r="F720" t="s">
        <v>105</v>
      </c>
      <c r="G720" t="s">
        <v>106</v>
      </c>
      <c r="H720" t="s">
        <v>78</v>
      </c>
      <c r="I720" t="s">
        <v>86</v>
      </c>
      <c r="J720" t="s">
        <v>37</v>
      </c>
      <c r="K720" t="s">
        <v>936</v>
      </c>
      <c r="L720" t="s">
        <v>89</v>
      </c>
      <c r="M720" t="s">
        <v>318</v>
      </c>
      <c r="N720" t="s">
        <v>493</v>
      </c>
      <c r="O720" t="s">
        <v>2809</v>
      </c>
      <c r="P720" t="s">
        <v>2809</v>
      </c>
      <c r="Q720" t="s">
        <v>78</v>
      </c>
      <c r="R720" t="s">
        <v>128</v>
      </c>
      <c r="S720" t="s">
        <v>604</v>
      </c>
      <c r="T720" t="s">
        <v>2807</v>
      </c>
      <c r="U720" t="s">
        <v>322</v>
      </c>
      <c r="V720" t="s">
        <v>82</v>
      </c>
      <c r="W720" t="s">
        <v>96</v>
      </c>
      <c r="X720" t="s">
        <v>96</v>
      </c>
      <c r="Y720" t="s">
        <v>82</v>
      </c>
      <c r="Z720" t="s">
        <v>102</v>
      </c>
    </row>
    <row r="721" spans="1:26" x14ac:dyDescent="0.25">
      <c r="A721" t="s">
        <v>2810</v>
      </c>
      <c r="B721" t="s">
        <v>2811</v>
      </c>
      <c r="C721" s="4" t="s">
        <v>1430</v>
      </c>
      <c r="D721" t="s">
        <v>2808</v>
      </c>
      <c r="E721" t="s">
        <v>14</v>
      </c>
      <c r="F721" t="s">
        <v>105</v>
      </c>
      <c r="G721" t="s">
        <v>106</v>
      </c>
      <c r="H721" t="s">
        <v>78</v>
      </c>
      <c r="I721" t="s">
        <v>86</v>
      </c>
      <c r="J721" t="s">
        <v>546</v>
      </c>
      <c r="K721" t="s">
        <v>936</v>
      </c>
      <c r="L721" t="s">
        <v>89</v>
      </c>
      <c r="M721" t="s">
        <v>318</v>
      </c>
      <c r="N721" t="s">
        <v>493</v>
      </c>
      <c r="O721" t="s">
        <v>2809</v>
      </c>
      <c r="P721" t="s">
        <v>2809</v>
      </c>
      <c r="Q721" t="s">
        <v>78</v>
      </c>
      <c r="R721" t="s">
        <v>128</v>
      </c>
      <c r="S721" t="s">
        <v>604</v>
      </c>
      <c r="T721" t="s">
        <v>2811</v>
      </c>
      <c r="U721" t="s">
        <v>322</v>
      </c>
      <c r="V721" t="s">
        <v>82</v>
      </c>
      <c r="W721" t="s">
        <v>96</v>
      </c>
      <c r="X721" t="s">
        <v>96</v>
      </c>
      <c r="Y721" t="s">
        <v>82</v>
      </c>
      <c r="Z721" t="s">
        <v>102</v>
      </c>
    </row>
    <row r="722" spans="1:26" x14ac:dyDescent="0.25">
      <c r="A722" t="s">
        <v>2812</v>
      </c>
      <c r="B722" t="s">
        <v>2813</v>
      </c>
      <c r="C722" s="4" t="s">
        <v>1430</v>
      </c>
      <c r="D722" t="s">
        <v>2808</v>
      </c>
      <c r="E722" t="s">
        <v>14</v>
      </c>
      <c r="F722" t="s">
        <v>105</v>
      </c>
      <c r="G722" t="s">
        <v>106</v>
      </c>
      <c r="H722" t="s">
        <v>78</v>
      </c>
      <c r="I722" t="s">
        <v>86</v>
      </c>
      <c r="J722" t="s">
        <v>30</v>
      </c>
      <c r="K722" t="s">
        <v>936</v>
      </c>
      <c r="L722" t="s">
        <v>89</v>
      </c>
      <c r="M722" t="s">
        <v>318</v>
      </c>
      <c r="N722" t="s">
        <v>493</v>
      </c>
      <c r="O722" t="s">
        <v>2814</v>
      </c>
      <c r="P722" t="s">
        <v>2814</v>
      </c>
      <c r="Q722" t="s">
        <v>78</v>
      </c>
      <c r="R722" t="s">
        <v>128</v>
      </c>
      <c r="S722" t="s">
        <v>604</v>
      </c>
      <c r="T722" t="s">
        <v>2813</v>
      </c>
      <c r="U722" t="s">
        <v>322</v>
      </c>
      <c r="V722" t="s">
        <v>82</v>
      </c>
      <c r="W722" t="s">
        <v>96</v>
      </c>
      <c r="X722" t="s">
        <v>96</v>
      </c>
      <c r="Y722" t="s">
        <v>82</v>
      </c>
      <c r="Z722" t="s">
        <v>102</v>
      </c>
    </row>
    <row r="723" spans="1:26" x14ac:dyDescent="0.25">
      <c r="A723" t="s">
        <v>2815</v>
      </c>
      <c r="B723" t="s">
        <v>2816</v>
      </c>
      <c r="C723" s="4" t="s">
        <v>1430</v>
      </c>
      <c r="D723" t="s">
        <v>2808</v>
      </c>
      <c r="E723" t="s">
        <v>14</v>
      </c>
      <c r="F723" t="s">
        <v>105</v>
      </c>
      <c r="G723" t="s">
        <v>106</v>
      </c>
      <c r="H723" t="s">
        <v>78</v>
      </c>
      <c r="I723" t="s">
        <v>86</v>
      </c>
      <c r="J723" t="s">
        <v>1530</v>
      </c>
      <c r="K723" t="s">
        <v>936</v>
      </c>
      <c r="L723" t="s">
        <v>89</v>
      </c>
      <c r="M723" t="s">
        <v>318</v>
      </c>
      <c r="N723" t="s">
        <v>493</v>
      </c>
      <c r="O723" t="s">
        <v>2814</v>
      </c>
      <c r="P723" t="s">
        <v>2814</v>
      </c>
      <c r="Q723" t="s">
        <v>78</v>
      </c>
      <c r="R723" t="s">
        <v>128</v>
      </c>
      <c r="S723" t="s">
        <v>604</v>
      </c>
      <c r="T723" t="s">
        <v>2816</v>
      </c>
      <c r="U723" t="s">
        <v>322</v>
      </c>
      <c r="V723" t="s">
        <v>82</v>
      </c>
      <c r="W723" t="s">
        <v>96</v>
      </c>
      <c r="X723" t="s">
        <v>96</v>
      </c>
      <c r="Y723" t="s">
        <v>82</v>
      </c>
      <c r="Z723" t="s">
        <v>102</v>
      </c>
    </row>
    <row r="724" spans="1:26" x14ac:dyDescent="0.25">
      <c r="A724" t="s">
        <v>2817</v>
      </c>
      <c r="B724" t="s">
        <v>2818</v>
      </c>
      <c r="C724" s="4" t="s">
        <v>1043</v>
      </c>
      <c r="D724" t="s">
        <v>2819</v>
      </c>
      <c r="E724" t="s">
        <v>14</v>
      </c>
      <c r="F724" t="s">
        <v>85</v>
      </c>
      <c r="G724" t="s">
        <v>111</v>
      </c>
      <c r="H724" t="s">
        <v>78</v>
      </c>
      <c r="I724" t="s">
        <v>102</v>
      </c>
      <c r="J724" t="s">
        <v>1530</v>
      </c>
      <c r="K724" t="s">
        <v>1592</v>
      </c>
      <c r="L724" t="s">
        <v>89</v>
      </c>
      <c r="M724" t="s">
        <v>318</v>
      </c>
      <c r="N724" t="s">
        <v>90</v>
      </c>
      <c r="O724" t="s">
        <v>2820</v>
      </c>
      <c r="P724" t="s">
        <v>2821</v>
      </c>
      <c r="Q724" t="s">
        <v>78</v>
      </c>
      <c r="R724" t="s">
        <v>85</v>
      </c>
      <c r="S724" t="s">
        <v>2437</v>
      </c>
      <c r="T724" t="s">
        <v>2818</v>
      </c>
      <c r="U724" t="s">
        <v>322</v>
      </c>
      <c r="V724" t="s">
        <v>82</v>
      </c>
      <c r="W724" t="s">
        <v>904</v>
      </c>
      <c r="X724" t="s">
        <v>96</v>
      </c>
      <c r="Y724" t="s">
        <v>82</v>
      </c>
      <c r="Z724" t="s">
        <v>143</v>
      </c>
    </row>
    <row r="725" spans="1:26" x14ac:dyDescent="0.25">
      <c r="A725" t="s">
        <v>2822</v>
      </c>
      <c r="B725" t="s">
        <v>2823</v>
      </c>
      <c r="C725" s="4" t="s">
        <v>1043</v>
      </c>
      <c r="D725" t="s">
        <v>2819</v>
      </c>
      <c r="E725" t="s">
        <v>14</v>
      </c>
      <c r="F725" t="s">
        <v>85</v>
      </c>
      <c r="G725" t="s">
        <v>111</v>
      </c>
      <c r="H725" t="s">
        <v>78</v>
      </c>
      <c r="I725" t="s">
        <v>102</v>
      </c>
      <c r="J725" t="s">
        <v>29</v>
      </c>
      <c r="K725" t="s">
        <v>1592</v>
      </c>
      <c r="L725" t="s">
        <v>89</v>
      </c>
      <c r="M725" t="s">
        <v>318</v>
      </c>
      <c r="N725" t="s">
        <v>90</v>
      </c>
      <c r="O725" t="s">
        <v>2820</v>
      </c>
      <c r="P725" t="s">
        <v>2824</v>
      </c>
      <c r="Q725" t="s">
        <v>78</v>
      </c>
      <c r="R725" t="s">
        <v>85</v>
      </c>
      <c r="S725" t="s">
        <v>2437</v>
      </c>
      <c r="T725" t="s">
        <v>2823</v>
      </c>
      <c r="U725" t="s">
        <v>322</v>
      </c>
      <c r="V725" t="s">
        <v>82</v>
      </c>
      <c r="W725" t="s">
        <v>904</v>
      </c>
      <c r="X725" t="s">
        <v>96</v>
      </c>
      <c r="Y725" t="s">
        <v>82</v>
      </c>
      <c r="Z725" t="s">
        <v>143</v>
      </c>
    </row>
    <row r="726" spans="1:26" x14ac:dyDescent="0.25">
      <c r="A726" t="s">
        <v>2825</v>
      </c>
      <c r="B726" t="s">
        <v>2826</v>
      </c>
      <c r="C726" s="4" t="s">
        <v>1043</v>
      </c>
      <c r="D726" t="s">
        <v>2819</v>
      </c>
      <c r="E726" t="s">
        <v>14</v>
      </c>
      <c r="F726" t="s">
        <v>85</v>
      </c>
      <c r="G726" t="s">
        <v>111</v>
      </c>
      <c r="H726" t="s">
        <v>78</v>
      </c>
      <c r="I726" t="s">
        <v>102</v>
      </c>
      <c r="J726" t="s">
        <v>37</v>
      </c>
      <c r="K726" t="s">
        <v>1592</v>
      </c>
      <c r="L726" t="s">
        <v>89</v>
      </c>
      <c r="M726" t="s">
        <v>318</v>
      </c>
      <c r="N726" t="s">
        <v>90</v>
      </c>
      <c r="O726" t="s">
        <v>2820</v>
      </c>
      <c r="P726" t="s">
        <v>2827</v>
      </c>
      <c r="Q726" t="s">
        <v>78</v>
      </c>
      <c r="R726" t="s">
        <v>85</v>
      </c>
      <c r="S726" t="s">
        <v>2437</v>
      </c>
      <c r="T726" t="s">
        <v>2826</v>
      </c>
      <c r="U726" t="s">
        <v>322</v>
      </c>
      <c r="V726" t="s">
        <v>82</v>
      </c>
      <c r="W726" t="s">
        <v>904</v>
      </c>
      <c r="X726" t="s">
        <v>96</v>
      </c>
      <c r="Y726" t="s">
        <v>82</v>
      </c>
      <c r="Z726" t="s">
        <v>143</v>
      </c>
    </row>
    <row r="727" spans="1:26" x14ac:dyDescent="0.25">
      <c r="A727" t="s">
        <v>2828</v>
      </c>
      <c r="B727" t="s">
        <v>2829</v>
      </c>
      <c r="C727" s="4" t="s">
        <v>1430</v>
      </c>
      <c r="D727" t="s">
        <v>2830</v>
      </c>
      <c r="E727" t="s">
        <v>14</v>
      </c>
      <c r="F727" t="s">
        <v>83</v>
      </c>
      <c r="G727" t="s">
        <v>105</v>
      </c>
      <c r="H727" t="s">
        <v>78</v>
      </c>
      <c r="I727" t="s">
        <v>102</v>
      </c>
      <c r="J727" t="s">
        <v>37</v>
      </c>
      <c r="K727" t="s">
        <v>2460</v>
      </c>
      <c r="L727" t="s">
        <v>89</v>
      </c>
      <c r="M727" t="s">
        <v>318</v>
      </c>
      <c r="N727" t="s">
        <v>1536</v>
      </c>
      <c r="O727" t="s">
        <v>2831</v>
      </c>
      <c r="P727" t="s">
        <v>2832</v>
      </c>
      <c r="Q727" t="s">
        <v>78</v>
      </c>
      <c r="R727" t="s">
        <v>85</v>
      </c>
      <c r="S727" t="s">
        <v>2833</v>
      </c>
      <c r="T727" t="s">
        <v>2829</v>
      </c>
      <c r="U727" t="s">
        <v>322</v>
      </c>
      <c r="V727" t="s">
        <v>82</v>
      </c>
      <c r="W727" t="s">
        <v>1303</v>
      </c>
      <c r="X727" t="s">
        <v>96</v>
      </c>
      <c r="Y727" t="s">
        <v>82</v>
      </c>
      <c r="Z727" t="s">
        <v>143</v>
      </c>
    </row>
    <row r="728" spans="1:26" x14ac:dyDescent="0.25">
      <c r="A728" t="s">
        <v>2834</v>
      </c>
      <c r="B728" t="s">
        <v>2835</v>
      </c>
      <c r="C728" s="4" t="s">
        <v>1430</v>
      </c>
      <c r="D728" t="s">
        <v>2836</v>
      </c>
      <c r="E728" t="s">
        <v>14</v>
      </c>
      <c r="F728" t="s">
        <v>83</v>
      </c>
      <c r="G728" t="s">
        <v>105</v>
      </c>
      <c r="H728" t="s">
        <v>78</v>
      </c>
      <c r="I728" t="s">
        <v>102</v>
      </c>
      <c r="J728" t="s">
        <v>29</v>
      </c>
      <c r="K728" t="s">
        <v>2460</v>
      </c>
      <c r="L728" t="s">
        <v>89</v>
      </c>
      <c r="M728" t="s">
        <v>318</v>
      </c>
      <c r="N728" t="s">
        <v>1536</v>
      </c>
      <c r="O728" t="s">
        <v>2837</v>
      </c>
      <c r="P728" t="s">
        <v>2838</v>
      </c>
      <c r="Q728" t="s">
        <v>78</v>
      </c>
      <c r="R728" t="s">
        <v>85</v>
      </c>
      <c r="S728" t="s">
        <v>2833</v>
      </c>
      <c r="T728" t="s">
        <v>2835</v>
      </c>
      <c r="U728" t="s">
        <v>322</v>
      </c>
      <c r="V728" t="s">
        <v>82</v>
      </c>
      <c r="W728" t="s">
        <v>1303</v>
      </c>
      <c r="X728" t="s">
        <v>96</v>
      </c>
      <c r="Y728" t="s">
        <v>82</v>
      </c>
      <c r="Z728" t="s">
        <v>143</v>
      </c>
    </row>
    <row r="729" spans="1:26" x14ac:dyDescent="0.25">
      <c r="A729" t="s">
        <v>2839</v>
      </c>
      <c r="B729" t="s">
        <v>2840</v>
      </c>
      <c r="C729" s="4" t="s">
        <v>1430</v>
      </c>
      <c r="D729" t="s">
        <v>2841</v>
      </c>
      <c r="E729" t="s">
        <v>14</v>
      </c>
      <c r="F729" t="s">
        <v>83</v>
      </c>
      <c r="G729" t="s">
        <v>105</v>
      </c>
      <c r="H729" t="s">
        <v>78</v>
      </c>
      <c r="I729" t="s">
        <v>102</v>
      </c>
      <c r="J729" t="s">
        <v>1530</v>
      </c>
      <c r="K729" t="s">
        <v>2460</v>
      </c>
      <c r="L729" t="s">
        <v>89</v>
      </c>
      <c r="M729" t="s">
        <v>318</v>
      </c>
      <c r="N729" t="s">
        <v>1536</v>
      </c>
      <c r="O729" t="s">
        <v>2837</v>
      </c>
      <c r="P729" t="s">
        <v>2842</v>
      </c>
      <c r="Q729" t="s">
        <v>78</v>
      </c>
      <c r="R729" t="s">
        <v>85</v>
      </c>
      <c r="S729" t="s">
        <v>2833</v>
      </c>
      <c r="T729" t="s">
        <v>2840</v>
      </c>
      <c r="U729" t="s">
        <v>322</v>
      </c>
      <c r="V729" t="s">
        <v>82</v>
      </c>
      <c r="W729" t="s">
        <v>1303</v>
      </c>
      <c r="X729" t="s">
        <v>96</v>
      </c>
      <c r="Y729" t="s">
        <v>82</v>
      </c>
      <c r="Z729" t="s">
        <v>143</v>
      </c>
    </row>
    <row r="730" spans="1:26" x14ac:dyDescent="0.25">
      <c r="A730" t="s">
        <v>2843</v>
      </c>
      <c r="B730" t="s">
        <v>2844</v>
      </c>
      <c r="C730" s="4" t="s">
        <v>1055</v>
      </c>
      <c r="D730" t="s">
        <v>2845</v>
      </c>
      <c r="E730" t="s">
        <v>14</v>
      </c>
      <c r="F730" t="s">
        <v>85</v>
      </c>
      <c r="G730" t="s">
        <v>111</v>
      </c>
      <c r="H730" t="s">
        <v>78</v>
      </c>
      <c r="I730" t="s">
        <v>102</v>
      </c>
      <c r="J730" t="s">
        <v>29</v>
      </c>
      <c r="K730" t="s">
        <v>1592</v>
      </c>
      <c r="L730" t="s">
        <v>89</v>
      </c>
      <c r="M730" t="s">
        <v>318</v>
      </c>
      <c r="N730" t="s">
        <v>90</v>
      </c>
      <c r="O730" t="s">
        <v>2846</v>
      </c>
      <c r="P730" t="s">
        <v>2847</v>
      </c>
      <c r="Q730" t="s">
        <v>78</v>
      </c>
      <c r="R730" t="s">
        <v>85</v>
      </c>
      <c r="S730" t="s">
        <v>2437</v>
      </c>
      <c r="T730" t="s">
        <v>2844</v>
      </c>
      <c r="U730" t="s">
        <v>322</v>
      </c>
      <c r="V730" t="s">
        <v>82</v>
      </c>
      <c r="W730" t="s">
        <v>904</v>
      </c>
      <c r="X730" t="s">
        <v>96</v>
      </c>
      <c r="Y730" t="s">
        <v>82</v>
      </c>
      <c r="Z730" t="s">
        <v>143</v>
      </c>
    </row>
    <row r="731" spans="1:26" x14ac:dyDescent="0.25">
      <c r="A731" t="s">
        <v>2848</v>
      </c>
      <c r="B731" t="s">
        <v>2849</v>
      </c>
      <c r="C731" s="4" t="s">
        <v>1055</v>
      </c>
      <c r="D731" t="s">
        <v>2845</v>
      </c>
      <c r="E731" t="s">
        <v>14</v>
      </c>
      <c r="F731" t="s">
        <v>85</v>
      </c>
      <c r="G731" t="s">
        <v>111</v>
      </c>
      <c r="H731" t="s">
        <v>78</v>
      </c>
      <c r="I731" t="s">
        <v>102</v>
      </c>
      <c r="J731" t="s">
        <v>30</v>
      </c>
      <c r="K731" t="s">
        <v>1592</v>
      </c>
      <c r="L731" t="s">
        <v>89</v>
      </c>
      <c r="M731" t="s">
        <v>318</v>
      </c>
      <c r="N731" t="s">
        <v>90</v>
      </c>
      <c r="O731" t="s">
        <v>2846</v>
      </c>
      <c r="P731" t="s">
        <v>2850</v>
      </c>
      <c r="Q731" t="s">
        <v>78</v>
      </c>
      <c r="R731" t="s">
        <v>85</v>
      </c>
      <c r="S731" t="s">
        <v>2437</v>
      </c>
      <c r="T731" t="s">
        <v>2849</v>
      </c>
      <c r="U731" t="s">
        <v>322</v>
      </c>
      <c r="V731" t="s">
        <v>82</v>
      </c>
      <c r="W731" t="s">
        <v>904</v>
      </c>
      <c r="X731" t="s">
        <v>96</v>
      </c>
      <c r="Y731" t="s">
        <v>82</v>
      </c>
      <c r="Z731" t="s">
        <v>143</v>
      </c>
    </row>
    <row r="732" spans="1:26" x14ac:dyDescent="0.25">
      <c r="A732" t="s">
        <v>2851</v>
      </c>
      <c r="B732" t="s">
        <v>2852</v>
      </c>
      <c r="C732" s="4" t="s">
        <v>1055</v>
      </c>
      <c r="D732" t="s">
        <v>2845</v>
      </c>
      <c r="E732" t="s">
        <v>14</v>
      </c>
      <c r="F732" t="s">
        <v>85</v>
      </c>
      <c r="G732" t="s">
        <v>111</v>
      </c>
      <c r="H732" t="s">
        <v>78</v>
      </c>
      <c r="I732" t="s">
        <v>102</v>
      </c>
      <c r="J732" t="s">
        <v>1002</v>
      </c>
      <c r="K732" t="s">
        <v>1592</v>
      </c>
      <c r="L732" t="s">
        <v>89</v>
      </c>
      <c r="M732" t="s">
        <v>318</v>
      </c>
      <c r="N732" t="s">
        <v>90</v>
      </c>
      <c r="O732" t="s">
        <v>2853</v>
      </c>
      <c r="P732" t="s">
        <v>2854</v>
      </c>
      <c r="Q732" t="s">
        <v>78</v>
      </c>
      <c r="R732" t="s">
        <v>85</v>
      </c>
      <c r="S732" t="s">
        <v>2437</v>
      </c>
      <c r="T732" t="s">
        <v>2852</v>
      </c>
      <c r="U732" t="s">
        <v>322</v>
      </c>
      <c r="V732" t="s">
        <v>82</v>
      </c>
      <c r="W732" t="s">
        <v>904</v>
      </c>
      <c r="X732" t="s">
        <v>96</v>
      </c>
      <c r="Y732" t="s">
        <v>82</v>
      </c>
      <c r="Z732" t="s">
        <v>143</v>
      </c>
    </row>
    <row r="733" spans="1:26" x14ac:dyDescent="0.25">
      <c r="A733" t="s">
        <v>2855</v>
      </c>
      <c r="B733" t="s">
        <v>2856</v>
      </c>
      <c r="C733" s="4" t="s">
        <v>1438</v>
      </c>
      <c r="D733" t="s">
        <v>2857</v>
      </c>
      <c r="E733" t="s">
        <v>14</v>
      </c>
      <c r="F733" t="s">
        <v>83</v>
      </c>
      <c r="G733" t="s">
        <v>105</v>
      </c>
      <c r="H733" t="s">
        <v>78</v>
      </c>
      <c r="I733" t="s">
        <v>102</v>
      </c>
      <c r="J733" t="s">
        <v>29</v>
      </c>
      <c r="K733" t="s">
        <v>2460</v>
      </c>
      <c r="L733" t="s">
        <v>89</v>
      </c>
      <c r="M733" t="s">
        <v>318</v>
      </c>
      <c r="N733" t="s">
        <v>1536</v>
      </c>
      <c r="O733" t="s">
        <v>2858</v>
      </c>
      <c r="P733" t="s">
        <v>2859</v>
      </c>
      <c r="Q733" t="s">
        <v>78</v>
      </c>
      <c r="R733" t="s">
        <v>85</v>
      </c>
      <c r="S733" t="s">
        <v>2833</v>
      </c>
      <c r="T733" t="s">
        <v>2856</v>
      </c>
      <c r="U733" t="s">
        <v>322</v>
      </c>
      <c r="V733" t="s">
        <v>82</v>
      </c>
      <c r="W733" t="s">
        <v>1303</v>
      </c>
      <c r="X733" t="s">
        <v>96</v>
      </c>
      <c r="Y733" t="s">
        <v>82</v>
      </c>
      <c r="Z733" t="s">
        <v>143</v>
      </c>
    </row>
    <row r="734" spans="1:26" x14ac:dyDescent="0.25">
      <c r="A734" t="s">
        <v>2860</v>
      </c>
      <c r="B734" t="s">
        <v>2861</v>
      </c>
      <c r="C734" s="4" t="s">
        <v>1438</v>
      </c>
      <c r="D734" t="s">
        <v>2857</v>
      </c>
      <c r="E734" t="s">
        <v>14</v>
      </c>
      <c r="F734" t="s">
        <v>83</v>
      </c>
      <c r="G734" t="s">
        <v>105</v>
      </c>
      <c r="H734" t="s">
        <v>78</v>
      </c>
      <c r="I734" t="s">
        <v>102</v>
      </c>
      <c r="J734" t="s">
        <v>37</v>
      </c>
      <c r="K734" t="s">
        <v>2460</v>
      </c>
      <c r="L734" t="s">
        <v>89</v>
      </c>
      <c r="M734" t="s">
        <v>318</v>
      </c>
      <c r="N734" t="s">
        <v>1536</v>
      </c>
      <c r="O734" t="s">
        <v>2862</v>
      </c>
      <c r="P734" t="s">
        <v>2863</v>
      </c>
      <c r="Q734" t="s">
        <v>78</v>
      </c>
      <c r="R734" t="s">
        <v>85</v>
      </c>
      <c r="S734" t="s">
        <v>2833</v>
      </c>
      <c r="T734" t="s">
        <v>2861</v>
      </c>
      <c r="U734" t="s">
        <v>322</v>
      </c>
      <c r="V734" t="s">
        <v>82</v>
      </c>
      <c r="W734" t="s">
        <v>1303</v>
      </c>
      <c r="X734" t="s">
        <v>96</v>
      </c>
      <c r="Y734" t="s">
        <v>82</v>
      </c>
      <c r="Z734" t="s">
        <v>143</v>
      </c>
    </row>
    <row r="735" spans="1:26" x14ac:dyDescent="0.25">
      <c r="A735" t="s">
        <v>2864</v>
      </c>
      <c r="B735" t="s">
        <v>2865</v>
      </c>
      <c r="C735" s="4" t="s">
        <v>1438</v>
      </c>
      <c r="D735" t="s">
        <v>2857</v>
      </c>
      <c r="E735" t="s">
        <v>14</v>
      </c>
      <c r="F735" t="s">
        <v>83</v>
      </c>
      <c r="G735" t="s">
        <v>105</v>
      </c>
      <c r="H735" t="s">
        <v>78</v>
      </c>
      <c r="I735" t="s">
        <v>102</v>
      </c>
      <c r="J735" t="s">
        <v>1002</v>
      </c>
      <c r="K735" t="s">
        <v>2460</v>
      </c>
      <c r="L735" t="s">
        <v>89</v>
      </c>
      <c r="M735" t="s">
        <v>318</v>
      </c>
      <c r="N735" t="s">
        <v>1536</v>
      </c>
      <c r="O735" t="s">
        <v>2862</v>
      </c>
      <c r="P735" t="s">
        <v>2866</v>
      </c>
      <c r="Q735" t="s">
        <v>78</v>
      </c>
      <c r="R735" t="s">
        <v>85</v>
      </c>
      <c r="S735" t="s">
        <v>2833</v>
      </c>
      <c r="T735" t="s">
        <v>2865</v>
      </c>
      <c r="U735" t="s">
        <v>322</v>
      </c>
      <c r="V735" t="s">
        <v>82</v>
      </c>
      <c r="W735" t="s">
        <v>1303</v>
      </c>
      <c r="X735" t="s">
        <v>96</v>
      </c>
      <c r="Y735" t="s">
        <v>82</v>
      </c>
      <c r="Z735" t="s">
        <v>143</v>
      </c>
    </row>
    <row r="736" spans="1:26" x14ac:dyDescent="0.25">
      <c r="A736" t="s">
        <v>2867</v>
      </c>
      <c r="B736" t="s">
        <v>2868</v>
      </c>
      <c r="C736" s="4" t="s">
        <v>2869</v>
      </c>
      <c r="D736" t="s">
        <v>2870</v>
      </c>
      <c r="E736" t="s">
        <v>14</v>
      </c>
      <c r="F736" t="s">
        <v>83</v>
      </c>
      <c r="G736" t="s">
        <v>105</v>
      </c>
      <c r="H736" t="s">
        <v>78</v>
      </c>
      <c r="I736" t="s">
        <v>102</v>
      </c>
      <c r="J736" t="s">
        <v>2871</v>
      </c>
      <c r="K736" t="s">
        <v>1630</v>
      </c>
      <c r="L736" t="s">
        <v>89</v>
      </c>
      <c r="M736" t="s">
        <v>318</v>
      </c>
      <c r="N736" t="s">
        <v>815</v>
      </c>
      <c r="O736" t="s">
        <v>2872</v>
      </c>
      <c r="P736" t="s">
        <v>2873</v>
      </c>
      <c r="Q736" t="s">
        <v>102</v>
      </c>
      <c r="R736" t="s">
        <v>85</v>
      </c>
      <c r="S736" t="s">
        <v>1632</v>
      </c>
      <c r="T736" t="s">
        <v>2868</v>
      </c>
      <c r="U736" t="s">
        <v>322</v>
      </c>
      <c r="V736" t="s">
        <v>82</v>
      </c>
      <c r="W736" t="s">
        <v>1523</v>
      </c>
      <c r="X736" t="s">
        <v>96</v>
      </c>
      <c r="Y736" t="s">
        <v>82</v>
      </c>
      <c r="Z736" t="s">
        <v>78</v>
      </c>
    </row>
    <row r="737" spans="1:26" x14ac:dyDescent="0.25">
      <c r="A737" t="s">
        <v>2874</v>
      </c>
      <c r="B737" t="s">
        <v>2875</v>
      </c>
      <c r="C737" s="4" t="s">
        <v>2876</v>
      </c>
      <c r="D737" t="s">
        <v>2870</v>
      </c>
      <c r="E737" t="s">
        <v>14</v>
      </c>
      <c r="F737" t="s">
        <v>83</v>
      </c>
      <c r="G737" t="s">
        <v>105</v>
      </c>
      <c r="H737" t="s">
        <v>78</v>
      </c>
      <c r="I737" t="s">
        <v>102</v>
      </c>
      <c r="J737" t="s">
        <v>33</v>
      </c>
      <c r="K737" t="s">
        <v>1630</v>
      </c>
      <c r="L737" t="s">
        <v>89</v>
      </c>
      <c r="M737" t="s">
        <v>318</v>
      </c>
      <c r="N737" t="s">
        <v>815</v>
      </c>
      <c r="O737" t="s">
        <v>2872</v>
      </c>
      <c r="P737" t="s">
        <v>2872</v>
      </c>
      <c r="Q737" t="s">
        <v>102</v>
      </c>
      <c r="R737" t="s">
        <v>85</v>
      </c>
      <c r="S737" t="s">
        <v>1632</v>
      </c>
      <c r="T737" t="s">
        <v>2875</v>
      </c>
      <c r="U737" t="s">
        <v>322</v>
      </c>
      <c r="V737" t="s">
        <v>82</v>
      </c>
      <c r="W737" t="s">
        <v>1523</v>
      </c>
      <c r="X737" t="s">
        <v>96</v>
      </c>
      <c r="Y737" t="s">
        <v>82</v>
      </c>
      <c r="Z737" t="s">
        <v>78</v>
      </c>
    </row>
    <row r="738" spans="1:26" x14ac:dyDescent="0.25">
      <c r="A738" t="s">
        <v>2877</v>
      </c>
      <c r="B738" t="s">
        <v>2878</v>
      </c>
      <c r="C738" s="4" t="s">
        <v>2876</v>
      </c>
      <c r="D738" t="s">
        <v>2870</v>
      </c>
      <c r="E738" t="s">
        <v>14</v>
      </c>
      <c r="F738" t="s">
        <v>83</v>
      </c>
      <c r="G738" t="s">
        <v>105</v>
      </c>
      <c r="H738" t="s">
        <v>78</v>
      </c>
      <c r="I738" t="s">
        <v>102</v>
      </c>
      <c r="J738" t="s">
        <v>30</v>
      </c>
      <c r="K738" t="s">
        <v>1630</v>
      </c>
      <c r="L738" t="s">
        <v>89</v>
      </c>
      <c r="M738" t="s">
        <v>318</v>
      </c>
      <c r="N738" t="s">
        <v>815</v>
      </c>
      <c r="O738" t="s">
        <v>2872</v>
      </c>
      <c r="P738" t="s">
        <v>2872</v>
      </c>
      <c r="Q738" t="s">
        <v>102</v>
      </c>
      <c r="R738" t="s">
        <v>85</v>
      </c>
      <c r="S738" t="s">
        <v>1632</v>
      </c>
      <c r="T738" t="s">
        <v>2878</v>
      </c>
      <c r="U738" t="s">
        <v>322</v>
      </c>
      <c r="V738" t="s">
        <v>82</v>
      </c>
      <c r="W738" t="s">
        <v>1523</v>
      </c>
      <c r="X738" t="s">
        <v>96</v>
      </c>
      <c r="Y738" t="s">
        <v>82</v>
      </c>
      <c r="Z738" t="s">
        <v>78</v>
      </c>
    </row>
    <row r="739" spans="1:26" x14ac:dyDescent="0.25">
      <c r="A739" t="s">
        <v>2879</v>
      </c>
      <c r="B739" t="s">
        <v>2880</v>
      </c>
      <c r="C739" s="4" t="s">
        <v>2876</v>
      </c>
      <c r="D739" t="s">
        <v>2870</v>
      </c>
      <c r="E739" t="s">
        <v>14</v>
      </c>
      <c r="F739" t="s">
        <v>83</v>
      </c>
      <c r="G739" t="s">
        <v>105</v>
      </c>
      <c r="H739" t="s">
        <v>78</v>
      </c>
      <c r="I739" t="s">
        <v>102</v>
      </c>
      <c r="J739" t="s">
        <v>32</v>
      </c>
      <c r="K739" t="s">
        <v>1630</v>
      </c>
      <c r="L739" t="s">
        <v>89</v>
      </c>
      <c r="M739" t="s">
        <v>318</v>
      </c>
      <c r="N739" t="s">
        <v>815</v>
      </c>
      <c r="O739" t="s">
        <v>2872</v>
      </c>
      <c r="P739" t="s">
        <v>2872</v>
      </c>
      <c r="Q739" t="s">
        <v>102</v>
      </c>
      <c r="R739" t="s">
        <v>85</v>
      </c>
      <c r="S739" t="s">
        <v>1632</v>
      </c>
      <c r="T739" t="s">
        <v>2880</v>
      </c>
      <c r="U739" t="s">
        <v>322</v>
      </c>
      <c r="V739" t="s">
        <v>82</v>
      </c>
      <c r="W739" t="s">
        <v>1523</v>
      </c>
      <c r="X739" t="s">
        <v>96</v>
      </c>
      <c r="Y739" t="s">
        <v>82</v>
      </c>
      <c r="Z739" t="s">
        <v>78</v>
      </c>
    </row>
    <row r="740" spans="1:26" x14ac:dyDescent="0.25">
      <c r="A740" t="s">
        <v>2881</v>
      </c>
      <c r="B740" t="s">
        <v>2882</v>
      </c>
      <c r="C740" s="4" t="s">
        <v>2869</v>
      </c>
      <c r="D740" t="s">
        <v>2870</v>
      </c>
      <c r="E740" t="s">
        <v>14</v>
      </c>
      <c r="F740" t="s">
        <v>83</v>
      </c>
      <c r="G740" t="s">
        <v>105</v>
      </c>
      <c r="H740" t="s">
        <v>78</v>
      </c>
      <c r="I740" t="s">
        <v>102</v>
      </c>
      <c r="J740" t="s">
        <v>17</v>
      </c>
      <c r="K740" t="s">
        <v>1630</v>
      </c>
      <c r="L740" t="s">
        <v>89</v>
      </c>
      <c r="M740" t="s">
        <v>318</v>
      </c>
      <c r="N740" t="s">
        <v>815</v>
      </c>
      <c r="O740" t="s">
        <v>2883</v>
      </c>
      <c r="P740" t="s">
        <v>2884</v>
      </c>
      <c r="Q740" t="s">
        <v>102</v>
      </c>
      <c r="R740" t="s">
        <v>85</v>
      </c>
      <c r="S740" t="s">
        <v>1632</v>
      </c>
      <c r="T740" t="s">
        <v>2882</v>
      </c>
      <c r="U740" t="s">
        <v>322</v>
      </c>
      <c r="V740" t="s">
        <v>82</v>
      </c>
      <c r="W740" t="s">
        <v>1523</v>
      </c>
      <c r="X740" t="s">
        <v>96</v>
      </c>
      <c r="Y740" t="s">
        <v>82</v>
      </c>
      <c r="Z740" t="s">
        <v>78</v>
      </c>
    </row>
    <row r="741" spans="1:26" x14ac:dyDescent="0.25">
      <c r="A741" t="s">
        <v>2885</v>
      </c>
      <c r="B741" t="s">
        <v>2886</v>
      </c>
      <c r="C741" s="4" t="s">
        <v>2869</v>
      </c>
      <c r="D741" t="s">
        <v>2870</v>
      </c>
      <c r="E741" t="s">
        <v>14</v>
      </c>
      <c r="F741" t="s">
        <v>83</v>
      </c>
      <c r="G741" t="s">
        <v>105</v>
      </c>
      <c r="H741" t="s">
        <v>78</v>
      </c>
      <c r="I741" t="s">
        <v>102</v>
      </c>
      <c r="J741" t="s">
        <v>29</v>
      </c>
      <c r="K741" t="s">
        <v>1630</v>
      </c>
      <c r="L741" t="s">
        <v>89</v>
      </c>
      <c r="M741" t="s">
        <v>318</v>
      </c>
      <c r="N741" t="s">
        <v>815</v>
      </c>
      <c r="O741" t="s">
        <v>2883</v>
      </c>
      <c r="P741" t="s">
        <v>2887</v>
      </c>
      <c r="Q741" t="s">
        <v>102</v>
      </c>
      <c r="R741" t="s">
        <v>85</v>
      </c>
      <c r="S741" t="s">
        <v>1632</v>
      </c>
      <c r="T741" t="s">
        <v>2886</v>
      </c>
      <c r="U741" t="s">
        <v>322</v>
      </c>
      <c r="V741" t="s">
        <v>82</v>
      </c>
      <c r="W741" t="s">
        <v>1523</v>
      </c>
      <c r="X741" t="s">
        <v>96</v>
      </c>
      <c r="Y741" t="s">
        <v>82</v>
      </c>
      <c r="Z741" t="s">
        <v>78</v>
      </c>
    </row>
    <row r="742" spans="1:26" x14ac:dyDescent="0.25">
      <c r="A742" t="s">
        <v>2888</v>
      </c>
      <c r="B742" t="s">
        <v>2889</v>
      </c>
      <c r="C742" s="4" t="s">
        <v>1440</v>
      </c>
      <c r="D742" t="s">
        <v>2890</v>
      </c>
      <c r="E742" t="s">
        <v>14</v>
      </c>
      <c r="F742" t="s">
        <v>83</v>
      </c>
      <c r="G742" t="s">
        <v>105</v>
      </c>
      <c r="H742" t="s">
        <v>78</v>
      </c>
      <c r="I742" t="s">
        <v>102</v>
      </c>
      <c r="J742" t="s">
        <v>37</v>
      </c>
      <c r="K742" t="s">
        <v>940</v>
      </c>
      <c r="L742" t="s">
        <v>89</v>
      </c>
      <c r="M742" t="s">
        <v>318</v>
      </c>
      <c r="N742" t="s">
        <v>1536</v>
      </c>
      <c r="O742" t="s">
        <v>2891</v>
      </c>
      <c r="P742" t="s">
        <v>2891</v>
      </c>
      <c r="Q742" t="s">
        <v>102</v>
      </c>
      <c r="R742" t="s">
        <v>85</v>
      </c>
      <c r="S742" t="s">
        <v>1538</v>
      </c>
      <c r="T742" t="s">
        <v>2889</v>
      </c>
      <c r="U742" t="s">
        <v>322</v>
      </c>
      <c r="V742" t="s">
        <v>82</v>
      </c>
      <c r="W742" t="s">
        <v>1539</v>
      </c>
      <c r="X742" t="s">
        <v>96</v>
      </c>
      <c r="Y742" t="s">
        <v>82</v>
      </c>
      <c r="Z742" t="s">
        <v>82</v>
      </c>
    </row>
    <row r="743" spans="1:26" x14ac:dyDescent="0.25">
      <c r="A743" t="s">
        <v>2892</v>
      </c>
      <c r="B743" t="s">
        <v>2893</v>
      </c>
      <c r="C743" s="4" t="s">
        <v>1440</v>
      </c>
      <c r="D743" t="s">
        <v>2890</v>
      </c>
      <c r="E743" t="s">
        <v>14</v>
      </c>
      <c r="F743" t="s">
        <v>83</v>
      </c>
      <c r="G743" t="s">
        <v>105</v>
      </c>
      <c r="H743" t="s">
        <v>78</v>
      </c>
      <c r="I743" t="s">
        <v>102</v>
      </c>
      <c r="J743" t="s">
        <v>1530</v>
      </c>
      <c r="K743" t="s">
        <v>940</v>
      </c>
      <c r="L743" t="s">
        <v>89</v>
      </c>
      <c r="M743" t="s">
        <v>318</v>
      </c>
      <c r="N743" t="s">
        <v>1536</v>
      </c>
      <c r="O743" t="s">
        <v>2891</v>
      </c>
      <c r="P743" t="s">
        <v>2891</v>
      </c>
      <c r="Q743" t="s">
        <v>102</v>
      </c>
      <c r="R743" t="s">
        <v>85</v>
      </c>
      <c r="S743" t="s">
        <v>1538</v>
      </c>
      <c r="T743" t="s">
        <v>2893</v>
      </c>
      <c r="U743" t="s">
        <v>322</v>
      </c>
      <c r="V743" t="s">
        <v>82</v>
      </c>
      <c r="W743" t="s">
        <v>1539</v>
      </c>
      <c r="X743" t="s">
        <v>96</v>
      </c>
      <c r="Y743" t="s">
        <v>82</v>
      </c>
      <c r="Z743" t="s">
        <v>82</v>
      </c>
    </row>
    <row r="744" spans="1:26" x14ac:dyDescent="0.25">
      <c r="A744" t="s">
        <v>2894</v>
      </c>
      <c r="B744" t="s">
        <v>2895</v>
      </c>
      <c r="C744" s="4" t="s">
        <v>1440</v>
      </c>
      <c r="D744" t="s">
        <v>2890</v>
      </c>
      <c r="E744" t="s">
        <v>14</v>
      </c>
      <c r="F744" t="s">
        <v>83</v>
      </c>
      <c r="G744" t="s">
        <v>105</v>
      </c>
      <c r="H744" t="s">
        <v>78</v>
      </c>
      <c r="I744" t="s">
        <v>102</v>
      </c>
      <c r="J744" t="s">
        <v>29</v>
      </c>
      <c r="K744" t="s">
        <v>940</v>
      </c>
      <c r="L744" t="s">
        <v>89</v>
      </c>
      <c r="M744" t="s">
        <v>318</v>
      </c>
      <c r="N744" t="s">
        <v>1536</v>
      </c>
      <c r="O744" t="s">
        <v>2891</v>
      </c>
      <c r="P744" t="s">
        <v>2891</v>
      </c>
      <c r="Q744" t="s">
        <v>102</v>
      </c>
      <c r="R744" t="s">
        <v>85</v>
      </c>
      <c r="S744" t="s">
        <v>1538</v>
      </c>
      <c r="T744" t="s">
        <v>2895</v>
      </c>
      <c r="U744" t="s">
        <v>322</v>
      </c>
      <c r="V744" t="s">
        <v>82</v>
      </c>
      <c r="W744" t="s">
        <v>1539</v>
      </c>
      <c r="X744" t="s">
        <v>96</v>
      </c>
      <c r="Y744" t="s">
        <v>82</v>
      </c>
      <c r="Z744" t="s">
        <v>82</v>
      </c>
    </row>
    <row r="745" spans="1:26" x14ac:dyDescent="0.25">
      <c r="A745" t="s">
        <v>2896</v>
      </c>
      <c r="B745" t="s">
        <v>2897</v>
      </c>
      <c r="C745" s="4" t="s">
        <v>1822</v>
      </c>
      <c r="D745" t="s">
        <v>2898</v>
      </c>
      <c r="E745" t="s">
        <v>14</v>
      </c>
      <c r="F745" t="s">
        <v>146</v>
      </c>
      <c r="G745" t="s">
        <v>160</v>
      </c>
      <c r="H745" t="s">
        <v>78</v>
      </c>
      <c r="I745" t="s">
        <v>86</v>
      </c>
      <c r="J745" t="s">
        <v>29</v>
      </c>
      <c r="K745" t="s">
        <v>1316</v>
      </c>
      <c r="L745" t="s">
        <v>89</v>
      </c>
      <c r="M745" t="s">
        <v>318</v>
      </c>
      <c r="N745" t="s">
        <v>1549</v>
      </c>
      <c r="O745" t="s">
        <v>2899</v>
      </c>
      <c r="P745" t="s">
        <v>2900</v>
      </c>
      <c r="Q745" t="s">
        <v>102</v>
      </c>
      <c r="R745" t="s">
        <v>85</v>
      </c>
      <c r="S745" t="s">
        <v>1551</v>
      </c>
      <c r="T745" t="s">
        <v>2897</v>
      </c>
      <c r="U745" t="s">
        <v>322</v>
      </c>
      <c r="V745" t="s">
        <v>82</v>
      </c>
      <c r="W745" t="s">
        <v>1466</v>
      </c>
      <c r="X745" t="s">
        <v>96</v>
      </c>
      <c r="Y745" t="s">
        <v>82</v>
      </c>
      <c r="Z745" t="s">
        <v>82</v>
      </c>
    </row>
    <row r="746" spans="1:26" x14ac:dyDescent="0.25">
      <c r="A746" t="s">
        <v>2901</v>
      </c>
      <c r="B746" t="s">
        <v>2902</v>
      </c>
      <c r="C746" s="4" t="s">
        <v>1822</v>
      </c>
      <c r="D746" t="s">
        <v>2898</v>
      </c>
      <c r="E746" t="s">
        <v>14</v>
      </c>
      <c r="F746" t="s">
        <v>146</v>
      </c>
      <c r="G746" t="s">
        <v>160</v>
      </c>
      <c r="H746" t="s">
        <v>78</v>
      </c>
      <c r="I746" t="s">
        <v>86</v>
      </c>
      <c r="J746" t="s">
        <v>1530</v>
      </c>
      <c r="K746" t="s">
        <v>1316</v>
      </c>
      <c r="L746" t="s">
        <v>89</v>
      </c>
      <c r="M746" t="s">
        <v>318</v>
      </c>
      <c r="N746" t="s">
        <v>1549</v>
      </c>
      <c r="O746" t="s">
        <v>2899</v>
      </c>
      <c r="P746" t="s">
        <v>2903</v>
      </c>
      <c r="Q746" t="s">
        <v>102</v>
      </c>
      <c r="R746" t="s">
        <v>85</v>
      </c>
      <c r="S746" t="s">
        <v>1551</v>
      </c>
      <c r="T746" t="s">
        <v>2902</v>
      </c>
      <c r="U746" t="s">
        <v>322</v>
      </c>
      <c r="V746" t="s">
        <v>82</v>
      </c>
      <c r="W746" t="s">
        <v>1466</v>
      </c>
      <c r="X746" t="s">
        <v>96</v>
      </c>
      <c r="Y746" t="s">
        <v>82</v>
      </c>
      <c r="Z746" t="s">
        <v>82</v>
      </c>
    </row>
    <row r="747" spans="1:26" x14ac:dyDescent="0.25">
      <c r="A747" t="s">
        <v>2904</v>
      </c>
      <c r="B747" t="s">
        <v>2905</v>
      </c>
      <c r="C747" s="4" t="s">
        <v>1822</v>
      </c>
      <c r="D747" t="s">
        <v>2898</v>
      </c>
      <c r="E747" t="s">
        <v>14</v>
      </c>
      <c r="F747" t="s">
        <v>146</v>
      </c>
      <c r="G747" t="s">
        <v>160</v>
      </c>
      <c r="H747" t="s">
        <v>78</v>
      </c>
      <c r="I747" t="s">
        <v>86</v>
      </c>
      <c r="J747" t="s">
        <v>37</v>
      </c>
      <c r="K747" t="s">
        <v>1316</v>
      </c>
      <c r="L747" t="s">
        <v>89</v>
      </c>
      <c r="M747" t="s">
        <v>318</v>
      </c>
      <c r="N747" t="s">
        <v>1549</v>
      </c>
      <c r="O747" t="s">
        <v>2899</v>
      </c>
      <c r="P747" t="s">
        <v>2906</v>
      </c>
      <c r="Q747" t="s">
        <v>102</v>
      </c>
      <c r="R747" t="s">
        <v>85</v>
      </c>
      <c r="S747" t="s">
        <v>1551</v>
      </c>
      <c r="T747" t="s">
        <v>2905</v>
      </c>
      <c r="U747" t="s">
        <v>322</v>
      </c>
      <c r="V747" t="s">
        <v>82</v>
      </c>
      <c r="W747" t="s">
        <v>1466</v>
      </c>
      <c r="X747" t="s">
        <v>96</v>
      </c>
      <c r="Y747" t="s">
        <v>82</v>
      </c>
      <c r="Z747" t="s">
        <v>82</v>
      </c>
    </row>
    <row r="748" spans="1:26" x14ac:dyDescent="0.25">
      <c r="A748" t="s">
        <v>2907</v>
      </c>
      <c r="B748" t="s">
        <v>2908</v>
      </c>
      <c r="C748" s="4" t="s">
        <v>2909</v>
      </c>
      <c r="D748" t="s">
        <v>2910</v>
      </c>
      <c r="E748" t="s">
        <v>14</v>
      </c>
      <c r="F748" t="s">
        <v>78</v>
      </c>
      <c r="G748" t="s">
        <v>102</v>
      </c>
      <c r="H748" t="s">
        <v>78</v>
      </c>
      <c r="I748" t="s">
        <v>102</v>
      </c>
      <c r="J748" t="s">
        <v>18</v>
      </c>
      <c r="K748" t="s">
        <v>676</v>
      </c>
      <c r="L748" t="s">
        <v>89</v>
      </c>
      <c r="M748" t="s">
        <v>318</v>
      </c>
      <c r="N748" t="s">
        <v>1161</v>
      </c>
      <c r="O748" t="s">
        <v>2911</v>
      </c>
      <c r="P748" t="s">
        <v>2911</v>
      </c>
      <c r="Q748" t="s">
        <v>102</v>
      </c>
      <c r="R748" t="s">
        <v>86</v>
      </c>
      <c r="S748" t="s">
        <v>679</v>
      </c>
      <c r="T748" t="s">
        <v>2908</v>
      </c>
      <c r="U748" t="s">
        <v>322</v>
      </c>
      <c r="V748" t="s">
        <v>82</v>
      </c>
      <c r="W748" t="s">
        <v>718</v>
      </c>
      <c r="X748" t="s">
        <v>96</v>
      </c>
      <c r="Y748" t="s">
        <v>82</v>
      </c>
      <c r="Z748" t="s">
        <v>82</v>
      </c>
    </row>
    <row r="749" spans="1:26" x14ac:dyDescent="0.25">
      <c r="A749" t="s">
        <v>2912</v>
      </c>
      <c r="B749" t="s">
        <v>2913</v>
      </c>
      <c r="C749" s="4" t="s">
        <v>2909</v>
      </c>
      <c r="D749" t="s">
        <v>2910</v>
      </c>
      <c r="E749" t="s">
        <v>14</v>
      </c>
      <c r="F749" t="s">
        <v>78</v>
      </c>
      <c r="G749" t="s">
        <v>102</v>
      </c>
      <c r="H749" t="s">
        <v>78</v>
      </c>
      <c r="I749" t="s">
        <v>102</v>
      </c>
      <c r="J749" t="s">
        <v>15</v>
      </c>
      <c r="K749" t="s">
        <v>676</v>
      </c>
      <c r="L749" t="s">
        <v>89</v>
      </c>
      <c r="M749" t="s">
        <v>318</v>
      </c>
      <c r="N749" t="s">
        <v>1161</v>
      </c>
      <c r="O749" t="s">
        <v>2911</v>
      </c>
      <c r="P749" t="s">
        <v>2911</v>
      </c>
      <c r="Q749" t="s">
        <v>102</v>
      </c>
      <c r="R749" t="s">
        <v>86</v>
      </c>
      <c r="S749" t="s">
        <v>679</v>
      </c>
      <c r="T749" t="s">
        <v>2913</v>
      </c>
      <c r="U749" t="s">
        <v>322</v>
      </c>
      <c r="V749" t="s">
        <v>82</v>
      </c>
      <c r="W749" t="s">
        <v>718</v>
      </c>
      <c r="X749" t="s">
        <v>96</v>
      </c>
      <c r="Y749" t="s">
        <v>82</v>
      </c>
      <c r="Z749" t="s">
        <v>82</v>
      </c>
    </row>
    <row r="750" spans="1:26" x14ac:dyDescent="0.25">
      <c r="A750" t="s">
        <v>2914</v>
      </c>
      <c r="B750" t="s">
        <v>2915</v>
      </c>
      <c r="C750" s="4" t="s">
        <v>2909</v>
      </c>
      <c r="D750" t="s">
        <v>2910</v>
      </c>
      <c r="E750" t="s">
        <v>14</v>
      </c>
      <c r="F750" t="s">
        <v>78</v>
      </c>
      <c r="G750" t="s">
        <v>102</v>
      </c>
      <c r="H750" t="s">
        <v>78</v>
      </c>
      <c r="I750" t="s">
        <v>102</v>
      </c>
      <c r="J750" t="s">
        <v>17</v>
      </c>
      <c r="K750" t="s">
        <v>676</v>
      </c>
      <c r="L750" t="s">
        <v>89</v>
      </c>
      <c r="M750" t="s">
        <v>318</v>
      </c>
      <c r="N750" t="s">
        <v>1161</v>
      </c>
      <c r="O750" t="s">
        <v>2911</v>
      </c>
      <c r="P750" t="s">
        <v>2911</v>
      </c>
      <c r="Q750" t="s">
        <v>102</v>
      </c>
      <c r="R750" t="s">
        <v>86</v>
      </c>
      <c r="S750" t="s">
        <v>679</v>
      </c>
      <c r="T750" t="s">
        <v>2915</v>
      </c>
      <c r="U750" t="s">
        <v>322</v>
      </c>
      <c r="V750" t="s">
        <v>82</v>
      </c>
      <c r="W750" t="s">
        <v>718</v>
      </c>
      <c r="X750" t="s">
        <v>96</v>
      </c>
      <c r="Y750" t="s">
        <v>82</v>
      </c>
      <c r="Z750" t="s">
        <v>82</v>
      </c>
    </row>
    <row r="751" spans="1:26" x14ac:dyDescent="0.25">
      <c r="A751" t="s">
        <v>2916</v>
      </c>
      <c r="B751" t="s">
        <v>2917</v>
      </c>
      <c r="C751" s="4" t="s">
        <v>2909</v>
      </c>
      <c r="D751" t="s">
        <v>2910</v>
      </c>
      <c r="E751" t="s">
        <v>14</v>
      </c>
      <c r="F751" t="s">
        <v>111</v>
      </c>
      <c r="G751" t="s">
        <v>124</v>
      </c>
      <c r="H751" t="s">
        <v>78</v>
      </c>
      <c r="I751" t="s">
        <v>102</v>
      </c>
      <c r="J751" t="s">
        <v>17</v>
      </c>
      <c r="K751" t="s">
        <v>799</v>
      </c>
      <c r="L751" t="s">
        <v>89</v>
      </c>
      <c r="M751" t="s">
        <v>318</v>
      </c>
      <c r="N751" t="s">
        <v>420</v>
      </c>
      <c r="O751" t="s">
        <v>2918</v>
      </c>
      <c r="P751" t="s">
        <v>2918</v>
      </c>
      <c r="Q751" t="s">
        <v>102</v>
      </c>
      <c r="R751" t="s">
        <v>86</v>
      </c>
      <c r="S751" t="s">
        <v>802</v>
      </c>
      <c r="T751" t="s">
        <v>2917</v>
      </c>
      <c r="U751" t="s">
        <v>322</v>
      </c>
      <c r="V751" t="s">
        <v>82</v>
      </c>
      <c r="W751" t="s">
        <v>718</v>
      </c>
      <c r="X751" t="s">
        <v>96</v>
      </c>
      <c r="Y751" t="s">
        <v>82</v>
      </c>
      <c r="Z751" t="s">
        <v>82</v>
      </c>
    </row>
    <row r="752" spans="1:26" x14ac:dyDescent="0.25">
      <c r="A752" t="s">
        <v>2919</v>
      </c>
      <c r="B752" t="s">
        <v>2920</v>
      </c>
      <c r="C752" s="4" t="s">
        <v>2909</v>
      </c>
      <c r="D752" t="s">
        <v>2910</v>
      </c>
      <c r="E752" t="s">
        <v>14</v>
      </c>
      <c r="F752" t="s">
        <v>111</v>
      </c>
      <c r="G752" t="s">
        <v>124</v>
      </c>
      <c r="H752" t="s">
        <v>78</v>
      </c>
      <c r="I752" t="s">
        <v>102</v>
      </c>
      <c r="J752" t="s">
        <v>18</v>
      </c>
      <c r="K752" t="s">
        <v>799</v>
      </c>
      <c r="L752" t="s">
        <v>89</v>
      </c>
      <c r="M752" t="s">
        <v>318</v>
      </c>
      <c r="N752" t="s">
        <v>420</v>
      </c>
      <c r="O752" t="s">
        <v>2918</v>
      </c>
      <c r="P752" t="s">
        <v>2918</v>
      </c>
      <c r="Q752" t="s">
        <v>102</v>
      </c>
      <c r="R752" t="s">
        <v>86</v>
      </c>
      <c r="S752" t="s">
        <v>802</v>
      </c>
      <c r="T752" t="s">
        <v>2920</v>
      </c>
      <c r="U752" t="s">
        <v>322</v>
      </c>
      <c r="V752" t="s">
        <v>82</v>
      </c>
      <c r="W752" t="s">
        <v>718</v>
      </c>
      <c r="X752" t="s">
        <v>96</v>
      </c>
      <c r="Y752" t="s">
        <v>82</v>
      </c>
      <c r="Z752" t="s">
        <v>82</v>
      </c>
    </row>
    <row r="753" spans="1:26" x14ac:dyDescent="0.25">
      <c r="A753" t="s">
        <v>2921</v>
      </c>
      <c r="B753" t="s">
        <v>2922</v>
      </c>
      <c r="C753" s="4" t="s">
        <v>2909</v>
      </c>
      <c r="D753" t="s">
        <v>2910</v>
      </c>
      <c r="E753" t="s">
        <v>14</v>
      </c>
      <c r="F753" t="s">
        <v>111</v>
      </c>
      <c r="G753" t="s">
        <v>124</v>
      </c>
      <c r="H753" t="s">
        <v>78</v>
      </c>
      <c r="I753" t="s">
        <v>102</v>
      </c>
      <c r="J753" t="s">
        <v>15</v>
      </c>
      <c r="K753" t="s">
        <v>799</v>
      </c>
      <c r="L753" t="s">
        <v>89</v>
      </c>
      <c r="M753" t="s">
        <v>318</v>
      </c>
      <c r="N753" t="s">
        <v>420</v>
      </c>
      <c r="O753" t="s">
        <v>2923</v>
      </c>
      <c r="P753" t="s">
        <v>2923</v>
      </c>
      <c r="Q753" t="s">
        <v>102</v>
      </c>
      <c r="R753" t="s">
        <v>86</v>
      </c>
      <c r="S753" t="s">
        <v>802</v>
      </c>
      <c r="T753" t="s">
        <v>2922</v>
      </c>
      <c r="U753" t="s">
        <v>322</v>
      </c>
      <c r="V753" t="s">
        <v>82</v>
      </c>
      <c r="W753" t="s">
        <v>718</v>
      </c>
      <c r="X753" t="s">
        <v>96</v>
      </c>
      <c r="Y753" t="s">
        <v>82</v>
      </c>
      <c r="Z753" t="s">
        <v>82</v>
      </c>
    </row>
    <row r="754" spans="1:26" x14ac:dyDescent="0.25">
      <c r="A754" t="s">
        <v>2924</v>
      </c>
      <c r="B754" t="s">
        <v>2925</v>
      </c>
      <c r="C754" s="4" t="s">
        <v>2909</v>
      </c>
      <c r="D754" t="s">
        <v>2910</v>
      </c>
      <c r="E754" t="s">
        <v>14</v>
      </c>
      <c r="F754" t="s">
        <v>128</v>
      </c>
      <c r="G754" t="s">
        <v>105</v>
      </c>
      <c r="H754" t="s">
        <v>78</v>
      </c>
      <c r="I754" t="s">
        <v>102</v>
      </c>
      <c r="J754" t="s">
        <v>15</v>
      </c>
      <c r="K754" t="s">
        <v>1236</v>
      </c>
      <c r="L754" t="s">
        <v>89</v>
      </c>
      <c r="M754" t="s">
        <v>318</v>
      </c>
      <c r="N754" t="s">
        <v>1237</v>
      </c>
      <c r="O754" t="s">
        <v>2926</v>
      </c>
      <c r="P754" t="s">
        <v>2926</v>
      </c>
      <c r="Q754" t="s">
        <v>102</v>
      </c>
      <c r="R754" t="s">
        <v>86</v>
      </c>
      <c r="S754" t="s">
        <v>532</v>
      </c>
      <c r="T754" t="s">
        <v>2925</v>
      </c>
      <c r="U754" t="s">
        <v>322</v>
      </c>
      <c r="V754" t="s">
        <v>82</v>
      </c>
      <c r="W754" t="s">
        <v>1239</v>
      </c>
      <c r="X754" t="s">
        <v>96</v>
      </c>
      <c r="Y754" t="s">
        <v>82</v>
      </c>
      <c r="Z754" t="s">
        <v>82</v>
      </c>
    </row>
    <row r="755" spans="1:26" x14ac:dyDescent="0.25">
      <c r="A755" t="s">
        <v>2927</v>
      </c>
      <c r="B755" t="s">
        <v>2928</v>
      </c>
      <c r="C755" s="4" t="s">
        <v>2909</v>
      </c>
      <c r="D755" t="s">
        <v>2910</v>
      </c>
      <c r="E755" t="s">
        <v>14</v>
      </c>
      <c r="F755" t="s">
        <v>128</v>
      </c>
      <c r="G755" t="s">
        <v>105</v>
      </c>
      <c r="H755" t="s">
        <v>78</v>
      </c>
      <c r="I755" t="s">
        <v>102</v>
      </c>
      <c r="J755" t="s">
        <v>18</v>
      </c>
      <c r="K755" t="s">
        <v>1236</v>
      </c>
      <c r="L755" t="s">
        <v>89</v>
      </c>
      <c r="M755" t="s">
        <v>318</v>
      </c>
      <c r="N755" t="s">
        <v>1237</v>
      </c>
      <c r="O755" t="s">
        <v>2929</v>
      </c>
      <c r="P755" t="s">
        <v>2929</v>
      </c>
      <c r="Q755" t="s">
        <v>102</v>
      </c>
      <c r="R755" t="s">
        <v>86</v>
      </c>
      <c r="S755" t="s">
        <v>532</v>
      </c>
      <c r="T755" t="s">
        <v>2928</v>
      </c>
      <c r="U755" t="s">
        <v>322</v>
      </c>
      <c r="V755" t="s">
        <v>82</v>
      </c>
      <c r="W755" t="s">
        <v>1239</v>
      </c>
      <c r="X755" t="s">
        <v>96</v>
      </c>
      <c r="Y755" t="s">
        <v>82</v>
      </c>
      <c r="Z755" t="s">
        <v>82</v>
      </c>
    </row>
    <row r="756" spans="1:26" x14ac:dyDescent="0.25">
      <c r="A756" t="s">
        <v>2930</v>
      </c>
      <c r="B756" t="s">
        <v>2931</v>
      </c>
      <c r="C756" s="4" t="s">
        <v>2909</v>
      </c>
      <c r="D756" t="s">
        <v>2910</v>
      </c>
      <c r="E756" t="s">
        <v>14</v>
      </c>
      <c r="F756" t="s">
        <v>128</v>
      </c>
      <c r="G756" t="s">
        <v>105</v>
      </c>
      <c r="H756" t="s">
        <v>78</v>
      </c>
      <c r="I756" t="s">
        <v>102</v>
      </c>
      <c r="J756" t="s">
        <v>17</v>
      </c>
      <c r="K756" t="s">
        <v>1236</v>
      </c>
      <c r="L756" t="s">
        <v>89</v>
      </c>
      <c r="M756" t="s">
        <v>318</v>
      </c>
      <c r="N756" t="s">
        <v>1237</v>
      </c>
      <c r="O756" t="s">
        <v>2929</v>
      </c>
      <c r="P756" t="s">
        <v>2929</v>
      </c>
      <c r="Q756" t="s">
        <v>102</v>
      </c>
      <c r="R756" t="s">
        <v>86</v>
      </c>
      <c r="S756" t="s">
        <v>532</v>
      </c>
      <c r="T756" t="s">
        <v>2931</v>
      </c>
      <c r="U756" t="s">
        <v>322</v>
      </c>
      <c r="V756" t="s">
        <v>82</v>
      </c>
      <c r="W756" t="s">
        <v>1239</v>
      </c>
      <c r="X756" t="s">
        <v>96</v>
      </c>
      <c r="Y756" t="s">
        <v>82</v>
      </c>
      <c r="Z756" t="s">
        <v>82</v>
      </c>
    </row>
    <row r="757" spans="1:26" x14ac:dyDescent="0.25">
      <c r="A757" t="s">
        <v>2932</v>
      </c>
      <c r="B757" t="s">
        <v>2933</v>
      </c>
      <c r="C757" s="4" t="s">
        <v>2909</v>
      </c>
      <c r="D757" t="s">
        <v>2910</v>
      </c>
      <c r="E757" t="s">
        <v>14</v>
      </c>
      <c r="F757" t="s">
        <v>143</v>
      </c>
      <c r="G757" t="s">
        <v>106</v>
      </c>
      <c r="H757" t="s">
        <v>78</v>
      </c>
      <c r="I757" t="s">
        <v>102</v>
      </c>
      <c r="J757" t="s">
        <v>17</v>
      </c>
      <c r="K757" t="s">
        <v>1250</v>
      </c>
      <c r="L757" t="s">
        <v>89</v>
      </c>
      <c r="M757" t="s">
        <v>318</v>
      </c>
      <c r="N757" t="s">
        <v>1251</v>
      </c>
      <c r="O757" t="s">
        <v>2934</v>
      </c>
      <c r="P757" t="s">
        <v>2934</v>
      </c>
      <c r="Q757" t="s">
        <v>102</v>
      </c>
      <c r="R757" t="s">
        <v>86</v>
      </c>
      <c r="S757" t="s">
        <v>88</v>
      </c>
      <c r="T757" t="s">
        <v>2933</v>
      </c>
      <c r="U757" t="s">
        <v>322</v>
      </c>
      <c r="V757" t="s">
        <v>82</v>
      </c>
      <c r="W757" t="s">
        <v>1253</v>
      </c>
      <c r="X757" t="s">
        <v>96</v>
      </c>
      <c r="Y757" t="s">
        <v>82</v>
      </c>
      <c r="Z757" t="s">
        <v>82</v>
      </c>
    </row>
    <row r="758" spans="1:26" x14ac:dyDescent="0.25">
      <c r="A758" t="s">
        <v>2935</v>
      </c>
      <c r="B758" t="s">
        <v>2936</v>
      </c>
      <c r="C758" s="4" t="s">
        <v>2909</v>
      </c>
      <c r="D758" t="s">
        <v>2910</v>
      </c>
      <c r="E758" t="s">
        <v>14</v>
      </c>
      <c r="F758" t="s">
        <v>143</v>
      </c>
      <c r="G758" t="s">
        <v>106</v>
      </c>
      <c r="H758" t="s">
        <v>78</v>
      </c>
      <c r="I758" t="s">
        <v>102</v>
      </c>
      <c r="J758" t="s">
        <v>18</v>
      </c>
      <c r="K758" t="s">
        <v>1250</v>
      </c>
      <c r="L758" t="s">
        <v>89</v>
      </c>
      <c r="M758" t="s">
        <v>318</v>
      </c>
      <c r="N758" t="s">
        <v>1251</v>
      </c>
      <c r="O758" t="s">
        <v>2934</v>
      </c>
      <c r="P758" t="s">
        <v>2934</v>
      </c>
      <c r="Q758" t="s">
        <v>102</v>
      </c>
      <c r="R758" t="s">
        <v>86</v>
      </c>
      <c r="S758" t="s">
        <v>88</v>
      </c>
      <c r="T758" t="s">
        <v>2936</v>
      </c>
      <c r="U758" t="s">
        <v>322</v>
      </c>
      <c r="V758" t="s">
        <v>82</v>
      </c>
      <c r="W758" t="s">
        <v>1253</v>
      </c>
      <c r="X758" t="s">
        <v>96</v>
      </c>
      <c r="Y758" t="s">
        <v>82</v>
      </c>
      <c r="Z758" t="s">
        <v>82</v>
      </c>
    </row>
    <row r="759" spans="1:26" x14ac:dyDescent="0.25">
      <c r="A759" t="s">
        <v>2937</v>
      </c>
      <c r="B759" t="s">
        <v>2938</v>
      </c>
      <c r="C759" s="4" t="s">
        <v>2909</v>
      </c>
      <c r="D759" t="s">
        <v>2910</v>
      </c>
      <c r="E759" t="s">
        <v>14</v>
      </c>
      <c r="F759" t="s">
        <v>143</v>
      </c>
      <c r="G759" t="s">
        <v>106</v>
      </c>
      <c r="H759" t="s">
        <v>78</v>
      </c>
      <c r="I759" t="s">
        <v>102</v>
      </c>
      <c r="J759" t="s">
        <v>15</v>
      </c>
      <c r="K759" t="s">
        <v>1250</v>
      </c>
      <c r="L759" t="s">
        <v>89</v>
      </c>
      <c r="M759" t="s">
        <v>318</v>
      </c>
      <c r="N759" t="s">
        <v>1251</v>
      </c>
      <c r="O759" t="s">
        <v>2934</v>
      </c>
      <c r="P759" t="s">
        <v>2934</v>
      </c>
      <c r="Q759" t="s">
        <v>102</v>
      </c>
      <c r="R759" t="s">
        <v>86</v>
      </c>
      <c r="S759" t="s">
        <v>88</v>
      </c>
      <c r="T759" t="s">
        <v>2938</v>
      </c>
      <c r="U759" t="s">
        <v>322</v>
      </c>
      <c r="V759" t="s">
        <v>82</v>
      </c>
      <c r="W759" t="s">
        <v>1253</v>
      </c>
      <c r="X759" t="s">
        <v>96</v>
      </c>
      <c r="Y759" t="s">
        <v>82</v>
      </c>
      <c r="Z759" t="s">
        <v>82</v>
      </c>
    </row>
    <row r="760" spans="1:26" x14ac:dyDescent="0.25">
      <c r="A760" t="s">
        <v>2939</v>
      </c>
      <c r="B760" t="s">
        <v>2940</v>
      </c>
      <c r="C760" s="4" t="s">
        <v>566</v>
      </c>
      <c r="D760" t="s">
        <v>2941</v>
      </c>
      <c r="E760" t="s">
        <v>14</v>
      </c>
      <c r="F760" t="s">
        <v>85</v>
      </c>
      <c r="G760" t="s">
        <v>111</v>
      </c>
      <c r="H760" t="s">
        <v>78</v>
      </c>
      <c r="I760" t="s">
        <v>102</v>
      </c>
      <c r="J760" t="s">
        <v>1002</v>
      </c>
      <c r="K760" t="s">
        <v>820</v>
      </c>
      <c r="L760" t="s">
        <v>89</v>
      </c>
      <c r="M760" t="s">
        <v>318</v>
      </c>
      <c r="N760" t="s">
        <v>1047</v>
      </c>
      <c r="O760" t="s">
        <v>2942</v>
      </c>
      <c r="P760" t="s">
        <v>2943</v>
      </c>
      <c r="Q760" t="s">
        <v>102</v>
      </c>
      <c r="R760" t="s">
        <v>78</v>
      </c>
      <c r="S760" t="s">
        <v>2944</v>
      </c>
      <c r="T760" t="s">
        <v>2940</v>
      </c>
      <c r="U760" t="s">
        <v>322</v>
      </c>
      <c r="V760" t="s">
        <v>82</v>
      </c>
      <c r="W760" t="s">
        <v>2400</v>
      </c>
      <c r="X760" t="s">
        <v>96</v>
      </c>
      <c r="Y760" t="s">
        <v>82</v>
      </c>
      <c r="Z760" t="s">
        <v>82</v>
      </c>
    </row>
    <row r="761" spans="1:26" x14ac:dyDescent="0.25">
      <c r="A761" t="s">
        <v>2945</v>
      </c>
      <c r="B761" t="s">
        <v>2946</v>
      </c>
      <c r="C761" s="4" t="s">
        <v>566</v>
      </c>
      <c r="D761" t="s">
        <v>2941</v>
      </c>
      <c r="E761" t="s">
        <v>14</v>
      </c>
      <c r="F761" t="s">
        <v>85</v>
      </c>
      <c r="G761" t="s">
        <v>111</v>
      </c>
      <c r="H761" t="s">
        <v>78</v>
      </c>
      <c r="I761" t="s">
        <v>102</v>
      </c>
      <c r="J761" t="s">
        <v>29</v>
      </c>
      <c r="K761" t="s">
        <v>820</v>
      </c>
      <c r="L761" t="s">
        <v>89</v>
      </c>
      <c r="M761" t="s">
        <v>318</v>
      </c>
      <c r="N761" t="s">
        <v>1047</v>
      </c>
      <c r="O761" t="s">
        <v>2942</v>
      </c>
      <c r="P761" t="s">
        <v>2947</v>
      </c>
      <c r="Q761" t="s">
        <v>102</v>
      </c>
      <c r="R761" t="s">
        <v>78</v>
      </c>
      <c r="S761" t="s">
        <v>2944</v>
      </c>
      <c r="T761" t="s">
        <v>2946</v>
      </c>
      <c r="U761" t="s">
        <v>322</v>
      </c>
      <c r="V761" t="s">
        <v>82</v>
      </c>
      <c r="W761" t="s">
        <v>2400</v>
      </c>
      <c r="X761" t="s">
        <v>96</v>
      </c>
      <c r="Y761" t="s">
        <v>82</v>
      </c>
      <c r="Z761" t="s">
        <v>82</v>
      </c>
    </row>
    <row r="762" spans="1:26" x14ac:dyDescent="0.25">
      <c r="A762" t="s">
        <v>2948</v>
      </c>
      <c r="B762" t="s">
        <v>2949</v>
      </c>
      <c r="C762" s="4" t="s">
        <v>566</v>
      </c>
      <c r="D762" t="s">
        <v>2941</v>
      </c>
      <c r="E762" t="s">
        <v>14</v>
      </c>
      <c r="F762" t="s">
        <v>85</v>
      </c>
      <c r="G762" t="s">
        <v>111</v>
      </c>
      <c r="H762" t="s">
        <v>78</v>
      </c>
      <c r="I762" t="s">
        <v>102</v>
      </c>
      <c r="J762" t="s">
        <v>1053</v>
      </c>
      <c r="K762" t="s">
        <v>820</v>
      </c>
      <c r="L762" t="s">
        <v>89</v>
      </c>
      <c r="M762" t="s">
        <v>318</v>
      </c>
      <c r="N762" t="s">
        <v>1047</v>
      </c>
      <c r="O762" t="s">
        <v>2950</v>
      </c>
      <c r="P762" t="s">
        <v>2950</v>
      </c>
      <c r="Q762" t="s">
        <v>102</v>
      </c>
      <c r="R762" t="s">
        <v>78</v>
      </c>
      <c r="S762" t="s">
        <v>2944</v>
      </c>
      <c r="T762" t="s">
        <v>2949</v>
      </c>
      <c r="U762" t="s">
        <v>322</v>
      </c>
      <c r="V762" t="s">
        <v>82</v>
      </c>
      <c r="W762" t="s">
        <v>2400</v>
      </c>
      <c r="X762" t="s">
        <v>96</v>
      </c>
      <c r="Y762" t="s">
        <v>82</v>
      </c>
      <c r="Z762" t="s">
        <v>82</v>
      </c>
    </row>
    <row r="763" spans="1:26" x14ac:dyDescent="0.25">
      <c r="A763" t="s">
        <v>2951</v>
      </c>
      <c r="B763" t="s">
        <v>2952</v>
      </c>
      <c r="C763" s="4" t="s">
        <v>566</v>
      </c>
      <c r="D763" t="s">
        <v>2941</v>
      </c>
      <c r="E763" t="s">
        <v>14</v>
      </c>
      <c r="F763" t="s">
        <v>85</v>
      </c>
      <c r="G763" t="s">
        <v>111</v>
      </c>
      <c r="H763" t="s">
        <v>78</v>
      </c>
      <c r="I763" t="s">
        <v>102</v>
      </c>
      <c r="J763" t="s">
        <v>87</v>
      </c>
      <c r="K763" t="s">
        <v>820</v>
      </c>
      <c r="L763" t="s">
        <v>89</v>
      </c>
      <c r="M763" t="s">
        <v>318</v>
      </c>
      <c r="N763" t="s">
        <v>1047</v>
      </c>
      <c r="O763" t="s">
        <v>2950</v>
      </c>
      <c r="P763" t="s">
        <v>2950</v>
      </c>
      <c r="Q763" t="s">
        <v>102</v>
      </c>
      <c r="R763" t="s">
        <v>78</v>
      </c>
      <c r="S763" t="s">
        <v>2944</v>
      </c>
      <c r="T763" t="s">
        <v>2952</v>
      </c>
      <c r="U763" t="s">
        <v>322</v>
      </c>
      <c r="V763" t="s">
        <v>82</v>
      </c>
      <c r="W763" t="s">
        <v>2400</v>
      </c>
      <c r="X763" t="s">
        <v>96</v>
      </c>
      <c r="Y763" t="s">
        <v>82</v>
      </c>
      <c r="Z763" t="s">
        <v>82</v>
      </c>
    </row>
    <row r="764" spans="1:26" x14ac:dyDescent="0.25">
      <c r="A764" t="s">
        <v>2953</v>
      </c>
      <c r="B764" t="s">
        <v>2954</v>
      </c>
      <c r="C764" s="4" t="s">
        <v>560</v>
      </c>
      <c r="D764" t="s">
        <v>2941</v>
      </c>
      <c r="E764" t="s">
        <v>14</v>
      </c>
      <c r="F764" t="s">
        <v>85</v>
      </c>
      <c r="G764" t="s">
        <v>102</v>
      </c>
      <c r="H764" t="s">
        <v>78</v>
      </c>
      <c r="I764" t="s">
        <v>86</v>
      </c>
      <c r="J764" t="s">
        <v>87</v>
      </c>
      <c r="K764" t="s">
        <v>820</v>
      </c>
      <c r="L764" t="s">
        <v>89</v>
      </c>
      <c r="M764" t="s">
        <v>318</v>
      </c>
      <c r="N764" t="s">
        <v>1047</v>
      </c>
      <c r="O764" t="s">
        <v>2955</v>
      </c>
      <c r="P764" t="s">
        <v>2956</v>
      </c>
      <c r="Q764" t="s">
        <v>102</v>
      </c>
      <c r="R764" t="s">
        <v>78</v>
      </c>
      <c r="S764" t="s">
        <v>2061</v>
      </c>
      <c r="T764" t="s">
        <v>2954</v>
      </c>
      <c r="U764" t="s">
        <v>322</v>
      </c>
      <c r="V764" t="s">
        <v>82</v>
      </c>
      <c r="W764" t="s">
        <v>2400</v>
      </c>
      <c r="X764" t="s">
        <v>96</v>
      </c>
      <c r="Y764" t="s">
        <v>82</v>
      </c>
      <c r="Z764" t="s">
        <v>82</v>
      </c>
    </row>
    <row r="765" spans="1:26" x14ac:dyDescent="0.25">
      <c r="A765" t="s">
        <v>2957</v>
      </c>
      <c r="B765" t="s">
        <v>2958</v>
      </c>
      <c r="C765" s="4" t="s">
        <v>560</v>
      </c>
      <c r="D765" t="s">
        <v>2941</v>
      </c>
      <c r="E765" t="s">
        <v>14</v>
      </c>
      <c r="F765" t="s">
        <v>85</v>
      </c>
      <c r="G765" t="s">
        <v>102</v>
      </c>
      <c r="H765" t="s">
        <v>78</v>
      </c>
      <c r="I765" t="s">
        <v>86</v>
      </c>
      <c r="J765" t="s">
        <v>37</v>
      </c>
      <c r="K765" t="s">
        <v>820</v>
      </c>
      <c r="L765" t="s">
        <v>89</v>
      </c>
      <c r="M765" t="s">
        <v>318</v>
      </c>
      <c r="N765" t="s">
        <v>1047</v>
      </c>
      <c r="O765" t="s">
        <v>2955</v>
      </c>
      <c r="P765" t="s">
        <v>2959</v>
      </c>
      <c r="Q765" t="s">
        <v>102</v>
      </c>
      <c r="R765" t="s">
        <v>78</v>
      </c>
      <c r="S765" t="s">
        <v>2061</v>
      </c>
      <c r="T765" t="s">
        <v>2958</v>
      </c>
      <c r="U765" t="s">
        <v>322</v>
      </c>
      <c r="V765" t="s">
        <v>82</v>
      </c>
      <c r="W765" t="s">
        <v>2400</v>
      </c>
      <c r="X765" t="s">
        <v>96</v>
      </c>
      <c r="Y765" t="s">
        <v>82</v>
      </c>
      <c r="Z765" t="s">
        <v>82</v>
      </c>
    </row>
    <row r="766" spans="1:26" x14ac:dyDescent="0.25">
      <c r="A766" t="s">
        <v>2960</v>
      </c>
      <c r="B766" t="s">
        <v>2961</v>
      </c>
      <c r="C766" s="4" t="s">
        <v>560</v>
      </c>
      <c r="D766" t="s">
        <v>2941</v>
      </c>
      <c r="E766" t="s">
        <v>14</v>
      </c>
      <c r="F766" t="s">
        <v>85</v>
      </c>
      <c r="G766" t="s">
        <v>102</v>
      </c>
      <c r="H766" t="s">
        <v>78</v>
      </c>
      <c r="I766" t="s">
        <v>86</v>
      </c>
      <c r="J766" t="s">
        <v>32</v>
      </c>
      <c r="K766" t="s">
        <v>820</v>
      </c>
      <c r="L766" t="s">
        <v>89</v>
      </c>
      <c r="M766" t="s">
        <v>318</v>
      </c>
      <c r="N766" t="s">
        <v>1047</v>
      </c>
      <c r="O766" t="s">
        <v>2962</v>
      </c>
      <c r="P766" t="s">
        <v>2963</v>
      </c>
      <c r="Q766" t="s">
        <v>102</v>
      </c>
      <c r="R766" t="s">
        <v>78</v>
      </c>
      <c r="S766" t="s">
        <v>2061</v>
      </c>
      <c r="T766" t="s">
        <v>2961</v>
      </c>
      <c r="U766" t="s">
        <v>322</v>
      </c>
      <c r="V766" t="s">
        <v>82</v>
      </c>
      <c r="W766" t="s">
        <v>2400</v>
      </c>
      <c r="X766" t="s">
        <v>96</v>
      </c>
      <c r="Y766" t="s">
        <v>82</v>
      </c>
      <c r="Z766" t="s">
        <v>82</v>
      </c>
    </row>
    <row r="767" spans="1:26" x14ac:dyDescent="0.25">
      <c r="A767" t="s">
        <v>2964</v>
      </c>
      <c r="B767" t="s">
        <v>2965</v>
      </c>
      <c r="C767" s="4" t="s">
        <v>560</v>
      </c>
      <c r="D767" t="s">
        <v>2941</v>
      </c>
      <c r="E767" t="s">
        <v>14</v>
      </c>
      <c r="F767" t="s">
        <v>85</v>
      </c>
      <c r="G767" t="s">
        <v>102</v>
      </c>
      <c r="H767" t="s">
        <v>78</v>
      </c>
      <c r="I767" t="s">
        <v>86</v>
      </c>
      <c r="J767" t="s">
        <v>1002</v>
      </c>
      <c r="K767" t="s">
        <v>820</v>
      </c>
      <c r="L767" t="s">
        <v>89</v>
      </c>
      <c r="M767" t="s">
        <v>318</v>
      </c>
      <c r="N767" t="s">
        <v>1047</v>
      </c>
      <c r="O767" t="s">
        <v>2962</v>
      </c>
      <c r="P767" t="s">
        <v>2966</v>
      </c>
      <c r="Q767" t="s">
        <v>102</v>
      </c>
      <c r="R767" t="s">
        <v>78</v>
      </c>
      <c r="S767" t="s">
        <v>2061</v>
      </c>
      <c r="T767" t="s">
        <v>2965</v>
      </c>
      <c r="U767" t="s">
        <v>322</v>
      </c>
      <c r="V767" t="s">
        <v>82</v>
      </c>
      <c r="W767" t="s">
        <v>2400</v>
      </c>
      <c r="X767" t="s">
        <v>96</v>
      </c>
      <c r="Y767" t="s">
        <v>82</v>
      </c>
      <c r="Z767" t="s">
        <v>82</v>
      </c>
    </row>
    <row r="768" spans="1:26" x14ac:dyDescent="0.25">
      <c r="A768" t="s">
        <v>2967</v>
      </c>
      <c r="B768" t="s">
        <v>2968</v>
      </c>
      <c r="C768" s="4" t="s">
        <v>557</v>
      </c>
      <c r="D768" t="s">
        <v>2941</v>
      </c>
      <c r="E768" t="s">
        <v>14</v>
      </c>
      <c r="F768" t="s">
        <v>85</v>
      </c>
      <c r="G768" t="s">
        <v>111</v>
      </c>
      <c r="H768" t="s">
        <v>78</v>
      </c>
      <c r="I768" t="s">
        <v>102</v>
      </c>
      <c r="J768" t="s">
        <v>1002</v>
      </c>
      <c r="K768" t="s">
        <v>820</v>
      </c>
      <c r="L768" t="s">
        <v>89</v>
      </c>
      <c r="M768" t="s">
        <v>318</v>
      </c>
      <c r="N768" t="s">
        <v>1047</v>
      </c>
      <c r="O768" t="s">
        <v>2969</v>
      </c>
      <c r="P768" t="s">
        <v>2969</v>
      </c>
      <c r="Q768" t="s">
        <v>102</v>
      </c>
      <c r="R768" t="s">
        <v>78</v>
      </c>
      <c r="S768" t="s">
        <v>2944</v>
      </c>
      <c r="T768" t="s">
        <v>2968</v>
      </c>
      <c r="U768" t="s">
        <v>322</v>
      </c>
      <c r="V768" t="s">
        <v>82</v>
      </c>
      <c r="W768" t="s">
        <v>2400</v>
      </c>
      <c r="X768" t="s">
        <v>96</v>
      </c>
      <c r="Y768" t="s">
        <v>82</v>
      </c>
      <c r="Z768" t="s">
        <v>82</v>
      </c>
    </row>
    <row r="769" spans="1:26" x14ac:dyDescent="0.25">
      <c r="A769" t="s">
        <v>2970</v>
      </c>
      <c r="B769" t="s">
        <v>2971</v>
      </c>
      <c r="C769" s="4" t="s">
        <v>557</v>
      </c>
      <c r="D769" t="s">
        <v>2941</v>
      </c>
      <c r="E769" t="s">
        <v>14</v>
      </c>
      <c r="F769" t="s">
        <v>85</v>
      </c>
      <c r="G769" t="s">
        <v>111</v>
      </c>
      <c r="H769" t="s">
        <v>78</v>
      </c>
      <c r="I769" t="s">
        <v>102</v>
      </c>
      <c r="J769" t="s">
        <v>29</v>
      </c>
      <c r="K769" t="s">
        <v>820</v>
      </c>
      <c r="L769" t="s">
        <v>89</v>
      </c>
      <c r="M769" t="s">
        <v>318</v>
      </c>
      <c r="N769" t="s">
        <v>1047</v>
      </c>
      <c r="O769" t="s">
        <v>2969</v>
      </c>
      <c r="P769" t="s">
        <v>2969</v>
      </c>
      <c r="Q769" t="s">
        <v>102</v>
      </c>
      <c r="R769" t="s">
        <v>78</v>
      </c>
      <c r="S769" t="s">
        <v>2944</v>
      </c>
      <c r="T769" t="s">
        <v>2971</v>
      </c>
      <c r="U769" t="s">
        <v>322</v>
      </c>
      <c r="V769" t="s">
        <v>82</v>
      </c>
      <c r="W769" t="s">
        <v>2400</v>
      </c>
      <c r="X769" t="s">
        <v>96</v>
      </c>
      <c r="Y769" t="s">
        <v>82</v>
      </c>
      <c r="Z769" t="s">
        <v>82</v>
      </c>
    </row>
    <row r="770" spans="1:26" x14ac:dyDescent="0.25">
      <c r="A770" t="s">
        <v>2972</v>
      </c>
      <c r="B770" t="s">
        <v>2973</v>
      </c>
      <c r="C770" s="4" t="s">
        <v>557</v>
      </c>
      <c r="D770" t="s">
        <v>2941</v>
      </c>
      <c r="E770" t="s">
        <v>14</v>
      </c>
      <c r="F770" t="s">
        <v>85</v>
      </c>
      <c r="G770" t="s">
        <v>111</v>
      </c>
      <c r="H770" t="s">
        <v>78</v>
      </c>
      <c r="I770" t="s">
        <v>102</v>
      </c>
      <c r="J770" t="s">
        <v>87</v>
      </c>
      <c r="K770" t="s">
        <v>820</v>
      </c>
      <c r="L770" t="s">
        <v>89</v>
      </c>
      <c r="M770" t="s">
        <v>318</v>
      </c>
      <c r="N770" t="s">
        <v>1047</v>
      </c>
      <c r="O770" t="s">
        <v>2969</v>
      </c>
      <c r="P770" t="s">
        <v>2969</v>
      </c>
      <c r="Q770" t="s">
        <v>102</v>
      </c>
      <c r="R770" t="s">
        <v>78</v>
      </c>
      <c r="S770" t="s">
        <v>2944</v>
      </c>
      <c r="T770" t="s">
        <v>2973</v>
      </c>
      <c r="U770" t="s">
        <v>322</v>
      </c>
      <c r="V770" t="s">
        <v>82</v>
      </c>
      <c r="W770" t="s">
        <v>2400</v>
      </c>
      <c r="X770" t="s">
        <v>96</v>
      </c>
      <c r="Y770" t="s">
        <v>82</v>
      </c>
      <c r="Z770" t="s">
        <v>82</v>
      </c>
    </row>
    <row r="771" spans="1:26" x14ac:dyDescent="0.25">
      <c r="A771" t="s">
        <v>2974</v>
      </c>
      <c r="B771" t="s">
        <v>2975</v>
      </c>
      <c r="C771" s="4" t="s">
        <v>557</v>
      </c>
      <c r="D771" t="s">
        <v>2941</v>
      </c>
      <c r="E771" t="s">
        <v>14</v>
      </c>
      <c r="F771" t="s">
        <v>85</v>
      </c>
      <c r="G771" t="s">
        <v>111</v>
      </c>
      <c r="H771" t="s">
        <v>78</v>
      </c>
      <c r="I771" t="s">
        <v>102</v>
      </c>
      <c r="J771" t="s">
        <v>32</v>
      </c>
      <c r="K771" t="s">
        <v>820</v>
      </c>
      <c r="L771" t="s">
        <v>89</v>
      </c>
      <c r="M771" t="s">
        <v>318</v>
      </c>
      <c r="N771" t="s">
        <v>1047</v>
      </c>
      <c r="O771" t="s">
        <v>2969</v>
      </c>
      <c r="P771" t="s">
        <v>2969</v>
      </c>
      <c r="Q771" t="s">
        <v>102</v>
      </c>
      <c r="R771" t="s">
        <v>78</v>
      </c>
      <c r="S771" t="s">
        <v>2944</v>
      </c>
      <c r="T771" t="s">
        <v>2975</v>
      </c>
      <c r="U771" t="s">
        <v>322</v>
      </c>
      <c r="V771" t="s">
        <v>82</v>
      </c>
      <c r="W771" t="s">
        <v>2400</v>
      </c>
      <c r="X771" t="s">
        <v>96</v>
      </c>
      <c r="Y771" t="s">
        <v>82</v>
      </c>
      <c r="Z771" t="s">
        <v>82</v>
      </c>
    </row>
    <row r="772" spans="1:26" x14ac:dyDescent="0.25">
      <c r="A772" t="s">
        <v>2976</v>
      </c>
      <c r="B772" t="s">
        <v>2977</v>
      </c>
      <c r="C772" s="4" t="s">
        <v>563</v>
      </c>
      <c r="D772" t="s">
        <v>2941</v>
      </c>
      <c r="E772" t="s">
        <v>14</v>
      </c>
      <c r="F772" t="s">
        <v>85</v>
      </c>
      <c r="G772" t="s">
        <v>111</v>
      </c>
      <c r="H772" t="s">
        <v>78</v>
      </c>
      <c r="I772" t="s">
        <v>102</v>
      </c>
      <c r="J772" t="s">
        <v>32</v>
      </c>
      <c r="K772" t="s">
        <v>820</v>
      </c>
      <c r="L772" t="s">
        <v>89</v>
      </c>
      <c r="M772" t="s">
        <v>318</v>
      </c>
      <c r="N772" t="s">
        <v>1047</v>
      </c>
      <c r="O772" t="s">
        <v>2978</v>
      </c>
      <c r="P772" t="s">
        <v>2978</v>
      </c>
      <c r="Q772" t="s">
        <v>102</v>
      </c>
      <c r="R772" t="s">
        <v>78</v>
      </c>
      <c r="S772" t="s">
        <v>2944</v>
      </c>
      <c r="T772" t="s">
        <v>2977</v>
      </c>
      <c r="U772" t="s">
        <v>322</v>
      </c>
      <c r="V772" t="s">
        <v>82</v>
      </c>
      <c r="W772" t="s">
        <v>2400</v>
      </c>
      <c r="X772" t="s">
        <v>96</v>
      </c>
      <c r="Y772" t="s">
        <v>82</v>
      </c>
      <c r="Z772" t="s">
        <v>82</v>
      </c>
    </row>
    <row r="773" spans="1:26" x14ac:dyDescent="0.25">
      <c r="A773" t="s">
        <v>2979</v>
      </c>
      <c r="B773" t="s">
        <v>2980</v>
      </c>
      <c r="C773" s="4" t="s">
        <v>563</v>
      </c>
      <c r="D773" t="s">
        <v>2941</v>
      </c>
      <c r="E773" t="s">
        <v>14</v>
      </c>
      <c r="F773" t="s">
        <v>85</v>
      </c>
      <c r="G773" t="s">
        <v>111</v>
      </c>
      <c r="H773" t="s">
        <v>78</v>
      </c>
      <c r="I773" t="s">
        <v>102</v>
      </c>
      <c r="J773" t="s">
        <v>87</v>
      </c>
      <c r="K773" t="s">
        <v>820</v>
      </c>
      <c r="L773" t="s">
        <v>89</v>
      </c>
      <c r="M773" t="s">
        <v>318</v>
      </c>
      <c r="N773" t="s">
        <v>1047</v>
      </c>
      <c r="O773" t="s">
        <v>2981</v>
      </c>
      <c r="P773" t="s">
        <v>2981</v>
      </c>
      <c r="Q773" t="s">
        <v>102</v>
      </c>
      <c r="R773" t="s">
        <v>78</v>
      </c>
      <c r="S773" t="s">
        <v>2944</v>
      </c>
      <c r="T773" t="s">
        <v>2980</v>
      </c>
      <c r="U773" t="s">
        <v>322</v>
      </c>
      <c r="V773" t="s">
        <v>82</v>
      </c>
      <c r="W773" t="s">
        <v>2400</v>
      </c>
      <c r="X773" t="s">
        <v>96</v>
      </c>
      <c r="Y773" t="s">
        <v>82</v>
      </c>
      <c r="Z773" t="s">
        <v>82</v>
      </c>
    </row>
    <row r="774" spans="1:26" x14ac:dyDescent="0.25">
      <c r="A774" t="s">
        <v>1507</v>
      </c>
      <c r="B774" t="s">
        <v>2982</v>
      </c>
      <c r="C774" s="4" t="s">
        <v>563</v>
      </c>
      <c r="D774" t="s">
        <v>2941</v>
      </c>
      <c r="E774" t="s">
        <v>14</v>
      </c>
      <c r="F774" t="s">
        <v>85</v>
      </c>
      <c r="G774" t="s">
        <v>111</v>
      </c>
      <c r="H774" t="s">
        <v>78</v>
      </c>
      <c r="I774" t="s">
        <v>102</v>
      </c>
      <c r="J774" t="s">
        <v>2983</v>
      </c>
      <c r="K774" t="s">
        <v>820</v>
      </c>
      <c r="L774" t="s">
        <v>89</v>
      </c>
      <c r="M774" t="s">
        <v>318</v>
      </c>
      <c r="N774" t="s">
        <v>1047</v>
      </c>
      <c r="O774" t="s">
        <v>2981</v>
      </c>
      <c r="P774" t="s">
        <v>2981</v>
      </c>
      <c r="Q774" t="s">
        <v>102</v>
      </c>
      <c r="R774" t="s">
        <v>78</v>
      </c>
      <c r="S774" t="s">
        <v>2944</v>
      </c>
      <c r="T774" t="s">
        <v>2982</v>
      </c>
      <c r="U774" t="s">
        <v>322</v>
      </c>
      <c r="V774" t="s">
        <v>82</v>
      </c>
      <c r="W774" t="s">
        <v>2400</v>
      </c>
      <c r="X774" t="s">
        <v>96</v>
      </c>
      <c r="Y774" t="s">
        <v>82</v>
      </c>
      <c r="Z774" t="s">
        <v>82</v>
      </c>
    </row>
    <row r="775" spans="1:26" x14ac:dyDescent="0.25">
      <c r="A775" t="s">
        <v>2984</v>
      </c>
      <c r="B775" t="s">
        <v>2985</v>
      </c>
      <c r="C775" s="4" t="s">
        <v>574</v>
      </c>
      <c r="D775" t="s">
        <v>2941</v>
      </c>
      <c r="E775" t="s">
        <v>14</v>
      </c>
      <c r="F775" t="s">
        <v>85</v>
      </c>
      <c r="G775" t="s">
        <v>111</v>
      </c>
      <c r="H775" t="s">
        <v>78</v>
      </c>
      <c r="I775" t="s">
        <v>102</v>
      </c>
      <c r="J775" t="s">
        <v>32</v>
      </c>
      <c r="K775" t="s">
        <v>820</v>
      </c>
      <c r="L775" t="s">
        <v>89</v>
      </c>
      <c r="M775" t="s">
        <v>318</v>
      </c>
      <c r="N775" t="s">
        <v>1047</v>
      </c>
      <c r="O775" t="s">
        <v>2986</v>
      </c>
      <c r="P775" t="s">
        <v>2986</v>
      </c>
      <c r="Q775" t="s">
        <v>102</v>
      </c>
      <c r="R775" t="s">
        <v>78</v>
      </c>
      <c r="S775" t="s">
        <v>2944</v>
      </c>
      <c r="T775" t="s">
        <v>2985</v>
      </c>
      <c r="U775" t="s">
        <v>322</v>
      </c>
      <c r="V775" t="s">
        <v>82</v>
      </c>
      <c r="W775" t="s">
        <v>2400</v>
      </c>
      <c r="X775" t="s">
        <v>96</v>
      </c>
      <c r="Y775" t="s">
        <v>82</v>
      </c>
      <c r="Z775" t="s">
        <v>82</v>
      </c>
    </row>
    <row r="776" spans="1:26" x14ac:dyDescent="0.25">
      <c r="A776" t="s">
        <v>2987</v>
      </c>
      <c r="B776" t="s">
        <v>2988</v>
      </c>
      <c r="C776" s="4" t="s">
        <v>574</v>
      </c>
      <c r="D776" t="s">
        <v>2941</v>
      </c>
      <c r="E776" t="s">
        <v>14</v>
      </c>
      <c r="F776" t="s">
        <v>85</v>
      </c>
      <c r="G776" t="s">
        <v>111</v>
      </c>
      <c r="H776" t="s">
        <v>78</v>
      </c>
      <c r="I776" t="s">
        <v>102</v>
      </c>
      <c r="J776" t="s">
        <v>130</v>
      </c>
      <c r="K776" t="s">
        <v>820</v>
      </c>
      <c r="L776" t="s">
        <v>89</v>
      </c>
      <c r="M776" t="s">
        <v>318</v>
      </c>
      <c r="N776" t="s">
        <v>1047</v>
      </c>
      <c r="O776" t="s">
        <v>2986</v>
      </c>
      <c r="P776" t="s">
        <v>2986</v>
      </c>
      <c r="Q776" t="s">
        <v>102</v>
      </c>
      <c r="R776" t="s">
        <v>78</v>
      </c>
      <c r="S776" t="s">
        <v>2944</v>
      </c>
      <c r="T776" t="s">
        <v>2988</v>
      </c>
      <c r="U776" t="s">
        <v>322</v>
      </c>
      <c r="V776" t="s">
        <v>82</v>
      </c>
      <c r="W776" t="s">
        <v>2400</v>
      </c>
      <c r="X776" t="s">
        <v>96</v>
      </c>
      <c r="Y776" t="s">
        <v>82</v>
      </c>
      <c r="Z776" t="s">
        <v>82</v>
      </c>
    </row>
    <row r="777" spans="1:26" x14ac:dyDescent="0.25">
      <c r="A777" t="s">
        <v>2989</v>
      </c>
      <c r="B777" t="s">
        <v>2990</v>
      </c>
      <c r="C777" s="4" t="s">
        <v>560</v>
      </c>
      <c r="D777" t="s">
        <v>2941</v>
      </c>
      <c r="E777" t="s">
        <v>14</v>
      </c>
      <c r="F777" t="s">
        <v>85</v>
      </c>
      <c r="G777" t="s">
        <v>102</v>
      </c>
      <c r="H777" t="s">
        <v>78</v>
      </c>
      <c r="I777" t="s">
        <v>86</v>
      </c>
      <c r="J777" t="s">
        <v>130</v>
      </c>
      <c r="K777" t="s">
        <v>820</v>
      </c>
      <c r="L777" t="s">
        <v>89</v>
      </c>
      <c r="M777" t="s">
        <v>318</v>
      </c>
      <c r="N777" t="s">
        <v>1047</v>
      </c>
      <c r="O777" t="s">
        <v>2991</v>
      </c>
      <c r="P777" t="s">
        <v>2991</v>
      </c>
      <c r="Q777" t="s">
        <v>102</v>
      </c>
      <c r="R777" t="s">
        <v>85</v>
      </c>
      <c r="S777" t="s">
        <v>2061</v>
      </c>
      <c r="T777" t="s">
        <v>2990</v>
      </c>
      <c r="U777" t="s">
        <v>322</v>
      </c>
      <c r="V777" t="s">
        <v>82</v>
      </c>
      <c r="W777" t="s">
        <v>2400</v>
      </c>
      <c r="X777" t="s">
        <v>96</v>
      </c>
      <c r="Y777" t="s">
        <v>82</v>
      </c>
      <c r="Z777" t="s">
        <v>82</v>
      </c>
    </row>
    <row r="778" spans="1:26" x14ac:dyDescent="0.25">
      <c r="A778" t="s">
        <v>2718</v>
      </c>
      <c r="B778" t="s">
        <v>2992</v>
      </c>
      <c r="C778" s="4" t="s">
        <v>2993</v>
      </c>
      <c r="D778" t="s">
        <v>2994</v>
      </c>
      <c r="E778" t="s">
        <v>14</v>
      </c>
      <c r="F778" t="s">
        <v>85</v>
      </c>
      <c r="G778" t="s">
        <v>102</v>
      </c>
      <c r="H778" t="s">
        <v>78</v>
      </c>
      <c r="I778" t="s">
        <v>86</v>
      </c>
      <c r="J778" t="s">
        <v>546</v>
      </c>
      <c r="K778" t="s">
        <v>1573</v>
      </c>
      <c r="L778" t="s">
        <v>89</v>
      </c>
      <c r="M778" t="s">
        <v>318</v>
      </c>
      <c r="N778" t="s">
        <v>1047</v>
      </c>
      <c r="O778" t="s">
        <v>2995</v>
      </c>
      <c r="P778" t="s">
        <v>2996</v>
      </c>
      <c r="Q778" t="s">
        <v>102</v>
      </c>
      <c r="R778" t="s">
        <v>85</v>
      </c>
      <c r="S778" t="s">
        <v>1575</v>
      </c>
      <c r="T778" t="s">
        <v>2992</v>
      </c>
      <c r="U778" t="s">
        <v>322</v>
      </c>
      <c r="V778" t="s">
        <v>82</v>
      </c>
      <c r="W778" t="s">
        <v>1046</v>
      </c>
      <c r="X778" t="s">
        <v>96</v>
      </c>
      <c r="Y778" t="s">
        <v>82</v>
      </c>
      <c r="Z778" t="s">
        <v>82</v>
      </c>
    </row>
    <row r="779" spans="1:26" x14ac:dyDescent="0.25">
      <c r="A779" t="s">
        <v>2709</v>
      </c>
      <c r="B779" t="s">
        <v>2997</v>
      </c>
      <c r="C779" s="4" t="s">
        <v>2993</v>
      </c>
      <c r="D779" t="s">
        <v>2994</v>
      </c>
      <c r="E779" t="s">
        <v>14</v>
      </c>
      <c r="F779" t="s">
        <v>85</v>
      </c>
      <c r="G779" t="s">
        <v>102</v>
      </c>
      <c r="H779" t="s">
        <v>78</v>
      </c>
      <c r="I779" t="s">
        <v>86</v>
      </c>
      <c r="J779" t="s">
        <v>1002</v>
      </c>
      <c r="K779" t="s">
        <v>1573</v>
      </c>
      <c r="L779" t="s">
        <v>89</v>
      </c>
      <c r="M779" t="s">
        <v>318</v>
      </c>
      <c r="N779" t="s">
        <v>1047</v>
      </c>
      <c r="O779" t="s">
        <v>2995</v>
      </c>
      <c r="P779" t="s">
        <v>2998</v>
      </c>
      <c r="Q779" t="s">
        <v>102</v>
      </c>
      <c r="R779" t="s">
        <v>85</v>
      </c>
      <c r="S779" t="s">
        <v>1575</v>
      </c>
      <c r="T779" t="s">
        <v>2997</v>
      </c>
      <c r="U779" t="s">
        <v>322</v>
      </c>
      <c r="V779" t="s">
        <v>82</v>
      </c>
      <c r="W779" t="s">
        <v>1046</v>
      </c>
      <c r="X779" t="s">
        <v>96</v>
      </c>
      <c r="Y779" t="s">
        <v>82</v>
      </c>
      <c r="Z779" t="s">
        <v>82</v>
      </c>
    </row>
    <row r="780" spans="1:26" x14ac:dyDescent="0.25">
      <c r="A780" t="s">
        <v>2999</v>
      </c>
      <c r="B780" t="s">
        <v>3000</v>
      </c>
      <c r="C780" s="4" t="s">
        <v>2993</v>
      </c>
      <c r="D780" t="s">
        <v>2994</v>
      </c>
      <c r="E780" t="s">
        <v>14</v>
      </c>
      <c r="F780" t="s">
        <v>85</v>
      </c>
      <c r="G780" t="s">
        <v>102</v>
      </c>
      <c r="H780" t="s">
        <v>78</v>
      </c>
      <c r="I780" t="s">
        <v>86</v>
      </c>
      <c r="J780" t="s">
        <v>29</v>
      </c>
      <c r="K780" t="s">
        <v>1573</v>
      </c>
      <c r="L780" t="s">
        <v>89</v>
      </c>
      <c r="M780" t="s">
        <v>318</v>
      </c>
      <c r="N780" t="s">
        <v>1047</v>
      </c>
      <c r="O780" t="s">
        <v>2995</v>
      </c>
      <c r="P780" t="s">
        <v>3001</v>
      </c>
      <c r="Q780" t="s">
        <v>102</v>
      </c>
      <c r="R780" t="s">
        <v>85</v>
      </c>
      <c r="S780" t="s">
        <v>1575</v>
      </c>
      <c r="T780" t="s">
        <v>3000</v>
      </c>
      <c r="U780" t="s">
        <v>322</v>
      </c>
      <c r="V780" t="s">
        <v>82</v>
      </c>
      <c r="W780" t="s">
        <v>1046</v>
      </c>
      <c r="X780" t="s">
        <v>96</v>
      </c>
      <c r="Y780" t="s">
        <v>82</v>
      </c>
      <c r="Z780" t="s">
        <v>82</v>
      </c>
    </row>
    <row r="781" spans="1:26" x14ac:dyDescent="0.25">
      <c r="A781" t="s">
        <v>3002</v>
      </c>
      <c r="B781" t="s">
        <v>3003</v>
      </c>
      <c r="C781" s="4" t="s">
        <v>2993</v>
      </c>
      <c r="D781" t="s">
        <v>2994</v>
      </c>
      <c r="E781" t="s">
        <v>14</v>
      </c>
      <c r="F781" t="s">
        <v>85</v>
      </c>
      <c r="G781" t="s">
        <v>102</v>
      </c>
      <c r="H781" t="s">
        <v>78</v>
      </c>
      <c r="I781" t="s">
        <v>86</v>
      </c>
      <c r="J781" t="s">
        <v>37</v>
      </c>
      <c r="K781" t="s">
        <v>1573</v>
      </c>
      <c r="L781" t="s">
        <v>89</v>
      </c>
      <c r="M781" t="s">
        <v>318</v>
      </c>
      <c r="N781" t="s">
        <v>1047</v>
      </c>
      <c r="O781" t="s">
        <v>2995</v>
      </c>
      <c r="P781" t="s">
        <v>3004</v>
      </c>
      <c r="Q781" t="s">
        <v>102</v>
      </c>
      <c r="R781" t="s">
        <v>85</v>
      </c>
      <c r="S781" t="s">
        <v>1575</v>
      </c>
      <c r="T781" t="s">
        <v>3003</v>
      </c>
      <c r="U781" t="s">
        <v>322</v>
      </c>
      <c r="V781" t="s">
        <v>82</v>
      </c>
      <c r="W781" t="s">
        <v>1046</v>
      </c>
      <c r="X781" t="s">
        <v>96</v>
      </c>
      <c r="Y781" t="s">
        <v>82</v>
      </c>
      <c r="Z781" t="s">
        <v>82</v>
      </c>
    </row>
    <row r="782" spans="1:26" x14ac:dyDescent="0.25">
      <c r="A782" t="s">
        <v>3005</v>
      </c>
      <c r="B782" t="s">
        <v>3006</v>
      </c>
      <c r="C782" s="4" t="s">
        <v>3007</v>
      </c>
      <c r="D782" t="s">
        <v>3008</v>
      </c>
      <c r="E782" t="s">
        <v>14</v>
      </c>
      <c r="F782" t="s">
        <v>83</v>
      </c>
      <c r="G782" t="s">
        <v>84</v>
      </c>
      <c r="H782" t="s">
        <v>78</v>
      </c>
      <c r="I782" t="s">
        <v>86</v>
      </c>
      <c r="J782" t="s">
        <v>37</v>
      </c>
      <c r="K782" t="s">
        <v>2460</v>
      </c>
      <c r="L782" t="s">
        <v>89</v>
      </c>
      <c r="M782" t="s">
        <v>318</v>
      </c>
      <c r="N782" t="s">
        <v>1536</v>
      </c>
      <c r="O782" t="s">
        <v>3009</v>
      </c>
      <c r="P782" t="s">
        <v>3010</v>
      </c>
      <c r="Q782" t="s">
        <v>102</v>
      </c>
      <c r="R782" t="s">
        <v>85</v>
      </c>
      <c r="S782" t="s">
        <v>2833</v>
      </c>
      <c r="T782" t="s">
        <v>3006</v>
      </c>
      <c r="U782" t="s">
        <v>322</v>
      </c>
      <c r="V782" t="s">
        <v>82</v>
      </c>
      <c r="W782" t="s">
        <v>1303</v>
      </c>
      <c r="X782" t="s">
        <v>96</v>
      </c>
      <c r="Y782" t="s">
        <v>82</v>
      </c>
      <c r="Z782" t="s">
        <v>82</v>
      </c>
    </row>
    <row r="783" spans="1:26" x14ac:dyDescent="0.25">
      <c r="A783" t="s">
        <v>1845</v>
      </c>
      <c r="B783" t="s">
        <v>3011</v>
      </c>
      <c r="C783" s="4" t="s">
        <v>3007</v>
      </c>
      <c r="D783" t="s">
        <v>3008</v>
      </c>
      <c r="E783" t="s">
        <v>14</v>
      </c>
      <c r="F783" t="s">
        <v>83</v>
      </c>
      <c r="G783" t="s">
        <v>84</v>
      </c>
      <c r="H783" t="s">
        <v>78</v>
      </c>
      <c r="I783" t="s">
        <v>86</v>
      </c>
      <c r="J783" t="s">
        <v>546</v>
      </c>
      <c r="K783" t="s">
        <v>2460</v>
      </c>
      <c r="L783" t="s">
        <v>89</v>
      </c>
      <c r="M783" t="s">
        <v>318</v>
      </c>
      <c r="N783" t="s">
        <v>1536</v>
      </c>
      <c r="O783" t="s">
        <v>3012</v>
      </c>
      <c r="P783" t="s">
        <v>3013</v>
      </c>
      <c r="Q783" t="s">
        <v>102</v>
      </c>
      <c r="R783" t="s">
        <v>85</v>
      </c>
      <c r="S783" t="s">
        <v>2833</v>
      </c>
      <c r="T783" t="s">
        <v>3011</v>
      </c>
      <c r="U783" t="s">
        <v>322</v>
      </c>
      <c r="V783" t="s">
        <v>82</v>
      </c>
      <c r="W783" t="s">
        <v>1303</v>
      </c>
      <c r="X783" t="s">
        <v>96</v>
      </c>
      <c r="Y783" t="s">
        <v>82</v>
      </c>
      <c r="Z783" t="s">
        <v>82</v>
      </c>
    </row>
    <row r="784" spans="1:26" x14ac:dyDescent="0.25">
      <c r="A784" t="s">
        <v>3014</v>
      </c>
      <c r="B784" t="s">
        <v>3015</v>
      </c>
      <c r="C784" s="4" t="s">
        <v>3007</v>
      </c>
      <c r="D784" t="s">
        <v>3008</v>
      </c>
      <c r="E784" t="s">
        <v>14</v>
      </c>
      <c r="F784" t="s">
        <v>83</v>
      </c>
      <c r="G784" t="s">
        <v>84</v>
      </c>
      <c r="H784" t="s">
        <v>78</v>
      </c>
      <c r="I784" t="s">
        <v>86</v>
      </c>
      <c r="J784" t="s">
        <v>1002</v>
      </c>
      <c r="K784" t="s">
        <v>2460</v>
      </c>
      <c r="L784" t="s">
        <v>89</v>
      </c>
      <c r="M784" t="s">
        <v>318</v>
      </c>
      <c r="N784" t="s">
        <v>1536</v>
      </c>
      <c r="O784" t="s">
        <v>3012</v>
      </c>
      <c r="P784" t="s">
        <v>3016</v>
      </c>
      <c r="Q784" t="s">
        <v>102</v>
      </c>
      <c r="R784" t="s">
        <v>85</v>
      </c>
      <c r="S784" t="s">
        <v>2833</v>
      </c>
      <c r="T784" t="s">
        <v>3015</v>
      </c>
      <c r="U784" t="s">
        <v>322</v>
      </c>
      <c r="V784" t="s">
        <v>82</v>
      </c>
      <c r="W784" t="s">
        <v>1303</v>
      </c>
      <c r="X784" t="s">
        <v>96</v>
      </c>
      <c r="Y784" t="s">
        <v>82</v>
      </c>
      <c r="Z784" t="s">
        <v>82</v>
      </c>
    </row>
    <row r="785" spans="1:26" x14ac:dyDescent="0.25">
      <c r="A785" t="s">
        <v>1764</v>
      </c>
      <c r="B785" t="s">
        <v>3017</v>
      </c>
      <c r="C785" s="4" t="s">
        <v>3007</v>
      </c>
      <c r="D785" t="s">
        <v>3008</v>
      </c>
      <c r="E785" t="s">
        <v>14</v>
      </c>
      <c r="F785" t="s">
        <v>83</v>
      </c>
      <c r="G785" t="s">
        <v>84</v>
      </c>
      <c r="H785" t="s">
        <v>78</v>
      </c>
      <c r="I785" t="s">
        <v>86</v>
      </c>
      <c r="J785" t="s">
        <v>29</v>
      </c>
      <c r="K785" t="s">
        <v>2460</v>
      </c>
      <c r="L785" t="s">
        <v>89</v>
      </c>
      <c r="M785" t="s">
        <v>318</v>
      </c>
      <c r="N785" t="s">
        <v>1536</v>
      </c>
      <c r="O785" t="s">
        <v>3012</v>
      </c>
      <c r="P785" t="s">
        <v>3018</v>
      </c>
      <c r="Q785" t="s">
        <v>102</v>
      </c>
      <c r="R785" t="s">
        <v>85</v>
      </c>
      <c r="S785" t="s">
        <v>2833</v>
      </c>
      <c r="T785" t="s">
        <v>3017</v>
      </c>
      <c r="U785" t="s">
        <v>322</v>
      </c>
      <c r="V785" t="s">
        <v>82</v>
      </c>
      <c r="W785" t="s">
        <v>1303</v>
      </c>
      <c r="X785" t="s">
        <v>96</v>
      </c>
      <c r="Y785" t="s">
        <v>82</v>
      </c>
      <c r="Z785" t="s">
        <v>82</v>
      </c>
    </row>
    <row r="786" spans="1:26" x14ac:dyDescent="0.25">
      <c r="A786" t="s">
        <v>3019</v>
      </c>
      <c r="B786" t="s">
        <v>3020</v>
      </c>
      <c r="C786" s="4" t="s">
        <v>2718</v>
      </c>
      <c r="D786" t="s">
        <v>2710</v>
      </c>
      <c r="E786" t="s">
        <v>14</v>
      </c>
      <c r="F786" t="s">
        <v>83</v>
      </c>
      <c r="G786" t="s">
        <v>84</v>
      </c>
      <c r="H786" t="s">
        <v>78</v>
      </c>
      <c r="I786" t="s">
        <v>86</v>
      </c>
      <c r="J786" t="s">
        <v>546</v>
      </c>
      <c r="K786" t="s">
        <v>1779</v>
      </c>
      <c r="L786" t="s">
        <v>89</v>
      </c>
      <c r="M786" t="s">
        <v>318</v>
      </c>
      <c r="N786" t="s">
        <v>815</v>
      </c>
      <c r="O786" t="s">
        <v>3021</v>
      </c>
      <c r="P786" t="s">
        <v>3021</v>
      </c>
      <c r="Q786" t="s">
        <v>102</v>
      </c>
      <c r="R786" t="s">
        <v>84</v>
      </c>
      <c r="S786" t="s">
        <v>1782</v>
      </c>
      <c r="T786" t="s">
        <v>3020</v>
      </c>
      <c r="U786" t="s">
        <v>322</v>
      </c>
      <c r="V786" t="s">
        <v>82</v>
      </c>
      <c r="W786" t="s">
        <v>354</v>
      </c>
      <c r="X786" t="s">
        <v>96</v>
      </c>
      <c r="Y786" t="s">
        <v>82</v>
      </c>
      <c r="Z786" t="s">
        <v>82</v>
      </c>
    </row>
    <row r="787" spans="1:26" x14ac:dyDescent="0.25">
      <c r="A787" t="s">
        <v>3022</v>
      </c>
      <c r="B787" t="s">
        <v>3023</v>
      </c>
      <c r="C787" s="4" t="s">
        <v>3024</v>
      </c>
      <c r="D787" t="s">
        <v>3025</v>
      </c>
      <c r="E787" t="s">
        <v>14</v>
      </c>
      <c r="F787" t="s">
        <v>85</v>
      </c>
      <c r="G787" t="s">
        <v>111</v>
      </c>
      <c r="H787" t="s">
        <v>78</v>
      </c>
      <c r="I787" t="s">
        <v>102</v>
      </c>
      <c r="J787" t="s">
        <v>15</v>
      </c>
      <c r="K787" t="s">
        <v>3026</v>
      </c>
      <c r="L787" t="s">
        <v>89</v>
      </c>
      <c r="M787" t="s">
        <v>318</v>
      </c>
      <c r="N787" t="s">
        <v>965</v>
      </c>
      <c r="O787" t="s">
        <v>3027</v>
      </c>
      <c r="P787" t="s">
        <v>3028</v>
      </c>
      <c r="Q787" t="s">
        <v>78</v>
      </c>
      <c r="R787" t="s">
        <v>86</v>
      </c>
      <c r="S787" t="s">
        <v>3029</v>
      </c>
      <c r="T787" t="s">
        <v>3023</v>
      </c>
      <c r="U787" t="s">
        <v>322</v>
      </c>
      <c r="V787" t="s">
        <v>82</v>
      </c>
      <c r="W787" t="s">
        <v>3030</v>
      </c>
      <c r="X787" t="s">
        <v>96</v>
      </c>
      <c r="Y787" t="s">
        <v>82</v>
      </c>
      <c r="Z787" t="s">
        <v>78</v>
      </c>
    </row>
    <row r="788" spans="1:26" x14ac:dyDescent="0.25">
      <c r="A788" t="s">
        <v>2729</v>
      </c>
      <c r="B788" t="s">
        <v>3031</v>
      </c>
      <c r="C788" s="4" t="s">
        <v>3024</v>
      </c>
      <c r="D788" t="s">
        <v>3025</v>
      </c>
      <c r="E788" t="s">
        <v>14</v>
      </c>
      <c r="F788" t="s">
        <v>85</v>
      </c>
      <c r="G788" t="s">
        <v>111</v>
      </c>
      <c r="H788" t="s">
        <v>78</v>
      </c>
      <c r="I788" t="s">
        <v>102</v>
      </c>
      <c r="J788" t="s">
        <v>17</v>
      </c>
      <c r="K788" t="s">
        <v>3026</v>
      </c>
      <c r="L788" t="s">
        <v>89</v>
      </c>
      <c r="M788" t="s">
        <v>318</v>
      </c>
      <c r="N788" t="s">
        <v>965</v>
      </c>
      <c r="O788" t="s">
        <v>3027</v>
      </c>
      <c r="P788" t="s">
        <v>3032</v>
      </c>
      <c r="Q788" t="s">
        <v>78</v>
      </c>
      <c r="R788" t="s">
        <v>86</v>
      </c>
      <c r="S788" t="s">
        <v>3029</v>
      </c>
      <c r="T788" t="s">
        <v>3031</v>
      </c>
      <c r="U788" t="s">
        <v>322</v>
      </c>
      <c r="V788" t="s">
        <v>82</v>
      </c>
      <c r="W788" t="s">
        <v>3030</v>
      </c>
      <c r="X788" t="s">
        <v>96</v>
      </c>
      <c r="Y788" t="s">
        <v>82</v>
      </c>
      <c r="Z788" t="s">
        <v>78</v>
      </c>
    </row>
    <row r="789" spans="1:26" x14ac:dyDescent="0.25">
      <c r="A789" t="s">
        <v>3033</v>
      </c>
      <c r="B789" t="s">
        <v>3034</v>
      </c>
      <c r="C789" s="4" t="s">
        <v>3024</v>
      </c>
      <c r="D789" t="s">
        <v>3025</v>
      </c>
      <c r="E789" t="s">
        <v>14</v>
      </c>
      <c r="F789" t="s">
        <v>85</v>
      </c>
      <c r="G789" t="s">
        <v>111</v>
      </c>
      <c r="H789" t="s">
        <v>78</v>
      </c>
      <c r="I789" t="s">
        <v>102</v>
      </c>
      <c r="J789" t="s">
        <v>20</v>
      </c>
      <c r="K789" t="s">
        <v>3026</v>
      </c>
      <c r="L789" t="s">
        <v>89</v>
      </c>
      <c r="M789" t="s">
        <v>318</v>
      </c>
      <c r="N789" t="s">
        <v>965</v>
      </c>
      <c r="O789" t="s">
        <v>3035</v>
      </c>
      <c r="P789" t="s">
        <v>3036</v>
      </c>
      <c r="Q789" t="s">
        <v>78</v>
      </c>
      <c r="R789" t="s">
        <v>86</v>
      </c>
      <c r="S789" t="s">
        <v>3029</v>
      </c>
      <c r="T789" t="s">
        <v>3034</v>
      </c>
      <c r="U789" t="s">
        <v>322</v>
      </c>
      <c r="V789" t="s">
        <v>82</v>
      </c>
      <c r="W789" t="s">
        <v>3030</v>
      </c>
      <c r="X789" t="s">
        <v>96</v>
      </c>
      <c r="Y789" t="s">
        <v>82</v>
      </c>
      <c r="Z789" t="s">
        <v>78</v>
      </c>
    </row>
    <row r="790" spans="1:26" x14ac:dyDescent="0.25">
      <c r="A790" t="s">
        <v>3037</v>
      </c>
      <c r="B790" t="s">
        <v>3038</v>
      </c>
      <c r="C790" s="4" t="s">
        <v>3024</v>
      </c>
      <c r="D790" t="s">
        <v>3025</v>
      </c>
      <c r="E790" t="s">
        <v>14</v>
      </c>
      <c r="F790" t="s">
        <v>83</v>
      </c>
      <c r="G790" t="s">
        <v>84</v>
      </c>
      <c r="H790" t="s">
        <v>78</v>
      </c>
      <c r="I790" t="s">
        <v>111</v>
      </c>
      <c r="J790" t="s">
        <v>20</v>
      </c>
      <c r="K790" t="s">
        <v>3039</v>
      </c>
      <c r="L790" t="s">
        <v>89</v>
      </c>
      <c r="M790" t="s">
        <v>318</v>
      </c>
      <c r="N790" t="s">
        <v>1186</v>
      </c>
      <c r="O790" t="s">
        <v>3040</v>
      </c>
      <c r="P790" t="s">
        <v>3041</v>
      </c>
      <c r="Q790" t="s">
        <v>78</v>
      </c>
      <c r="R790" t="s">
        <v>86</v>
      </c>
      <c r="S790" t="s">
        <v>3042</v>
      </c>
      <c r="T790" t="s">
        <v>3038</v>
      </c>
      <c r="U790" t="s">
        <v>322</v>
      </c>
      <c r="V790" t="s">
        <v>82</v>
      </c>
      <c r="W790" t="s">
        <v>3043</v>
      </c>
      <c r="X790" t="s">
        <v>96</v>
      </c>
      <c r="Y790" t="s">
        <v>82</v>
      </c>
      <c r="Z790" t="s">
        <v>78</v>
      </c>
    </row>
    <row r="791" spans="1:26" x14ac:dyDescent="0.25">
      <c r="A791" t="s">
        <v>3044</v>
      </c>
      <c r="B791" t="s">
        <v>3045</v>
      </c>
      <c r="C791" s="4" t="s">
        <v>3024</v>
      </c>
      <c r="D791" t="s">
        <v>3025</v>
      </c>
      <c r="E791" t="s">
        <v>14</v>
      </c>
      <c r="F791" t="s">
        <v>83</v>
      </c>
      <c r="G791" t="s">
        <v>84</v>
      </c>
      <c r="H791" t="s">
        <v>78</v>
      </c>
      <c r="I791" t="s">
        <v>111</v>
      </c>
      <c r="J791" t="s">
        <v>15</v>
      </c>
      <c r="K791" t="s">
        <v>3039</v>
      </c>
      <c r="L791" t="s">
        <v>89</v>
      </c>
      <c r="M791" t="s">
        <v>318</v>
      </c>
      <c r="N791" t="s">
        <v>1186</v>
      </c>
      <c r="O791" t="s">
        <v>3040</v>
      </c>
      <c r="P791" t="s">
        <v>3046</v>
      </c>
      <c r="Q791" t="s">
        <v>78</v>
      </c>
      <c r="R791" t="s">
        <v>86</v>
      </c>
      <c r="S791" t="s">
        <v>3042</v>
      </c>
      <c r="T791" t="s">
        <v>3045</v>
      </c>
      <c r="U791" t="s">
        <v>322</v>
      </c>
      <c r="V791" t="s">
        <v>82</v>
      </c>
      <c r="W791" t="s">
        <v>3043</v>
      </c>
      <c r="X791" t="s">
        <v>96</v>
      </c>
      <c r="Y791" t="s">
        <v>82</v>
      </c>
      <c r="Z791" t="s">
        <v>78</v>
      </c>
    </row>
    <row r="792" spans="1:26" x14ac:dyDescent="0.25">
      <c r="A792" t="s">
        <v>3047</v>
      </c>
      <c r="B792" t="s">
        <v>3048</v>
      </c>
      <c r="C792" s="4" t="s">
        <v>3024</v>
      </c>
      <c r="D792" t="s">
        <v>3025</v>
      </c>
      <c r="E792" t="s">
        <v>14</v>
      </c>
      <c r="F792" t="s">
        <v>83</v>
      </c>
      <c r="G792" t="s">
        <v>84</v>
      </c>
      <c r="H792" t="s">
        <v>78</v>
      </c>
      <c r="I792" t="s">
        <v>111</v>
      </c>
      <c r="J792" t="s">
        <v>17</v>
      </c>
      <c r="K792" t="s">
        <v>3039</v>
      </c>
      <c r="L792" t="s">
        <v>89</v>
      </c>
      <c r="M792" t="s">
        <v>318</v>
      </c>
      <c r="N792" t="s">
        <v>1186</v>
      </c>
      <c r="O792" t="s">
        <v>3040</v>
      </c>
      <c r="P792" t="s">
        <v>3049</v>
      </c>
      <c r="Q792" t="s">
        <v>78</v>
      </c>
      <c r="R792" t="s">
        <v>86</v>
      </c>
      <c r="S792" t="s">
        <v>3042</v>
      </c>
      <c r="T792" t="s">
        <v>3048</v>
      </c>
      <c r="U792" t="s">
        <v>322</v>
      </c>
      <c r="V792" t="s">
        <v>82</v>
      </c>
      <c r="W792" t="s">
        <v>3043</v>
      </c>
      <c r="X792" t="s">
        <v>96</v>
      </c>
      <c r="Y792" t="s">
        <v>82</v>
      </c>
      <c r="Z792" t="s">
        <v>78</v>
      </c>
    </row>
    <row r="793" spans="1:26" x14ac:dyDescent="0.25">
      <c r="A793" t="s">
        <v>3050</v>
      </c>
      <c r="B793" t="s">
        <v>3051</v>
      </c>
      <c r="C793" s="4" t="s">
        <v>3024</v>
      </c>
      <c r="D793" t="s">
        <v>3025</v>
      </c>
      <c r="E793" t="s">
        <v>14</v>
      </c>
      <c r="F793" t="s">
        <v>134</v>
      </c>
      <c r="G793" t="s">
        <v>149</v>
      </c>
      <c r="H793" t="s">
        <v>78</v>
      </c>
      <c r="I793" t="s">
        <v>111</v>
      </c>
      <c r="J793" t="s">
        <v>20</v>
      </c>
      <c r="K793" t="s">
        <v>3052</v>
      </c>
      <c r="L793" t="s">
        <v>89</v>
      </c>
      <c r="M793" t="s">
        <v>318</v>
      </c>
      <c r="N793" t="s">
        <v>1062</v>
      </c>
      <c r="O793" t="s">
        <v>3053</v>
      </c>
      <c r="P793" t="s">
        <v>3053</v>
      </c>
      <c r="Q793" t="s">
        <v>78</v>
      </c>
      <c r="R793" t="s">
        <v>86</v>
      </c>
      <c r="S793" t="s">
        <v>3054</v>
      </c>
      <c r="T793" t="s">
        <v>3051</v>
      </c>
      <c r="U793" t="s">
        <v>322</v>
      </c>
      <c r="V793" t="s">
        <v>82</v>
      </c>
      <c r="W793" t="s">
        <v>1523</v>
      </c>
      <c r="X793" t="s">
        <v>96</v>
      </c>
      <c r="Y793" t="s">
        <v>82</v>
      </c>
      <c r="Z793" t="s">
        <v>78</v>
      </c>
    </row>
    <row r="794" spans="1:26" x14ac:dyDescent="0.25">
      <c r="A794" t="s">
        <v>3055</v>
      </c>
      <c r="B794" t="s">
        <v>3056</v>
      </c>
      <c r="C794" s="4" t="s">
        <v>3024</v>
      </c>
      <c r="D794" t="s">
        <v>3025</v>
      </c>
      <c r="E794" t="s">
        <v>14</v>
      </c>
      <c r="F794" t="s">
        <v>134</v>
      </c>
      <c r="G794" t="s">
        <v>149</v>
      </c>
      <c r="H794" t="s">
        <v>78</v>
      </c>
      <c r="I794" t="s">
        <v>111</v>
      </c>
      <c r="J794" t="s">
        <v>15</v>
      </c>
      <c r="K794" t="s">
        <v>3052</v>
      </c>
      <c r="L794" t="s">
        <v>89</v>
      </c>
      <c r="M794" t="s">
        <v>318</v>
      </c>
      <c r="N794" t="s">
        <v>1062</v>
      </c>
      <c r="O794" t="s">
        <v>3057</v>
      </c>
      <c r="P794" t="s">
        <v>3057</v>
      </c>
      <c r="Q794" t="s">
        <v>78</v>
      </c>
      <c r="R794" t="s">
        <v>86</v>
      </c>
      <c r="S794" t="s">
        <v>3054</v>
      </c>
      <c r="T794" t="s">
        <v>3056</v>
      </c>
      <c r="U794" t="s">
        <v>322</v>
      </c>
      <c r="V794" t="s">
        <v>82</v>
      </c>
      <c r="W794" t="s">
        <v>1523</v>
      </c>
      <c r="X794" t="s">
        <v>96</v>
      </c>
      <c r="Y794" t="s">
        <v>82</v>
      </c>
      <c r="Z794" t="s">
        <v>78</v>
      </c>
    </row>
    <row r="795" spans="1:26" x14ac:dyDescent="0.25">
      <c r="A795" t="s">
        <v>3058</v>
      </c>
      <c r="B795" t="s">
        <v>3059</v>
      </c>
      <c r="C795" s="4" t="s">
        <v>3024</v>
      </c>
      <c r="D795" t="s">
        <v>3025</v>
      </c>
      <c r="E795" t="s">
        <v>14</v>
      </c>
      <c r="F795" t="s">
        <v>134</v>
      </c>
      <c r="G795" t="s">
        <v>149</v>
      </c>
      <c r="H795" t="s">
        <v>78</v>
      </c>
      <c r="I795" t="s">
        <v>111</v>
      </c>
      <c r="J795" t="s">
        <v>17</v>
      </c>
      <c r="K795" t="s">
        <v>3052</v>
      </c>
      <c r="L795" t="s">
        <v>89</v>
      </c>
      <c r="M795" t="s">
        <v>318</v>
      </c>
      <c r="N795" t="s">
        <v>1062</v>
      </c>
      <c r="O795" t="s">
        <v>3057</v>
      </c>
      <c r="P795" t="s">
        <v>3057</v>
      </c>
      <c r="Q795" t="s">
        <v>78</v>
      </c>
      <c r="R795" t="s">
        <v>86</v>
      </c>
      <c r="S795" t="s">
        <v>3054</v>
      </c>
      <c r="T795" t="s">
        <v>3059</v>
      </c>
      <c r="U795" t="s">
        <v>322</v>
      </c>
      <c r="V795" t="s">
        <v>82</v>
      </c>
      <c r="W795" t="s">
        <v>1523</v>
      </c>
      <c r="X795" t="s">
        <v>96</v>
      </c>
      <c r="Y795" t="s">
        <v>82</v>
      </c>
      <c r="Z795" t="s">
        <v>78</v>
      </c>
    </row>
    <row r="796" spans="1:26" x14ac:dyDescent="0.25">
      <c r="A796" t="s">
        <v>3060</v>
      </c>
      <c r="B796" t="s">
        <v>3061</v>
      </c>
      <c r="C796" s="4" t="s">
        <v>3062</v>
      </c>
      <c r="D796" t="s">
        <v>3063</v>
      </c>
      <c r="E796" t="s">
        <v>14</v>
      </c>
      <c r="F796" t="s">
        <v>83</v>
      </c>
      <c r="G796" t="s">
        <v>105</v>
      </c>
      <c r="H796" t="s">
        <v>78</v>
      </c>
      <c r="I796" t="s">
        <v>102</v>
      </c>
      <c r="J796" t="s">
        <v>37</v>
      </c>
      <c r="K796" t="s">
        <v>1981</v>
      </c>
      <c r="L796" t="s">
        <v>89</v>
      </c>
      <c r="M796" t="s">
        <v>318</v>
      </c>
      <c r="N796" t="s">
        <v>2175</v>
      </c>
      <c r="O796" t="s">
        <v>3064</v>
      </c>
      <c r="P796" t="s">
        <v>3064</v>
      </c>
      <c r="Q796" t="s">
        <v>102</v>
      </c>
      <c r="R796" t="s">
        <v>85</v>
      </c>
      <c r="S796" t="s">
        <v>1984</v>
      </c>
      <c r="T796" t="s">
        <v>3061</v>
      </c>
      <c r="U796" t="s">
        <v>322</v>
      </c>
      <c r="V796" t="s">
        <v>82</v>
      </c>
      <c r="W796" t="s">
        <v>3065</v>
      </c>
      <c r="X796" t="s">
        <v>96</v>
      </c>
      <c r="Y796" t="s">
        <v>82</v>
      </c>
      <c r="Z796" t="s">
        <v>149</v>
      </c>
    </row>
    <row r="797" spans="1:26" x14ac:dyDescent="0.25">
      <c r="A797" t="s">
        <v>3066</v>
      </c>
      <c r="B797" t="s">
        <v>3067</v>
      </c>
      <c r="C797" s="4" t="s">
        <v>3062</v>
      </c>
      <c r="D797" t="s">
        <v>3063</v>
      </c>
      <c r="E797" t="s">
        <v>14</v>
      </c>
      <c r="F797" t="s">
        <v>83</v>
      </c>
      <c r="G797" t="s">
        <v>105</v>
      </c>
      <c r="H797" t="s">
        <v>78</v>
      </c>
      <c r="I797" t="s">
        <v>102</v>
      </c>
      <c r="J797" t="s">
        <v>2494</v>
      </c>
      <c r="K797" t="s">
        <v>1981</v>
      </c>
      <c r="L797" t="s">
        <v>89</v>
      </c>
      <c r="M797" t="s">
        <v>318</v>
      </c>
      <c r="N797" t="s">
        <v>2175</v>
      </c>
      <c r="O797" t="s">
        <v>3068</v>
      </c>
      <c r="P797" t="s">
        <v>3068</v>
      </c>
      <c r="Q797" t="s">
        <v>102</v>
      </c>
      <c r="R797" t="s">
        <v>85</v>
      </c>
      <c r="S797" t="s">
        <v>1984</v>
      </c>
      <c r="T797" t="s">
        <v>3067</v>
      </c>
      <c r="U797" t="s">
        <v>322</v>
      </c>
      <c r="V797" t="s">
        <v>82</v>
      </c>
      <c r="W797" t="s">
        <v>3065</v>
      </c>
      <c r="X797" t="s">
        <v>96</v>
      </c>
      <c r="Y797" t="s">
        <v>82</v>
      </c>
      <c r="Z797" t="s">
        <v>149</v>
      </c>
    </row>
    <row r="798" spans="1:26" x14ac:dyDescent="0.25">
      <c r="A798" t="s">
        <v>3069</v>
      </c>
      <c r="B798" t="s">
        <v>3070</v>
      </c>
      <c r="C798" s="4" t="s">
        <v>3062</v>
      </c>
      <c r="D798" t="s">
        <v>3063</v>
      </c>
      <c r="E798" t="s">
        <v>14</v>
      </c>
      <c r="F798" t="s">
        <v>83</v>
      </c>
      <c r="G798" t="s">
        <v>105</v>
      </c>
      <c r="H798" t="s">
        <v>78</v>
      </c>
      <c r="I798" t="s">
        <v>102</v>
      </c>
      <c r="J798" t="s">
        <v>1002</v>
      </c>
      <c r="K798" t="s">
        <v>1981</v>
      </c>
      <c r="L798" t="s">
        <v>89</v>
      </c>
      <c r="M798" t="s">
        <v>318</v>
      </c>
      <c r="N798" t="s">
        <v>2175</v>
      </c>
      <c r="O798" t="s">
        <v>3068</v>
      </c>
      <c r="P798" t="s">
        <v>3068</v>
      </c>
      <c r="Q798" t="s">
        <v>102</v>
      </c>
      <c r="R798" t="s">
        <v>85</v>
      </c>
      <c r="S798" t="s">
        <v>1984</v>
      </c>
      <c r="T798" t="s">
        <v>3070</v>
      </c>
      <c r="U798" t="s">
        <v>322</v>
      </c>
      <c r="V798" t="s">
        <v>82</v>
      </c>
      <c r="W798" t="s">
        <v>3065</v>
      </c>
      <c r="X798" t="s">
        <v>96</v>
      </c>
      <c r="Y798" t="s">
        <v>82</v>
      </c>
      <c r="Z798" t="s">
        <v>149</v>
      </c>
    </row>
    <row r="799" spans="1:26" x14ac:dyDescent="0.25">
      <c r="A799" t="s">
        <v>3071</v>
      </c>
      <c r="B799" t="s">
        <v>3072</v>
      </c>
      <c r="C799" s="4" t="s">
        <v>2018</v>
      </c>
      <c r="D799" t="s">
        <v>3073</v>
      </c>
      <c r="E799" t="s">
        <v>14</v>
      </c>
      <c r="F799" t="s">
        <v>105</v>
      </c>
      <c r="G799" t="s">
        <v>106</v>
      </c>
      <c r="H799" t="s">
        <v>78</v>
      </c>
      <c r="I799" t="s">
        <v>86</v>
      </c>
      <c r="J799" t="s">
        <v>1002</v>
      </c>
      <c r="K799" t="s">
        <v>2460</v>
      </c>
      <c r="L799" t="s">
        <v>89</v>
      </c>
      <c r="M799" t="s">
        <v>318</v>
      </c>
      <c r="N799" t="s">
        <v>1982</v>
      </c>
      <c r="O799" t="s">
        <v>3074</v>
      </c>
      <c r="P799" t="s">
        <v>3074</v>
      </c>
      <c r="Q799" t="s">
        <v>102</v>
      </c>
      <c r="R799" t="s">
        <v>85</v>
      </c>
      <c r="S799" t="s">
        <v>2462</v>
      </c>
      <c r="T799" t="s">
        <v>3072</v>
      </c>
      <c r="U799" t="s">
        <v>322</v>
      </c>
      <c r="V799" t="s">
        <v>82</v>
      </c>
      <c r="W799" t="s">
        <v>3075</v>
      </c>
      <c r="X799" t="s">
        <v>96</v>
      </c>
      <c r="Y799" t="s">
        <v>82</v>
      </c>
      <c r="Z799" t="s">
        <v>149</v>
      </c>
    </row>
    <row r="800" spans="1:26" x14ac:dyDescent="0.25">
      <c r="A800" t="s">
        <v>3076</v>
      </c>
      <c r="B800" t="s">
        <v>3077</v>
      </c>
      <c r="C800" s="4" t="s">
        <v>2018</v>
      </c>
      <c r="D800" t="s">
        <v>3073</v>
      </c>
      <c r="E800" t="s">
        <v>14</v>
      </c>
      <c r="F800" t="s">
        <v>105</v>
      </c>
      <c r="G800" t="s">
        <v>106</v>
      </c>
      <c r="H800" t="s">
        <v>78</v>
      </c>
      <c r="I800" t="s">
        <v>86</v>
      </c>
      <c r="J800" t="s">
        <v>1053</v>
      </c>
      <c r="K800" t="s">
        <v>2460</v>
      </c>
      <c r="L800" t="s">
        <v>89</v>
      </c>
      <c r="M800" t="s">
        <v>318</v>
      </c>
      <c r="N800" t="s">
        <v>1982</v>
      </c>
      <c r="O800" t="s">
        <v>3074</v>
      </c>
      <c r="P800" t="s">
        <v>3074</v>
      </c>
      <c r="Q800" t="s">
        <v>102</v>
      </c>
      <c r="R800" t="s">
        <v>85</v>
      </c>
      <c r="S800" t="s">
        <v>2462</v>
      </c>
      <c r="T800" t="s">
        <v>3077</v>
      </c>
      <c r="U800" t="s">
        <v>322</v>
      </c>
      <c r="V800" t="s">
        <v>82</v>
      </c>
      <c r="W800" t="s">
        <v>3075</v>
      </c>
      <c r="X800" t="s">
        <v>96</v>
      </c>
      <c r="Y800" t="s">
        <v>82</v>
      </c>
      <c r="Z800" t="s">
        <v>149</v>
      </c>
    </row>
    <row r="801" spans="1:26" x14ac:dyDescent="0.25">
      <c r="A801" t="s">
        <v>3078</v>
      </c>
      <c r="B801" t="s">
        <v>3079</v>
      </c>
      <c r="C801" s="4" t="s">
        <v>2018</v>
      </c>
      <c r="D801" t="s">
        <v>3073</v>
      </c>
      <c r="E801" t="s">
        <v>14</v>
      </c>
      <c r="F801" t="s">
        <v>105</v>
      </c>
      <c r="G801" t="s">
        <v>106</v>
      </c>
      <c r="H801" t="s">
        <v>78</v>
      </c>
      <c r="I801" t="s">
        <v>86</v>
      </c>
      <c r="J801" t="s">
        <v>32</v>
      </c>
      <c r="K801" t="s">
        <v>2460</v>
      </c>
      <c r="L801" t="s">
        <v>89</v>
      </c>
      <c r="M801" t="s">
        <v>318</v>
      </c>
      <c r="N801" t="s">
        <v>1982</v>
      </c>
      <c r="O801" t="s">
        <v>3080</v>
      </c>
      <c r="P801" t="s">
        <v>3080</v>
      </c>
      <c r="Q801" t="s">
        <v>102</v>
      </c>
      <c r="R801" t="s">
        <v>85</v>
      </c>
      <c r="S801" t="s">
        <v>2462</v>
      </c>
      <c r="T801" t="s">
        <v>3079</v>
      </c>
      <c r="U801" t="s">
        <v>322</v>
      </c>
      <c r="V801" t="s">
        <v>82</v>
      </c>
      <c r="W801" t="s">
        <v>3075</v>
      </c>
      <c r="X801" t="s">
        <v>96</v>
      </c>
      <c r="Y801" t="s">
        <v>82</v>
      </c>
      <c r="Z801" t="s">
        <v>149</v>
      </c>
    </row>
    <row r="802" spans="1:26" x14ac:dyDescent="0.25">
      <c r="A802" t="s">
        <v>3081</v>
      </c>
      <c r="B802" t="s">
        <v>3082</v>
      </c>
      <c r="C802" s="4" t="s">
        <v>2018</v>
      </c>
      <c r="D802" t="s">
        <v>3073</v>
      </c>
      <c r="E802" t="s">
        <v>14</v>
      </c>
      <c r="F802" t="s">
        <v>105</v>
      </c>
      <c r="G802" t="s">
        <v>106</v>
      </c>
      <c r="H802" t="s">
        <v>78</v>
      </c>
      <c r="I802" t="s">
        <v>86</v>
      </c>
      <c r="J802" t="s">
        <v>2871</v>
      </c>
      <c r="K802" t="s">
        <v>2460</v>
      </c>
      <c r="L802" t="s">
        <v>89</v>
      </c>
      <c r="M802" t="s">
        <v>318</v>
      </c>
      <c r="N802" t="s">
        <v>1982</v>
      </c>
      <c r="O802" t="s">
        <v>3080</v>
      </c>
      <c r="P802" t="s">
        <v>3080</v>
      </c>
      <c r="Q802" t="s">
        <v>102</v>
      </c>
      <c r="R802" t="s">
        <v>85</v>
      </c>
      <c r="S802" t="s">
        <v>2462</v>
      </c>
      <c r="T802" t="s">
        <v>3082</v>
      </c>
      <c r="U802" t="s">
        <v>322</v>
      </c>
      <c r="V802" t="s">
        <v>82</v>
      </c>
      <c r="W802" t="s">
        <v>3075</v>
      </c>
      <c r="X802" t="s">
        <v>96</v>
      </c>
      <c r="Y802" t="s">
        <v>82</v>
      </c>
      <c r="Z802" t="s">
        <v>149</v>
      </c>
    </row>
    <row r="803" spans="1:26" x14ac:dyDescent="0.25">
      <c r="A803" t="s">
        <v>3083</v>
      </c>
      <c r="B803" t="s">
        <v>3084</v>
      </c>
      <c r="C803" s="4" t="s">
        <v>3085</v>
      </c>
      <c r="D803" t="s">
        <v>3086</v>
      </c>
      <c r="E803" t="s">
        <v>14</v>
      </c>
      <c r="F803" t="s">
        <v>85</v>
      </c>
      <c r="G803" t="s">
        <v>111</v>
      </c>
      <c r="H803" t="s">
        <v>78</v>
      </c>
      <c r="I803" t="s">
        <v>102</v>
      </c>
      <c r="J803" t="s">
        <v>1002</v>
      </c>
      <c r="K803" t="s">
        <v>1981</v>
      </c>
      <c r="L803" t="s">
        <v>89</v>
      </c>
      <c r="M803" t="s">
        <v>318</v>
      </c>
      <c r="N803" t="s">
        <v>2175</v>
      </c>
      <c r="O803" t="s">
        <v>3087</v>
      </c>
      <c r="P803" t="s">
        <v>3087</v>
      </c>
      <c r="Q803" t="s">
        <v>102</v>
      </c>
      <c r="R803" t="s">
        <v>85</v>
      </c>
      <c r="S803" t="s">
        <v>1984</v>
      </c>
      <c r="T803" t="s">
        <v>3084</v>
      </c>
      <c r="U803" t="s">
        <v>322</v>
      </c>
      <c r="V803" t="s">
        <v>82</v>
      </c>
      <c r="W803" t="s">
        <v>3065</v>
      </c>
      <c r="X803" t="s">
        <v>96</v>
      </c>
      <c r="Y803" t="s">
        <v>82</v>
      </c>
      <c r="Z803" t="s">
        <v>149</v>
      </c>
    </row>
    <row r="804" spans="1:26" x14ac:dyDescent="0.25">
      <c r="A804" t="s">
        <v>3088</v>
      </c>
      <c r="B804" t="s">
        <v>3089</v>
      </c>
      <c r="C804" s="4" t="s">
        <v>3085</v>
      </c>
      <c r="D804" t="s">
        <v>3086</v>
      </c>
      <c r="E804" t="s">
        <v>14</v>
      </c>
      <c r="F804" t="s">
        <v>85</v>
      </c>
      <c r="G804" t="s">
        <v>111</v>
      </c>
      <c r="H804" t="s">
        <v>78</v>
      </c>
      <c r="I804" t="s">
        <v>102</v>
      </c>
      <c r="J804" t="s">
        <v>1053</v>
      </c>
      <c r="K804" t="s">
        <v>1981</v>
      </c>
      <c r="L804" t="s">
        <v>89</v>
      </c>
      <c r="M804" t="s">
        <v>318</v>
      </c>
      <c r="N804" t="s">
        <v>2175</v>
      </c>
      <c r="O804" t="s">
        <v>3090</v>
      </c>
      <c r="P804" t="s">
        <v>3090</v>
      </c>
      <c r="Q804" t="s">
        <v>102</v>
      </c>
      <c r="R804" t="s">
        <v>85</v>
      </c>
      <c r="S804" t="s">
        <v>1984</v>
      </c>
      <c r="T804" t="s">
        <v>3089</v>
      </c>
      <c r="U804" t="s">
        <v>322</v>
      </c>
      <c r="V804" t="s">
        <v>82</v>
      </c>
      <c r="W804" t="s">
        <v>3065</v>
      </c>
      <c r="X804" t="s">
        <v>96</v>
      </c>
      <c r="Y804" t="s">
        <v>82</v>
      </c>
      <c r="Z804" t="s">
        <v>149</v>
      </c>
    </row>
    <row r="805" spans="1:26" x14ac:dyDescent="0.25">
      <c r="A805" t="s">
        <v>3091</v>
      </c>
      <c r="B805" t="s">
        <v>3092</v>
      </c>
      <c r="C805" s="4" t="s">
        <v>3085</v>
      </c>
      <c r="D805" t="s">
        <v>3086</v>
      </c>
      <c r="E805" t="s">
        <v>14</v>
      </c>
      <c r="F805" t="s">
        <v>85</v>
      </c>
      <c r="G805" t="s">
        <v>111</v>
      </c>
      <c r="H805" t="s">
        <v>78</v>
      </c>
      <c r="I805" t="s">
        <v>102</v>
      </c>
      <c r="J805" t="s">
        <v>29</v>
      </c>
      <c r="K805" t="s">
        <v>1981</v>
      </c>
      <c r="L805" t="s">
        <v>89</v>
      </c>
      <c r="M805" t="s">
        <v>318</v>
      </c>
      <c r="N805" t="s">
        <v>2175</v>
      </c>
      <c r="O805" t="s">
        <v>3090</v>
      </c>
      <c r="P805" t="s">
        <v>3090</v>
      </c>
      <c r="Q805" t="s">
        <v>102</v>
      </c>
      <c r="R805" t="s">
        <v>85</v>
      </c>
      <c r="S805" t="s">
        <v>1984</v>
      </c>
      <c r="T805" t="s">
        <v>3092</v>
      </c>
      <c r="U805" t="s">
        <v>322</v>
      </c>
      <c r="V805" t="s">
        <v>82</v>
      </c>
      <c r="W805" t="s">
        <v>3065</v>
      </c>
      <c r="X805" t="s">
        <v>96</v>
      </c>
      <c r="Y805" t="s">
        <v>82</v>
      </c>
      <c r="Z805" t="s">
        <v>149</v>
      </c>
    </row>
    <row r="806" spans="1:26" x14ac:dyDescent="0.25">
      <c r="A806" t="s">
        <v>3093</v>
      </c>
      <c r="B806" t="s">
        <v>3094</v>
      </c>
      <c r="C806" s="4" t="s">
        <v>2016</v>
      </c>
      <c r="D806" t="s">
        <v>3095</v>
      </c>
      <c r="E806" t="s">
        <v>14</v>
      </c>
      <c r="F806" t="s">
        <v>83</v>
      </c>
      <c r="G806" t="s">
        <v>84</v>
      </c>
      <c r="H806" t="s">
        <v>78</v>
      </c>
      <c r="I806" t="s">
        <v>86</v>
      </c>
      <c r="J806" t="s">
        <v>1053</v>
      </c>
      <c r="K806" t="s">
        <v>1592</v>
      </c>
      <c r="L806" t="s">
        <v>89</v>
      </c>
      <c r="M806" t="s">
        <v>318</v>
      </c>
      <c r="N806" t="s">
        <v>3096</v>
      </c>
      <c r="O806" t="s">
        <v>3097</v>
      </c>
      <c r="P806" t="s">
        <v>3097</v>
      </c>
      <c r="Q806" t="s">
        <v>102</v>
      </c>
      <c r="R806" t="s">
        <v>85</v>
      </c>
      <c r="S806" t="s">
        <v>1595</v>
      </c>
      <c r="T806" t="s">
        <v>3094</v>
      </c>
      <c r="U806" t="s">
        <v>322</v>
      </c>
      <c r="V806" t="s">
        <v>82</v>
      </c>
      <c r="W806" t="s">
        <v>3098</v>
      </c>
      <c r="X806" t="s">
        <v>96</v>
      </c>
      <c r="Y806" t="s">
        <v>82</v>
      </c>
      <c r="Z806" t="s">
        <v>149</v>
      </c>
    </row>
    <row r="807" spans="1:26" x14ac:dyDescent="0.25">
      <c r="A807" t="s">
        <v>3099</v>
      </c>
      <c r="B807" t="s">
        <v>3100</v>
      </c>
      <c r="C807" s="4" t="s">
        <v>2016</v>
      </c>
      <c r="D807" t="s">
        <v>3095</v>
      </c>
      <c r="E807" t="s">
        <v>14</v>
      </c>
      <c r="F807" t="s">
        <v>83</v>
      </c>
      <c r="G807" t="s">
        <v>84</v>
      </c>
      <c r="H807" t="s">
        <v>78</v>
      </c>
      <c r="I807" t="s">
        <v>86</v>
      </c>
      <c r="J807" t="s">
        <v>32</v>
      </c>
      <c r="K807" t="s">
        <v>1592</v>
      </c>
      <c r="L807" t="s">
        <v>89</v>
      </c>
      <c r="M807" t="s">
        <v>318</v>
      </c>
      <c r="N807" t="s">
        <v>3096</v>
      </c>
      <c r="O807" t="s">
        <v>3097</v>
      </c>
      <c r="P807" t="s">
        <v>3097</v>
      </c>
      <c r="Q807" t="s">
        <v>102</v>
      </c>
      <c r="R807" t="s">
        <v>85</v>
      </c>
      <c r="S807" t="s">
        <v>1595</v>
      </c>
      <c r="T807" t="s">
        <v>3100</v>
      </c>
      <c r="U807" t="s">
        <v>322</v>
      </c>
      <c r="V807" t="s">
        <v>82</v>
      </c>
      <c r="W807" t="s">
        <v>3098</v>
      </c>
      <c r="X807" t="s">
        <v>96</v>
      </c>
      <c r="Y807" t="s">
        <v>82</v>
      </c>
      <c r="Z807" t="s">
        <v>149</v>
      </c>
    </row>
    <row r="808" spans="1:26" x14ac:dyDescent="0.25">
      <c r="A808" t="s">
        <v>3101</v>
      </c>
      <c r="B808" t="s">
        <v>3102</v>
      </c>
      <c r="C808" s="4" t="s">
        <v>2016</v>
      </c>
      <c r="D808" t="s">
        <v>3095</v>
      </c>
      <c r="E808" t="s">
        <v>14</v>
      </c>
      <c r="F808" t="s">
        <v>83</v>
      </c>
      <c r="G808" t="s">
        <v>84</v>
      </c>
      <c r="H808" t="s">
        <v>78</v>
      </c>
      <c r="I808" t="s">
        <v>86</v>
      </c>
      <c r="J808" t="s">
        <v>33</v>
      </c>
      <c r="K808" t="s">
        <v>1592</v>
      </c>
      <c r="L808" t="s">
        <v>89</v>
      </c>
      <c r="M808" t="s">
        <v>318</v>
      </c>
      <c r="N808" t="s">
        <v>3096</v>
      </c>
      <c r="O808" t="s">
        <v>3103</v>
      </c>
      <c r="P808" t="s">
        <v>3103</v>
      </c>
      <c r="Q808" t="s">
        <v>102</v>
      </c>
      <c r="R808" t="s">
        <v>85</v>
      </c>
      <c r="S808" t="s">
        <v>1595</v>
      </c>
      <c r="T808" t="s">
        <v>3102</v>
      </c>
      <c r="U808" t="s">
        <v>322</v>
      </c>
      <c r="V808" t="s">
        <v>82</v>
      </c>
      <c r="W808" t="s">
        <v>3098</v>
      </c>
      <c r="X808" t="s">
        <v>96</v>
      </c>
      <c r="Y808" t="s">
        <v>82</v>
      </c>
      <c r="Z808" t="s">
        <v>149</v>
      </c>
    </row>
    <row r="809" spans="1:26" x14ac:dyDescent="0.25">
      <c r="A809" t="s">
        <v>3104</v>
      </c>
      <c r="B809" t="s">
        <v>3105</v>
      </c>
      <c r="C809" s="4" t="s">
        <v>2016</v>
      </c>
      <c r="D809" t="s">
        <v>3095</v>
      </c>
      <c r="E809" t="s">
        <v>14</v>
      </c>
      <c r="F809" t="s">
        <v>83</v>
      </c>
      <c r="G809" t="s">
        <v>84</v>
      </c>
      <c r="H809" t="s">
        <v>78</v>
      </c>
      <c r="I809" t="s">
        <v>86</v>
      </c>
      <c r="J809" t="s">
        <v>1002</v>
      </c>
      <c r="K809" t="s">
        <v>1592</v>
      </c>
      <c r="L809" t="s">
        <v>89</v>
      </c>
      <c r="M809" t="s">
        <v>318</v>
      </c>
      <c r="N809" t="s">
        <v>3096</v>
      </c>
      <c r="O809" t="s">
        <v>3103</v>
      </c>
      <c r="P809" t="s">
        <v>3103</v>
      </c>
      <c r="Q809" t="s">
        <v>102</v>
      </c>
      <c r="R809" t="s">
        <v>85</v>
      </c>
      <c r="S809" t="s">
        <v>1595</v>
      </c>
      <c r="T809" t="s">
        <v>3105</v>
      </c>
      <c r="U809" t="s">
        <v>322</v>
      </c>
      <c r="V809" t="s">
        <v>82</v>
      </c>
      <c r="W809" t="s">
        <v>3098</v>
      </c>
      <c r="X809" t="s">
        <v>96</v>
      </c>
      <c r="Y809" t="s">
        <v>82</v>
      </c>
      <c r="Z809" t="s">
        <v>149</v>
      </c>
    </row>
    <row r="810" spans="1:26" x14ac:dyDescent="0.25">
      <c r="A810" t="s">
        <v>3106</v>
      </c>
      <c r="B810" t="s">
        <v>3107</v>
      </c>
      <c r="C810" s="4" t="s">
        <v>1066</v>
      </c>
      <c r="D810" t="s">
        <v>2819</v>
      </c>
      <c r="E810" t="s">
        <v>14</v>
      </c>
      <c r="F810" t="s">
        <v>85</v>
      </c>
      <c r="G810" t="s">
        <v>111</v>
      </c>
      <c r="H810" t="s">
        <v>78</v>
      </c>
      <c r="I810" t="s">
        <v>102</v>
      </c>
      <c r="J810" t="s">
        <v>37</v>
      </c>
      <c r="K810" t="s">
        <v>1592</v>
      </c>
      <c r="L810" t="s">
        <v>89</v>
      </c>
      <c r="M810" t="s">
        <v>318</v>
      </c>
      <c r="N810" t="s">
        <v>90</v>
      </c>
      <c r="O810" t="s">
        <v>3108</v>
      </c>
      <c r="P810" t="s">
        <v>3108</v>
      </c>
      <c r="Q810" t="s">
        <v>78</v>
      </c>
      <c r="R810" t="s">
        <v>85</v>
      </c>
      <c r="S810" t="s">
        <v>2437</v>
      </c>
      <c r="T810" t="s">
        <v>3107</v>
      </c>
      <c r="U810" t="s">
        <v>322</v>
      </c>
      <c r="V810" t="s">
        <v>82</v>
      </c>
      <c r="W810" t="s">
        <v>904</v>
      </c>
      <c r="X810" t="s">
        <v>96</v>
      </c>
      <c r="Y810" t="s">
        <v>82</v>
      </c>
      <c r="Z810" t="s">
        <v>143</v>
      </c>
    </row>
    <row r="811" spans="1:26" x14ac:dyDescent="0.25">
      <c r="A811" t="s">
        <v>3109</v>
      </c>
      <c r="B811" t="s">
        <v>3110</v>
      </c>
      <c r="C811" s="4" t="s">
        <v>1066</v>
      </c>
      <c r="D811" t="s">
        <v>2819</v>
      </c>
      <c r="E811" t="s">
        <v>14</v>
      </c>
      <c r="F811" t="s">
        <v>85</v>
      </c>
      <c r="G811" t="s">
        <v>111</v>
      </c>
      <c r="H811" t="s">
        <v>78</v>
      </c>
      <c r="I811" t="s">
        <v>102</v>
      </c>
      <c r="J811" t="s">
        <v>15</v>
      </c>
      <c r="K811" t="s">
        <v>1592</v>
      </c>
      <c r="L811" t="s">
        <v>89</v>
      </c>
      <c r="M811" t="s">
        <v>318</v>
      </c>
      <c r="N811" t="s">
        <v>90</v>
      </c>
      <c r="O811" t="s">
        <v>3108</v>
      </c>
      <c r="P811" t="s">
        <v>3108</v>
      </c>
      <c r="Q811" t="s">
        <v>78</v>
      </c>
      <c r="R811" t="s">
        <v>85</v>
      </c>
      <c r="S811" t="s">
        <v>2437</v>
      </c>
      <c r="T811" t="s">
        <v>3110</v>
      </c>
      <c r="U811" t="s">
        <v>322</v>
      </c>
      <c r="V811" t="s">
        <v>82</v>
      </c>
      <c r="W811" t="s">
        <v>904</v>
      </c>
      <c r="X811" t="s">
        <v>96</v>
      </c>
      <c r="Y811" t="s">
        <v>82</v>
      </c>
      <c r="Z811" t="s">
        <v>143</v>
      </c>
    </row>
    <row r="812" spans="1:26" x14ac:dyDescent="0.25">
      <c r="A812" t="s">
        <v>3111</v>
      </c>
      <c r="B812" t="s">
        <v>3112</v>
      </c>
      <c r="C812" s="4" t="s">
        <v>1066</v>
      </c>
      <c r="D812" t="s">
        <v>2819</v>
      </c>
      <c r="E812" t="s">
        <v>14</v>
      </c>
      <c r="F812" t="s">
        <v>85</v>
      </c>
      <c r="G812" t="s">
        <v>111</v>
      </c>
      <c r="H812" t="s">
        <v>78</v>
      </c>
      <c r="I812" t="s">
        <v>102</v>
      </c>
      <c r="J812" t="s">
        <v>130</v>
      </c>
      <c r="K812" t="s">
        <v>1592</v>
      </c>
      <c r="L812" t="s">
        <v>89</v>
      </c>
      <c r="M812" t="s">
        <v>318</v>
      </c>
      <c r="N812" t="s">
        <v>90</v>
      </c>
      <c r="O812" t="s">
        <v>3108</v>
      </c>
      <c r="P812" t="s">
        <v>3108</v>
      </c>
      <c r="Q812" t="s">
        <v>78</v>
      </c>
      <c r="R812" t="s">
        <v>85</v>
      </c>
      <c r="S812" t="s">
        <v>2437</v>
      </c>
      <c r="T812" t="s">
        <v>3112</v>
      </c>
      <c r="U812" t="s">
        <v>322</v>
      </c>
      <c r="V812" t="s">
        <v>82</v>
      </c>
      <c r="W812" t="s">
        <v>904</v>
      </c>
      <c r="X812" t="s">
        <v>96</v>
      </c>
      <c r="Y812" t="s">
        <v>82</v>
      </c>
      <c r="Z812" t="s">
        <v>143</v>
      </c>
    </row>
    <row r="813" spans="1:26" x14ac:dyDescent="0.25">
      <c r="A813" t="s">
        <v>3113</v>
      </c>
      <c r="B813" t="s">
        <v>3114</v>
      </c>
      <c r="C813" s="4" t="s">
        <v>1036</v>
      </c>
      <c r="D813" t="s">
        <v>3115</v>
      </c>
      <c r="E813" t="s">
        <v>14</v>
      </c>
      <c r="F813" t="s">
        <v>85</v>
      </c>
      <c r="G813" t="s">
        <v>111</v>
      </c>
      <c r="H813" t="s">
        <v>78</v>
      </c>
      <c r="I813" t="s">
        <v>102</v>
      </c>
      <c r="J813" t="s">
        <v>2494</v>
      </c>
      <c r="K813" t="s">
        <v>3116</v>
      </c>
      <c r="L813" t="s">
        <v>89</v>
      </c>
      <c r="M813" t="s">
        <v>318</v>
      </c>
      <c r="N813" t="s">
        <v>1025</v>
      </c>
      <c r="O813" t="s">
        <v>3117</v>
      </c>
      <c r="P813" t="s">
        <v>3117</v>
      </c>
      <c r="Q813" t="s">
        <v>78</v>
      </c>
      <c r="R813" t="s">
        <v>85</v>
      </c>
      <c r="S813" t="s">
        <v>3118</v>
      </c>
      <c r="T813" t="s">
        <v>3114</v>
      </c>
      <c r="U813" t="s">
        <v>322</v>
      </c>
      <c r="V813" t="s">
        <v>82</v>
      </c>
      <c r="W813" t="s">
        <v>354</v>
      </c>
      <c r="X813" t="s">
        <v>96</v>
      </c>
      <c r="Y813" t="s">
        <v>82</v>
      </c>
      <c r="Z813" t="s">
        <v>143</v>
      </c>
    </row>
    <row r="814" spans="1:26" x14ac:dyDescent="0.25">
      <c r="A814" t="s">
        <v>3119</v>
      </c>
      <c r="B814" t="s">
        <v>3120</v>
      </c>
      <c r="C814" s="4" t="s">
        <v>1036</v>
      </c>
      <c r="D814" t="s">
        <v>3115</v>
      </c>
      <c r="E814" t="s">
        <v>14</v>
      </c>
      <c r="F814" t="s">
        <v>85</v>
      </c>
      <c r="G814" t="s">
        <v>111</v>
      </c>
      <c r="H814" t="s">
        <v>78</v>
      </c>
      <c r="I814" t="s">
        <v>102</v>
      </c>
      <c r="J814" t="s">
        <v>37</v>
      </c>
      <c r="K814" t="s">
        <v>3116</v>
      </c>
      <c r="L814" t="s">
        <v>89</v>
      </c>
      <c r="M814" t="s">
        <v>318</v>
      </c>
      <c r="N814" t="s">
        <v>1025</v>
      </c>
      <c r="O814" t="s">
        <v>3117</v>
      </c>
      <c r="P814" t="s">
        <v>3117</v>
      </c>
      <c r="Q814" t="s">
        <v>78</v>
      </c>
      <c r="R814" t="s">
        <v>85</v>
      </c>
      <c r="S814" t="s">
        <v>3118</v>
      </c>
      <c r="T814" t="s">
        <v>3120</v>
      </c>
      <c r="U814" t="s">
        <v>322</v>
      </c>
      <c r="V814" t="s">
        <v>82</v>
      </c>
      <c r="W814" t="s">
        <v>354</v>
      </c>
      <c r="X814" t="s">
        <v>96</v>
      </c>
      <c r="Y814" t="s">
        <v>82</v>
      </c>
      <c r="Z814" t="s">
        <v>143</v>
      </c>
    </row>
    <row r="815" spans="1:26" x14ac:dyDescent="0.25">
      <c r="A815" t="s">
        <v>3121</v>
      </c>
      <c r="B815" t="s">
        <v>3122</v>
      </c>
      <c r="C815" s="4" t="s">
        <v>1036</v>
      </c>
      <c r="D815" t="s">
        <v>3115</v>
      </c>
      <c r="E815" t="s">
        <v>14</v>
      </c>
      <c r="F815" t="s">
        <v>85</v>
      </c>
      <c r="G815" t="s">
        <v>111</v>
      </c>
      <c r="H815" t="s">
        <v>78</v>
      </c>
      <c r="I815" t="s">
        <v>102</v>
      </c>
      <c r="J815" t="s">
        <v>130</v>
      </c>
      <c r="K815" t="s">
        <v>3116</v>
      </c>
      <c r="L815" t="s">
        <v>89</v>
      </c>
      <c r="M815" t="s">
        <v>318</v>
      </c>
      <c r="N815" t="s">
        <v>1025</v>
      </c>
      <c r="O815" t="s">
        <v>3117</v>
      </c>
      <c r="P815" t="s">
        <v>3117</v>
      </c>
      <c r="Q815" t="s">
        <v>78</v>
      </c>
      <c r="R815" t="s">
        <v>85</v>
      </c>
      <c r="S815" t="s">
        <v>3118</v>
      </c>
      <c r="T815" t="s">
        <v>3122</v>
      </c>
      <c r="U815" t="s">
        <v>322</v>
      </c>
      <c r="V815" t="s">
        <v>82</v>
      </c>
      <c r="W815" t="s">
        <v>354</v>
      </c>
      <c r="X815" t="s">
        <v>96</v>
      </c>
      <c r="Y815" t="s">
        <v>82</v>
      </c>
      <c r="Z815" t="s">
        <v>143</v>
      </c>
    </row>
    <row r="816" spans="1:26" x14ac:dyDescent="0.25">
      <c r="A816" t="s">
        <v>3123</v>
      </c>
      <c r="B816" t="s">
        <v>3124</v>
      </c>
      <c r="C816" s="4" t="s">
        <v>1036</v>
      </c>
      <c r="D816" t="s">
        <v>3115</v>
      </c>
      <c r="E816" t="s">
        <v>14</v>
      </c>
      <c r="F816" t="s">
        <v>85</v>
      </c>
      <c r="G816" t="s">
        <v>111</v>
      </c>
      <c r="H816" t="s">
        <v>78</v>
      </c>
      <c r="I816" t="s">
        <v>102</v>
      </c>
      <c r="J816" t="s">
        <v>537</v>
      </c>
      <c r="K816" t="s">
        <v>3116</v>
      </c>
      <c r="L816" t="s">
        <v>89</v>
      </c>
      <c r="M816" t="s">
        <v>318</v>
      </c>
      <c r="N816" t="s">
        <v>1025</v>
      </c>
      <c r="O816" t="s">
        <v>3117</v>
      </c>
      <c r="P816" t="s">
        <v>3117</v>
      </c>
      <c r="Q816" t="s">
        <v>78</v>
      </c>
      <c r="R816" t="s">
        <v>85</v>
      </c>
      <c r="S816" t="s">
        <v>3118</v>
      </c>
      <c r="T816" t="s">
        <v>3124</v>
      </c>
      <c r="U816" t="s">
        <v>322</v>
      </c>
      <c r="V816" t="s">
        <v>82</v>
      </c>
      <c r="W816" t="s">
        <v>354</v>
      </c>
      <c r="X816" t="s">
        <v>96</v>
      </c>
      <c r="Y816" t="s">
        <v>82</v>
      </c>
      <c r="Z816" t="s">
        <v>143</v>
      </c>
    </row>
    <row r="817" spans="1:26" x14ac:dyDescent="0.25">
      <c r="A817" t="s">
        <v>3125</v>
      </c>
      <c r="B817" t="s">
        <v>3126</v>
      </c>
      <c r="C817" s="4" t="s">
        <v>1425</v>
      </c>
      <c r="D817" t="s">
        <v>3127</v>
      </c>
      <c r="E817" t="s">
        <v>14</v>
      </c>
      <c r="F817" t="s">
        <v>83</v>
      </c>
      <c r="G817" t="s">
        <v>105</v>
      </c>
      <c r="H817" t="s">
        <v>78</v>
      </c>
      <c r="I817" t="s">
        <v>102</v>
      </c>
      <c r="J817" t="s">
        <v>15</v>
      </c>
      <c r="K817" t="s">
        <v>1046</v>
      </c>
      <c r="L817" t="s">
        <v>89</v>
      </c>
      <c r="M817" t="s">
        <v>318</v>
      </c>
      <c r="N817" t="s">
        <v>1004</v>
      </c>
      <c r="O817" t="s">
        <v>3128</v>
      </c>
      <c r="P817" t="s">
        <v>3129</v>
      </c>
      <c r="Q817" t="s">
        <v>78</v>
      </c>
      <c r="R817" t="s">
        <v>85</v>
      </c>
      <c r="S817" t="s">
        <v>1561</v>
      </c>
      <c r="T817" t="s">
        <v>3126</v>
      </c>
      <c r="U817" t="s">
        <v>322</v>
      </c>
      <c r="V817" t="s">
        <v>82</v>
      </c>
      <c r="W817" t="s">
        <v>3130</v>
      </c>
      <c r="X817" t="s">
        <v>96</v>
      </c>
      <c r="Y817" t="s">
        <v>82</v>
      </c>
      <c r="Z817" t="s">
        <v>143</v>
      </c>
    </row>
    <row r="818" spans="1:26" x14ac:dyDescent="0.25">
      <c r="A818" t="s">
        <v>3131</v>
      </c>
      <c r="B818" t="s">
        <v>3132</v>
      </c>
      <c r="C818" s="4" t="s">
        <v>1425</v>
      </c>
      <c r="D818" t="s">
        <v>3127</v>
      </c>
      <c r="E818" t="s">
        <v>14</v>
      </c>
      <c r="F818" t="s">
        <v>83</v>
      </c>
      <c r="G818" t="s">
        <v>105</v>
      </c>
      <c r="H818" t="s">
        <v>78</v>
      </c>
      <c r="I818" t="s">
        <v>102</v>
      </c>
      <c r="J818" t="s">
        <v>130</v>
      </c>
      <c r="K818" t="s">
        <v>1046</v>
      </c>
      <c r="L818" t="s">
        <v>89</v>
      </c>
      <c r="M818" t="s">
        <v>318</v>
      </c>
      <c r="N818" t="s">
        <v>1004</v>
      </c>
      <c r="O818" t="s">
        <v>3128</v>
      </c>
      <c r="P818" t="s">
        <v>3133</v>
      </c>
      <c r="Q818" t="s">
        <v>78</v>
      </c>
      <c r="R818" t="s">
        <v>85</v>
      </c>
      <c r="S818" t="s">
        <v>1561</v>
      </c>
      <c r="T818" t="s">
        <v>3132</v>
      </c>
      <c r="U818" t="s">
        <v>322</v>
      </c>
      <c r="V818" t="s">
        <v>82</v>
      </c>
      <c r="W818" t="s">
        <v>3130</v>
      </c>
      <c r="X818" t="s">
        <v>96</v>
      </c>
      <c r="Y818" t="s">
        <v>82</v>
      </c>
      <c r="Z818" t="s">
        <v>143</v>
      </c>
    </row>
    <row r="819" spans="1:26" x14ac:dyDescent="0.25">
      <c r="A819" t="s">
        <v>3134</v>
      </c>
      <c r="B819" t="s">
        <v>3135</v>
      </c>
      <c r="C819" s="4" t="s">
        <v>1425</v>
      </c>
      <c r="D819" t="s">
        <v>3127</v>
      </c>
      <c r="E819" t="s">
        <v>14</v>
      </c>
      <c r="F819" t="s">
        <v>83</v>
      </c>
      <c r="G819" t="s">
        <v>105</v>
      </c>
      <c r="H819" t="s">
        <v>78</v>
      </c>
      <c r="I819" t="s">
        <v>102</v>
      </c>
      <c r="J819" t="s">
        <v>37</v>
      </c>
      <c r="K819" t="s">
        <v>1046</v>
      </c>
      <c r="L819" t="s">
        <v>89</v>
      </c>
      <c r="M819" t="s">
        <v>318</v>
      </c>
      <c r="N819" t="s">
        <v>1004</v>
      </c>
      <c r="O819" t="s">
        <v>3128</v>
      </c>
      <c r="P819" t="s">
        <v>3136</v>
      </c>
      <c r="Q819" t="s">
        <v>78</v>
      </c>
      <c r="R819" t="s">
        <v>85</v>
      </c>
      <c r="S819" t="s">
        <v>1561</v>
      </c>
      <c r="T819" t="s">
        <v>3135</v>
      </c>
      <c r="U819" t="s">
        <v>322</v>
      </c>
      <c r="V819" t="s">
        <v>82</v>
      </c>
      <c r="W819" t="s">
        <v>3130</v>
      </c>
      <c r="X819" t="s">
        <v>96</v>
      </c>
      <c r="Y819" t="s">
        <v>82</v>
      </c>
      <c r="Z819" t="s">
        <v>143</v>
      </c>
    </row>
    <row r="820" spans="1:26" x14ac:dyDescent="0.25">
      <c r="A820" t="s">
        <v>3137</v>
      </c>
      <c r="B820" t="s">
        <v>3138</v>
      </c>
      <c r="C820" s="4" t="s">
        <v>1425</v>
      </c>
      <c r="D820" t="s">
        <v>3127</v>
      </c>
      <c r="E820" t="s">
        <v>14</v>
      </c>
      <c r="F820" t="s">
        <v>83</v>
      </c>
      <c r="G820" t="s">
        <v>105</v>
      </c>
      <c r="H820" t="s">
        <v>78</v>
      </c>
      <c r="I820" t="s">
        <v>102</v>
      </c>
      <c r="J820" t="s">
        <v>537</v>
      </c>
      <c r="K820" t="s">
        <v>1046</v>
      </c>
      <c r="L820" t="s">
        <v>89</v>
      </c>
      <c r="M820" t="s">
        <v>318</v>
      </c>
      <c r="N820" t="s">
        <v>1004</v>
      </c>
      <c r="O820" t="s">
        <v>3139</v>
      </c>
      <c r="P820" t="s">
        <v>3140</v>
      </c>
      <c r="Q820" t="s">
        <v>78</v>
      </c>
      <c r="R820" t="s">
        <v>85</v>
      </c>
      <c r="S820" t="s">
        <v>1561</v>
      </c>
      <c r="T820" t="s">
        <v>3138</v>
      </c>
      <c r="U820" t="s">
        <v>322</v>
      </c>
      <c r="V820" t="s">
        <v>82</v>
      </c>
      <c r="W820" t="s">
        <v>3130</v>
      </c>
      <c r="X820" t="s">
        <v>96</v>
      </c>
      <c r="Y820" t="s">
        <v>82</v>
      </c>
      <c r="Z820" t="s">
        <v>143</v>
      </c>
    </row>
    <row r="821" spans="1:26" x14ac:dyDescent="0.25">
      <c r="A821" t="s">
        <v>3141</v>
      </c>
      <c r="B821" t="s">
        <v>3142</v>
      </c>
      <c r="C821" s="4" t="s">
        <v>1802</v>
      </c>
      <c r="D821" t="s">
        <v>3143</v>
      </c>
      <c r="E821" t="s">
        <v>14</v>
      </c>
      <c r="F821" t="s">
        <v>146</v>
      </c>
      <c r="G821" t="s">
        <v>160</v>
      </c>
      <c r="H821" t="s">
        <v>78</v>
      </c>
      <c r="I821" t="s">
        <v>86</v>
      </c>
      <c r="J821" t="s">
        <v>340</v>
      </c>
      <c r="K821" t="s">
        <v>1592</v>
      </c>
      <c r="L821" t="s">
        <v>89</v>
      </c>
      <c r="M821" t="s">
        <v>318</v>
      </c>
      <c r="N821" t="s">
        <v>1593</v>
      </c>
      <c r="O821" t="s">
        <v>3144</v>
      </c>
      <c r="P821" t="s">
        <v>3144</v>
      </c>
      <c r="Q821" t="s">
        <v>78</v>
      </c>
      <c r="R821" t="s">
        <v>85</v>
      </c>
      <c r="S821" t="s">
        <v>1595</v>
      </c>
      <c r="T821" t="s">
        <v>3142</v>
      </c>
      <c r="U821" t="s">
        <v>322</v>
      </c>
      <c r="V821" t="s">
        <v>82</v>
      </c>
      <c r="W821" t="s">
        <v>940</v>
      </c>
      <c r="X821" t="s">
        <v>96</v>
      </c>
      <c r="Y821" t="s">
        <v>82</v>
      </c>
      <c r="Z821" t="s">
        <v>143</v>
      </c>
    </row>
    <row r="822" spans="1:26" x14ac:dyDescent="0.25">
      <c r="A822" t="s">
        <v>3145</v>
      </c>
      <c r="B822" t="s">
        <v>3146</v>
      </c>
      <c r="C822" s="4" t="s">
        <v>1802</v>
      </c>
      <c r="D822" t="s">
        <v>3143</v>
      </c>
      <c r="E822" t="s">
        <v>14</v>
      </c>
      <c r="F822" t="s">
        <v>146</v>
      </c>
      <c r="G822" t="s">
        <v>160</v>
      </c>
      <c r="H822" t="s">
        <v>78</v>
      </c>
      <c r="I822" t="s">
        <v>86</v>
      </c>
      <c r="J822" t="s">
        <v>15</v>
      </c>
      <c r="K822" t="s">
        <v>1592</v>
      </c>
      <c r="L822" t="s">
        <v>89</v>
      </c>
      <c r="M822" t="s">
        <v>318</v>
      </c>
      <c r="N822" t="s">
        <v>1593</v>
      </c>
      <c r="O822" t="s">
        <v>3144</v>
      </c>
      <c r="P822" t="s">
        <v>3144</v>
      </c>
      <c r="Q822" t="s">
        <v>78</v>
      </c>
      <c r="R822" t="s">
        <v>85</v>
      </c>
      <c r="S822" t="s">
        <v>1595</v>
      </c>
      <c r="T822" t="s">
        <v>3146</v>
      </c>
      <c r="U822" t="s">
        <v>322</v>
      </c>
      <c r="V822" t="s">
        <v>82</v>
      </c>
      <c r="W822" t="s">
        <v>940</v>
      </c>
      <c r="X822" t="s">
        <v>96</v>
      </c>
      <c r="Y822" t="s">
        <v>82</v>
      </c>
      <c r="Z822" t="s">
        <v>143</v>
      </c>
    </row>
    <row r="823" spans="1:26" x14ac:dyDescent="0.25">
      <c r="A823" t="s">
        <v>3147</v>
      </c>
      <c r="B823" t="s">
        <v>3148</v>
      </c>
      <c r="C823" s="4" t="s">
        <v>1802</v>
      </c>
      <c r="D823" t="s">
        <v>3143</v>
      </c>
      <c r="E823" t="s">
        <v>14</v>
      </c>
      <c r="F823" t="s">
        <v>146</v>
      </c>
      <c r="G823" t="s">
        <v>160</v>
      </c>
      <c r="H823" t="s">
        <v>78</v>
      </c>
      <c r="I823" t="s">
        <v>86</v>
      </c>
      <c r="J823" t="s">
        <v>17</v>
      </c>
      <c r="K823" t="s">
        <v>1592</v>
      </c>
      <c r="L823" t="s">
        <v>89</v>
      </c>
      <c r="M823" t="s">
        <v>318</v>
      </c>
      <c r="N823" t="s">
        <v>1593</v>
      </c>
      <c r="O823" t="s">
        <v>3144</v>
      </c>
      <c r="P823" t="s">
        <v>3144</v>
      </c>
      <c r="Q823" t="s">
        <v>78</v>
      </c>
      <c r="R823" t="s">
        <v>85</v>
      </c>
      <c r="S823" t="s">
        <v>1595</v>
      </c>
      <c r="T823" t="s">
        <v>3148</v>
      </c>
      <c r="U823" t="s">
        <v>322</v>
      </c>
      <c r="V823" t="s">
        <v>82</v>
      </c>
      <c r="W823" t="s">
        <v>940</v>
      </c>
      <c r="X823" t="s">
        <v>96</v>
      </c>
      <c r="Y823" t="s">
        <v>82</v>
      </c>
      <c r="Z823" t="s">
        <v>143</v>
      </c>
    </row>
    <row r="824" spans="1:26" x14ac:dyDescent="0.25">
      <c r="A824" t="s">
        <v>3149</v>
      </c>
      <c r="B824" t="s">
        <v>3150</v>
      </c>
      <c r="C824" s="4" t="s">
        <v>1802</v>
      </c>
      <c r="D824" t="s">
        <v>3143</v>
      </c>
      <c r="E824" t="s">
        <v>14</v>
      </c>
      <c r="F824" t="s">
        <v>146</v>
      </c>
      <c r="G824" t="s">
        <v>160</v>
      </c>
      <c r="H824" t="s">
        <v>78</v>
      </c>
      <c r="I824" t="s">
        <v>86</v>
      </c>
      <c r="J824" t="s">
        <v>37</v>
      </c>
      <c r="K824" t="s">
        <v>1592</v>
      </c>
      <c r="L824" t="s">
        <v>89</v>
      </c>
      <c r="M824" t="s">
        <v>318</v>
      </c>
      <c r="N824" t="s">
        <v>1593</v>
      </c>
      <c r="O824" t="s">
        <v>3151</v>
      </c>
      <c r="P824" t="s">
        <v>3151</v>
      </c>
      <c r="Q824" t="s">
        <v>78</v>
      </c>
      <c r="R824" t="s">
        <v>85</v>
      </c>
      <c r="S824" t="s">
        <v>1595</v>
      </c>
      <c r="T824" t="s">
        <v>3150</v>
      </c>
      <c r="U824" t="s">
        <v>322</v>
      </c>
      <c r="V824" t="s">
        <v>82</v>
      </c>
      <c r="W824" t="s">
        <v>940</v>
      </c>
      <c r="X824" t="s">
        <v>96</v>
      </c>
      <c r="Y824" t="s">
        <v>82</v>
      </c>
      <c r="Z824" t="s">
        <v>143</v>
      </c>
    </row>
    <row r="825" spans="1:26" x14ac:dyDescent="0.25">
      <c r="A825" t="s">
        <v>3152</v>
      </c>
      <c r="B825" t="s">
        <v>3153</v>
      </c>
      <c r="C825" s="4" t="s">
        <v>579</v>
      </c>
      <c r="D825" t="s">
        <v>3154</v>
      </c>
      <c r="E825" t="s">
        <v>14</v>
      </c>
      <c r="F825" t="s">
        <v>85</v>
      </c>
      <c r="G825" t="s">
        <v>111</v>
      </c>
      <c r="H825" t="s">
        <v>78</v>
      </c>
      <c r="I825" t="s">
        <v>102</v>
      </c>
      <c r="J825" t="s">
        <v>546</v>
      </c>
      <c r="K825" t="s">
        <v>3155</v>
      </c>
      <c r="L825" t="s">
        <v>89</v>
      </c>
      <c r="M825" t="s">
        <v>318</v>
      </c>
      <c r="N825" t="s">
        <v>1047</v>
      </c>
      <c r="O825" t="s">
        <v>3156</v>
      </c>
      <c r="P825" t="s">
        <v>3157</v>
      </c>
      <c r="Q825" t="s">
        <v>78</v>
      </c>
      <c r="R825" t="s">
        <v>78</v>
      </c>
      <c r="S825" t="s">
        <v>3158</v>
      </c>
      <c r="T825" t="s">
        <v>3153</v>
      </c>
      <c r="U825" t="s">
        <v>322</v>
      </c>
      <c r="V825" t="s">
        <v>82</v>
      </c>
      <c r="W825" t="s">
        <v>354</v>
      </c>
      <c r="X825" t="s">
        <v>96</v>
      </c>
      <c r="Y825" t="s">
        <v>82</v>
      </c>
      <c r="Z825" t="s">
        <v>154</v>
      </c>
    </row>
    <row r="826" spans="1:26" x14ac:dyDescent="0.25">
      <c r="A826" t="s">
        <v>3159</v>
      </c>
      <c r="B826" t="s">
        <v>3160</v>
      </c>
      <c r="C826" s="4" t="s">
        <v>579</v>
      </c>
      <c r="D826" t="s">
        <v>3154</v>
      </c>
      <c r="E826" t="s">
        <v>14</v>
      </c>
      <c r="F826" t="s">
        <v>85</v>
      </c>
      <c r="G826" t="s">
        <v>111</v>
      </c>
      <c r="H826" t="s">
        <v>78</v>
      </c>
      <c r="I826" t="s">
        <v>102</v>
      </c>
      <c r="J826" t="s">
        <v>87</v>
      </c>
      <c r="K826" t="s">
        <v>3155</v>
      </c>
      <c r="L826" t="s">
        <v>89</v>
      </c>
      <c r="M826" t="s">
        <v>318</v>
      </c>
      <c r="N826" t="s">
        <v>1047</v>
      </c>
      <c r="O826" t="s">
        <v>3156</v>
      </c>
      <c r="P826" t="s">
        <v>3161</v>
      </c>
      <c r="Q826" t="s">
        <v>78</v>
      </c>
      <c r="R826" t="s">
        <v>78</v>
      </c>
      <c r="S826" t="s">
        <v>3158</v>
      </c>
      <c r="T826" t="s">
        <v>3160</v>
      </c>
      <c r="U826" t="s">
        <v>322</v>
      </c>
      <c r="V826" t="s">
        <v>82</v>
      </c>
      <c r="W826" t="s">
        <v>354</v>
      </c>
      <c r="X826" t="s">
        <v>96</v>
      </c>
      <c r="Y826" t="s">
        <v>82</v>
      </c>
      <c r="Z826" t="s">
        <v>154</v>
      </c>
    </row>
    <row r="827" spans="1:26" x14ac:dyDescent="0.25">
      <c r="A827" t="s">
        <v>3162</v>
      </c>
      <c r="B827" t="s">
        <v>3163</v>
      </c>
      <c r="C827" s="4" t="s">
        <v>579</v>
      </c>
      <c r="D827" t="s">
        <v>3154</v>
      </c>
      <c r="E827" t="s">
        <v>14</v>
      </c>
      <c r="F827" t="s">
        <v>85</v>
      </c>
      <c r="G827" t="s">
        <v>111</v>
      </c>
      <c r="H827" t="s">
        <v>78</v>
      </c>
      <c r="I827" t="s">
        <v>102</v>
      </c>
      <c r="J827" t="s">
        <v>15</v>
      </c>
      <c r="K827" t="s">
        <v>3155</v>
      </c>
      <c r="L827" t="s">
        <v>89</v>
      </c>
      <c r="M827" t="s">
        <v>318</v>
      </c>
      <c r="N827" t="s">
        <v>1047</v>
      </c>
      <c r="O827" t="s">
        <v>3156</v>
      </c>
      <c r="P827" t="s">
        <v>3164</v>
      </c>
      <c r="Q827" t="s">
        <v>78</v>
      </c>
      <c r="R827" t="s">
        <v>78</v>
      </c>
      <c r="S827" t="s">
        <v>3158</v>
      </c>
      <c r="T827" t="s">
        <v>3163</v>
      </c>
      <c r="U827" t="s">
        <v>322</v>
      </c>
      <c r="V827" t="s">
        <v>82</v>
      </c>
      <c r="W827" t="s">
        <v>354</v>
      </c>
      <c r="X827" t="s">
        <v>96</v>
      </c>
      <c r="Y827" t="s">
        <v>82</v>
      </c>
      <c r="Z827" t="s">
        <v>154</v>
      </c>
    </row>
    <row r="828" spans="1:26" x14ac:dyDescent="0.25">
      <c r="A828" t="s">
        <v>3165</v>
      </c>
      <c r="B828" t="s">
        <v>3166</v>
      </c>
      <c r="C828" s="4" t="s">
        <v>579</v>
      </c>
      <c r="D828" t="s">
        <v>3154</v>
      </c>
      <c r="E828" t="s">
        <v>14</v>
      </c>
      <c r="F828" t="s">
        <v>85</v>
      </c>
      <c r="G828" t="s">
        <v>111</v>
      </c>
      <c r="H828" t="s">
        <v>78</v>
      </c>
      <c r="I828" t="s">
        <v>102</v>
      </c>
      <c r="J828" t="s">
        <v>37</v>
      </c>
      <c r="K828" t="s">
        <v>3155</v>
      </c>
      <c r="L828" t="s">
        <v>89</v>
      </c>
      <c r="M828" t="s">
        <v>318</v>
      </c>
      <c r="N828" t="s">
        <v>1047</v>
      </c>
      <c r="O828" t="s">
        <v>3156</v>
      </c>
      <c r="P828" t="s">
        <v>3167</v>
      </c>
      <c r="Q828" t="s">
        <v>78</v>
      </c>
      <c r="R828" t="s">
        <v>78</v>
      </c>
      <c r="S828" t="s">
        <v>3158</v>
      </c>
      <c r="T828" t="s">
        <v>3166</v>
      </c>
      <c r="U828" t="s">
        <v>322</v>
      </c>
      <c r="V828" t="s">
        <v>82</v>
      </c>
      <c r="W828" t="s">
        <v>354</v>
      </c>
      <c r="X828" t="s">
        <v>96</v>
      </c>
      <c r="Y828" t="s">
        <v>82</v>
      </c>
      <c r="Z828" t="s">
        <v>154</v>
      </c>
    </row>
    <row r="829" spans="1:26" x14ac:dyDescent="0.25">
      <c r="A829" t="s">
        <v>3168</v>
      </c>
      <c r="B829" t="s">
        <v>3169</v>
      </c>
      <c r="C829" s="4" t="s">
        <v>569</v>
      </c>
      <c r="D829" t="s">
        <v>3154</v>
      </c>
      <c r="E829" t="s">
        <v>14</v>
      </c>
      <c r="F829" t="s">
        <v>85</v>
      </c>
      <c r="G829" t="s">
        <v>111</v>
      </c>
      <c r="H829" t="s">
        <v>78</v>
      </c>
      <c r="I829" t="s">
        <v>102</v>
      </c>
      <c r="J829" t="s">
        <v>15</v>
      </c>
      <c r="K829" t="s">
        <v>3155</v>
      </c>
      <c r="L829" t="s">
        <v>89</v>
      </c>
      <c r="M829" t="s">
        <v>318</v>
      </c>
      <c r="N829" t="s">
        <v>1047</v>
      </c>
      <c r="O829" t="s">
        <v>3170</v>
      </c>
      <c r="P829" t="s">
        <v>3171</v>
      </c>
      <c r="Q829" t="s">
        <v>78</v>
      </c>
      <c r="R829" t="s">
        <v>78</v>
      </c>
      <c r="S829" t="s">
        <v>3158</v>
      </c>
      <c r="T829" t="s">
        <v>3169</v>
      </c>
      <c r="U829" t="s">
        <v>322</v>
      </c>
      <c r="V829" t="s">
        <v>82</v>
      </c>
      <c r="W829" t="s">
        <v>354</v>
      </c>
      <c r="X829" t="s">
        <v>96</v>
      </c>
      <c r="Y829" t="s">
        <v>82</v>
      </c>
      <c r="Z829" t="s">
        <v>154</v>
      </c>
    </row>
    <row r="830" spans="1:26" x14ac:dyDescent="0.25">
      <c r="A830" t="s">
        <v>3172</v>
      </c>
      <c r="B830" t="s">
        <v>3173</v>
      </c>
      <c r="C830" s="4" t="s">
        <v>569</v>
      </c>
      <c r="D830" t="s">
        <v>3154</v>
      </c>
      <c r="E830" t="s">
        <v>14</v>
      </c>
      <c r="F830" t="s">
        <v>85</v>
      </c>
      <c r="G830" t="s">
        <v>111</v>
      </c>
      <c r="H830" t="s">
        <v>78</v>
      </c>
      <c r="I830" t="s">
        <v>102</v>
      </c>
      <c r="J830" t="s">
        <v>130</v>
      </c>
      <c r="K830" t="s">
        <v>3155</v>
      </c>
      <c r="L830" t="s">
        <v>89</v>
      </c>
      <c r="M830" t="s">
        <v>318</v>
      </c>
      <c r="N830" t="s">
        <v>1047</v>
      </c>
      <c r="O830" t="s">
        <v>3170</v>
      </c>
      <c r="P830" t="s">
        <v>3174</v>
      </c>
      <c r="Q830" t="s">
        <v>78</v>
      </c>
      <c r="R830" t="s">
        <v>78</v>
      </c>
      <c r="S830" t="s">
        <v>3158</v>
      </c>
      <c r="T830" t="s">
        <v>3173</v>
      </c>
      <c r="U830" t="s">
        <v>322</v>
      </c>
      <c r="V830" t="s">
        <v>82</v>
      </c>
      <c r="W830" t="s">
        <v>354</v>
      </c>
      <c r="X830" t="s">
        <v>96</v>
      </c>
      <c r="Y830" t="s">
        <v>82</v>
      </c>
      <c r="Z830" t="s">
        <v>154</v>
      </c>
    </row>
    <row r="831" spans="1:26" x14ac:dyDescent="0.25">
      <c r="A831" t="s">
        <v>3175</v>
      </c>
      <c r="B831" t="s">
        <v>3176</v>
      </c>
      <c r="C831" s="4" t="s">
        <v>569</v>
      </c>
      <c r="D831" t="s">
        <v>3154</v>
      </c>
      <c r="E831" t="s">
        <v>14</v>
      </c>
      <c r="F831" t="s">
        <v>85</v>
      </c>
      <c r="G831" t="s">
        <v>111</v>
      </c>
      <c r="H831" t="s">
        <v>78</v>
      </c>
      <c r="I831" t="s">
        <v>102</v>
      </c>
      <c r="J831" t="s">
        <v>3177</v>
      </c>
      <c r="K831" t="s">
        <v>3155</v>
      </c>
      <c r="L831" t="s">
        <v>89</v>
      </c>
      <c r="M831" t="s">
        <v>318</v>
      </c>
      <c r="N831" t="s">
        <v>1047</v>
      </c>
      <c r="O831" t="s">
        <v>3178</v>
      </c>
      <c r="P831" t="s">
        <v>3179</v>
      </c>
      <c r="Q831" t="s">
        <v>78</v>
      </c>
      <c r="R831" t="s">
        <v>78</v>
      </c>
      <c r="S831" t="s">
        <v>3158</v>
      </c>
      <c r="T831" t="s">
        <v>3176</v>
      </c>
      <c r="U831" t="s">
        <v>322</v>
      </c>
      <c r="V831" t="s">
        <v>82</v>
      </c>
      <c r="W831" t="s">
        <v>354</v>
      </c>
      <c r="X831" t="s">
        <v>96</v>
      </c>
      <c r="Y831" t="s">
        <v>82</v>
      </c>
      <c r="Z831" t="s">
        <v>154</v>
      </c>
    </row>
    <row r="832" spans="1:26" x14ac:dyDescent="0.25">
      <c r="A832" t="s">
        <v>1815</v>
      </c>
      <c r="B832" t="s">
        <v>3180</v>
      </c>
      <c r="C832" s="4" t="s">
        <v>569</v>
      </c>
      <c r="D832" t="s">
        <v>3154</v>
      </c>
      <c r="E832" t="s">
        <v>14</v>
      </c>
      <c r="F832" t="s">
        <v>85</v>
      </c>
      <c r="G832" t="s">
        <v>111</v>
      </c>
      <c r="H832" t="s">
        <v>78</v>
      </c>
      <c r="I832" t="s">
        <v>102</v>
      </c>
      <c r="J832" t="s">
        <v>87</v>
      </c>
      <c r="K832" t="s">
        <v>3155</v>
      </c>
      <c r="L832" t="s">
        <v>89</v>
      </c>
      <c r="M832" t="s">
        <v>318</v>
      </c>
      <c r="N832" t="s">
        <v>1047</v>
      </c>
      <c r="O832" t="s">
        <v>3178</v>
      </c>
      <c r="P832" t="s">
        <v>3181</v>
      </c>
      <c r="Q832" t="s">
        <v>78</v>
      </c>
      <c r="R832" t="s">
        <v>78</v>
      </c>
      <c r="S832" t="s">
        <v>3158</v>
      </c>
      <c r="T832" t="s">
        <v>3180</v>
      </c>
      <c r="U832" t="s">
        <v>322</v>
      </c>
      <c r="V832" t="s">
        <v>82</v>
      </c>
      <c r="W832" t="s">
        <v>354</v>
      </c>
      <c r="X832" t="s">
        <v>96</v>
      </c>
      <c r="Y832" t="s">
        <v>82</v>
      </c>
      <c r="Z832" t="s">
        <v>154</v>
      </c>
    </row>
    <row r="833" spans="1:26" x14ac:dyDescent="0.25">
      <c r="A833" t="s">
        <v>2172</v>
      </c>
      <c r="B833" t="s">
        <v>3182</v>
      </c>
      <c r="C833" s="4" t="s">
        <v>3183</v>
      </c>
      <c r="D833" t="s">
        <v>2366</v>
      </c>
      <c r="E833" t="s">
        <v>14</v>
      </c>
      <c r="F833" t="s">
        <v>78</v>
      </c>
      <c r="G833" t="s">
        <v>102</v>
      </c>
      <c r="H833" t="s">
        <v>78</v>
      </c>
      <c r="I833" t="s">
        <v>102</v>
      </c>
      <c r="J833" t="s">
        <v>1002</v>
      </c>
      <c r="K833" t="s">
        <v>1779</v>
      </c>
      <c r="L833" t="s">
        <v>89</v>
      </c>
      <c r="M833" t="s">
        <v>318</v>
      </c>
      <c r="N833" t="s">
        <v>815</v>
      </c>
      <c r="O833" t="s">
        <v>3184</v>
      </c>
      <c r="P833" t="s">
        <v>3184</v>
      </c>
      <c r="Q833" t="s">
        <v>102</v>
      </c>
      <c r="R833" t="s">
        <v>143</v>
      </c>
      <c r="S833" t="s">
        <v>1996</v>
      </c>
      <c r="T833" t="s">
        <v>3182</v>
      </c>
      <c r="U833" t="s">
        <v>322</v>
      </c>
      <c r="V833" t="s">
        <v>82</v>
      </c>
      <c r="W833" t="s">
        <v>354</v>
      </c>
      <c r="X833" t="s">
        <v>96</v>
      </c>
      <c r="Y833" t="s">
        <v>82</v>
      </c>
      <c r="Z833" t="s">
        <v>160</v>
      </c>
    </row>
    <row r="834" spans="1:26" x14ac:dyDescent="0.25">
      <c r="A834" t="s">
        <v>1979</v>
      </c>
      <c r="B834" t="s">
        <v>3185</v>
      </c>
      <c r="C834" s="4" t="s">
        <v>3186</v>
      </c>
      <c r="D834" t="s">
        <v>2366</v>
      </c>
      <c r="E834" t="s">
        <v>14</v>
      </c>
      <c r="F834" t="s">
        <v>78</v>
      </c>
      <c r="G834" t="s">
        <v>102</v>
      </c>
      <c r="H834" t="s">
        <v>78</v>
      </c>
      <c r="I834" t="s">
        <v>102</v>
      </c>
      <c r="J834" t="s">
        <v>87</v>
      </c>
      <c r="K834" t="s">
        <v>1779</v>
      </c>
      <c r="L834" t="s">
        <v>89</v>
      </c>
      <c r="M834" t="s">
        <v>318</v>
      </c>
      <c r="N834" t="s">
        <v>815</v>
      </c>
      <c r="O834" t="s">
        <v>3187</v>
      </c>
      <c r="P834" t="s">
        <v>3187</v>
      </c>
      <c r="Q834" t="s">
        <v>102</v>
      </c>
      <c r="R834" t="s">
        <v>143</v>
      </c>
      <c r="S834" t="s">
        <v>1996</v>
      </c>
      <c r="T834" t="s">
        <v>3185</v>
      </c>
      <c r="U834" t="s">
        <v>322</v>
      </c>
      <c r="V834" t="s">
        <v>82</v>
      </c>
      <c r="W834" t="s">
        <v>354</v>
      </c>
      <c r="X834" t="s">
        <v>96</v>
      </c>
      <c r="Y834" t="s">
        <v>82</v>
      </c>
      <c r="Z834" t="s">
        <v>160</v>
      </c>
    </row>
    <row r="835" spans="1:26" x14ac:dyDescent="0.25">
      <c r="A835" t="s">
        <v>3188</v>
      </c>
      <c r="B835" t="s">
        <v>3189</v>
      </c>
      <c r="C835" s="4" t="s">
        <v>3190</v>
      </c>
      <c r="D835" t="s">
        <v>2366</v>
      </c>
      <c r="E835" t="s">
        <v>14</v>
      </c>
      <c r="F835" t="s">
        <v>78</v>
      </c>
      <c r="G835" t="s">
        <v>102</v>
      </c>
      <c r="H835" t="s">
        <v>78</v>
      </c>
      <c r="I835" t="s">
        <v>102</v>
      </c>
      <c r="J835" t="s">
        <v>546</v>
      </c>
      <c r="K835" t="s">
        <v>1779</v>
      </c>
      <c r="L835" t="s">
        <v>89</v>
      </c>
      <c r="M835" t="s">
        <v>318</v>
      </c>
      <c r="N835" t="s">
        <v>815</v>
      </c>
      <c r="O835" t="s">
        <v>3191</v>
      </c>
      <c r="P835" t="s">
        <v>3191</v>
      </c>
      <c r="Q835" t="s">
        <v>102</v>
      </c>
      <c r="R835" t="s">
        <v>143</v>
      </c>
      <c r="S835" t="s">
        <v>1996</v>
      </c>
      <c r="T835" t="s">
        <v>3189</v>
      </c>
      <c r="U835" t="s">
        <v>322</v>
      </c>
      <c r="V835" t="s">
        <v>82</v>
      </c>
      <c r="W835" t="s">
        <v>354</v>
      </c>
      <c r="X835" t="s">
        <v>96</v>
      </c>
      <c r="Y835" t="s">
        <v>82</v>
      </c>
      <c r="Z835" t="s">
        <v>160</v>
      </c>
    </row>
    <row r="836" spans="1:26" x14ac:dyDescent="0.25">
      <c r="A836" t="s">
        <v>3192</v>
      </c>
      <c r="B836" t="s">
        <v>3193</v>
      </c>
      <c r="C836" s="4" t="s">
        <v>3194</v>
      </c>
      <c r="D836" t="s">
        <v>3195</v>
      </c>
      <c r="E836" t="s">
        <v>14</v>
      </c>
      <c r="F836" t="s">
        <v>78</v>
      </c>
      <c r="G836" t="s">
        <v>102</v>
      </c>
      <c r="H836" t="s">
        <v>78</v>
      </c>
      <c r="I836" t="s">
        <v>102</v>
      </c>
      <c r="J836" t="s">
        <v>546</v>
      </c>
      <c r="K836" t="s">
        <v>1607</v>
      </c>
      <c r="L836" t="s">
        <v>89</v>
      </c>
      <c r="M836" t="s">
        <v>318</v>
      </c>
      <c r="N836" t="s">
        <v>1047</v>
      </c>
      <c r="O836" t="s">
        <v>3196</v>
      </c>
      <c r="P836" t="s">
        <v>3196</v>
      </c>
      <c r="Q836" t="s">
        <v>102</v>
      </c>
      <c r="R836" t="s">
        <v>143</v>
      </c>
      <c r="S836" t="s">
        <v>1610</v>
      </c>
      <c r="T836" t="s">
        <v>3193</v>
      </c>
      <c r="U836" t="s">
        <v>322</v>
      </c>
      <c r="V836" t="s">
        <v>82</v>
      </c>
      <c r="W836" t="s">
        <v>2664</v>
      </c>
      <c r="X836" t="s">
        <v>96</v>
      </c>
      <c r="Y836" t="s">
        <v>82</v>
      </c>
      <c r="Z836" t="s">
        <v>160</v>
      </c>
    </row>
    <row r="837" spans="1:26" x14ac:dyDescent="0.25">
      <c r="A837" t="s">
        <v>3197</v>
      </c>
      <c r="B837" t="s">
        <v>3198</v>
      </c>
      <c r="C837" s="4" t="s">
        <v>3199</v>
      </c>
      <c r="D837" t="s">
        <v>2366</v>
      </c>
      <c r="E837" t="s">
        <v>14</v>
      </c>
      <c r="F837" t="s">
        <v>78</v>
      </c>
      <c r="G837" t="s">
        <v>102</v>
      </c>
      <c r="H837" t="s">
        <v>78</v>
      </c>
      <c r="I837" t="s">
        <v>102</v>
      </c>
      <c r="J837" t="s">
        <v>1053</v>
      </c>
      <c r="K837" t="s">
        <v>1607</v>
      </c>
      <c r="L837" t="s">
        <v>89</v>
      </c>
      <c r="M837" t="s">
        <v>318</v>
      </c>
      <c r="N837" t="s">
        <v>1047</v>
      </c>
      <c r="O837" t="s">
        <v>3200</v>
      </c>
      <c r="P837" t="s">
        <v>3200</v>
      </c>
      <c r="Q837" t="s">
        <v>102</v>
      </c>
      <c r="R837" t="s">
        <v>143</v>
      </c>
      <c r="S837" t="s">
        <v>1610</v>
      </c>
      <c r="T837" t="s">
        <v>3198</v>
      </c>
      <c r="U837" t="s">
        <v>322</v>
      </c>
      <c r="V837" t="s">
        <v>82</v>
      </c>
      <c r="W837" t="s">
        <v>2664</v>
      </c>
      <c r="X837" t="s">
        <v>96</v>
      </c>
      <c r="Y837" t="s">
        <v>82</v>
      </c>
      <c r="Z837" t="s">
        <v>160</v>
      </c>
    </row>
    <row r="838" spans="1:26" x14ac:dyDescent="0.25">
      <c r="A838" t="s">
        <v>3062</v>
      </c>
      <c r="B838" t="s">
        <v>3201</v>
      </c>
      <c r="C838" s="4" t="s">
        <v>3202</v>
      </c>
      <c r="D838" t="s">
        <v>2366</v>
      </c>
      <c r="E838" t="s">
        <v>14</v>
      </c>
      <c r="F838" t="s">
        <v>86</v>
      </c>
      <c r="G838" t="s">
        <v>124</v>
      </c>
      <c r="H838" t="s">
        <v>78</v>
      </c>
      <c r="I838" t="s">
        <v>83</v>
      </c>
      <c r="J838" t="s">
        <v>1002</v>
      </c>
      <c r="K838" t="s">
        <v>1592</v>
      </c>
      <c r="L838" t="s">
        <v>89</v>
      </c>
      <c r="M838" t="s">
        <v>318</v>
      </c>
      <c r="N838" t="s">
        <v>90</v>
      </c>
      <c r="O838" t="s">
        <v>3203</v>
      </c>
      <c r="P838" t="s">
        <v>3203</v>
      </c>
      <c r="Q838" t="s">
        <v>102</v>
      </c>
      <c r="R838" t="s">
        <v>143</v>
      </c>
      <c r="S838" t="s">
        <v>110</v>
      </c>
      <c r="T838" t="s">
        <v>3201</v>
      </c>
      <c r="U838" t="s">
        <v>322</v>
      </c>
      <c r="V838" t="s">
        <v>82</v>
      </c>
      <c r="W838" t="s">
        <v>904</v>
      </c>
      <c r="X838" t="s">
        <v>96</v>
      </c>
      <c r="Y838" t="s">
        <v>82</v>
      </c>
      <c r="Z838" t="s">
        <v>160</v>
      </c>
    </row>
    <row r="839" spans="1:26" x14ac:dyDescent="0.25">
      <c r="A839" t="s">
        <v>3204</v>
      </c>
      <c r="B839" t="s">
        <v>3205</v>
      </c>
      <c r="C839" s="4" t="s">
        <v>3206</v>
      </c>
      <c r="D839" t="s">
        <v>2378</v>
      </c>
      <c r="E839" t="s">
        <v>14</v>
      </c>
      <c r="F839" t="s">
        <v>86</v>
      </c>
      <c r="G839" t="s">
        <v>124</v>
      </c>
      <c r="H839" t="s">
        <v>78</v>
      </c>
      <c r="I839" t="s">
        <v>83</v>
      </c>
      <c r="J839" t="s">
        <v>546</v>
      </c>
      <c r="K839" t="s">
        <v>1592</v>
      </c>
      <c r="L839" t="s">
        <v>89</v>
      </c>
      <c r="M839" t="s">
        <v>318</v>
      </c>
      <c r="N839" t="s">
        <v>90</v>
      </c>
      <c r="O839" t="s">
        <v>3207</v>
      </c>
      <c r="P839" t="s">
        <v>3207</v>
      </c>
      <c r="Q839" t="s">
        <v>102</v>
      </c>
      <c r="R839" t="s">
        <v>143</v>
      </c>
      <c r="S839" t="s">
        <v>110</v>
      </c>
      <c r="T839" t="s">
        <v>3205</v>
      </c>
      <c r="U839" t="s">
        <v>322</v>
      </c>
      <c r="V839" t="s">
        <v>82</v>
      </c>
      <c r="W839" t="s">
        <v>904</v>
      </c>
      <c r="X839" t="s">
        <v>96</v>
      </c>
      <c r="Y839" t="s">
        <v>82</v>
      </c>
      <c r="Z839" t="s">
        <v>160</v>
      </c>
    </row>
    <row r="840" spans="1:26" x14ac:dyDescent="0.25">
      <c r="A840" t="s">
        <v>3208</v>
      </c>
      <c r="B840" t="s">
        <v>3209</v>
      </c>
      <c r="C840" s="4" t="s">
        <v>3210</v>
      </c>
      <c r="D840" t="s">
        <v>2378</v>
      </c>
      <c r="E840" t="s">
        <v>14</v>
      </c>
      <c r="F840" t="s">
        <v>86</v>
      </c>
      <c r="G840" t="s">
        <v>124</v>
      </c>
      <c r="H840" t="s">
        <v>78</v>
      </c>
      <c r="I840" t="s">
        <v>83</v>
      </c>
      <c r="J840" t="s">
        <v>32</v>
      </c>
      <c r="K840" t="s">
        <v>940</v>
      </c>
      <c r="L840" t="s">
        <v>89</v>
      </c>
      <c r="M840" t="s">
        <v>318</v>
      </c>
      <c r="N840" t="s">
        <v>1549</v>
      </c>
      <c r="O840" t="s">
        <v>3211</v>
      </c>
      <c r="P840" t="s">
        <v>3211</v>
      </c>
      <c r="Q840" t="s">
        <v>102</v>
      </c>
      <c r="R840" t="s">
        <v>143</v>
      </c>
      <c r="S840" t="s">
        <v>638</v>
      </c>
      <c r="T840" t="s">
        <v>3209</v>
      </c>
      <c r="U840" t="s">
        <v>322</v>
      </c>
      <c r="V840" t="s">
        <v>82</v>
      </c>
      <c r="W840" t="s">
        <v>941</v>
      </c>
      <c r="X840" t="s">
        <v>96</v>
      </c>
      <c r="Y840" t="s">
        <v>82</v>
      </c>
      <c r="Z840" t="s">
        <v>160</v>
      </c>
    </row>
    <row r="841" spans="1:26" x14ac:dyDescent="0.25">
      <c r="A841" t="s">
        <v>3085</v>
      </c>
      <c r="B841" t="s">
        <v>3212</v>
      </c>
      <c r="C841" s="4" t="s">
        <v>1351</v>
      </c>
      <c r="D841" t="s">
        <v>3154</v>
      </c>
      <c r="E841" t="s">
        <v>14</v>
      </c>
      <c r="F841" t="s">
        <v>83</v>
      </c>
      <c r="G841" t="s">
        <v>84</v>
      </c>
      <c r="H841" t="s">
        <v>85</v>
      </c>
      <c r="I841" t="s">
        <v>86</v>
      </c>
      <c r="J841" t="s">
        <v>37</v>
      </c>
      <c r="K841" t="s">
        <v>3213</v>
      </c>
      <c r="L841" t="s">
        <v>89</v>
      </c>
      <c r="M841" t="s">
        <v>318</v>
      </c>
      <c r="N841" t="s">
        <v>90</v>
      </c>
      <c r="O841" t="s">
        <v>3214</v>
      </c>
      <c r="P841" t="s">
        <v>3215</v>
      </c>
      <c r="Q841" t="s">
        <v>78</v>
      </c>
      <c r="R841" t="s">
        <v>78</v>
      </c>
      <c r="S841" t="s">
        <v>3216</v>
      </c>
      <c r="T841" t="s">
        <v>3212</v>
      </c>
      <c r="U841" t="s">
        <v>322</v>
      </c>
      <c r="V841" t="s">
        <v>82</v>
      </c>
      <c r="W841" t="s">
        <v>354</v>
      </c>
      <c r="X841" t="s">
        <v>96</v>
      </c>
      <c r="Y841" t="s">
        <v>82</v>
      </c>
      <c r="Z841" t="s">
        <v>154</v>
      </c>
    </row>
    <row r="842" spans="1:26" x14ac:dyDescent="0.25">
      <c r="A842" t="s">
        <v>3217</v>
      </c>
      <c r="B842" t="s">
        <v>3218</v>
      </c>
      <c r="C842" s="4" t="s">
        <v>1351</v>
      </c>
      <c r="D842" t="s">
        <v>3219</v>
      </c>
      <c r="E842" t="s">
        <v>14</v>
      </c>
      <c r="F842" t="s">
        <v>83</v>
      </c>
      <c r="G842" t="s">
        <v>84</v>
      </c>
      <c r="H842" t="s">
        <v>85</v>
      </c>
      <c r="I842" t="s">
        <v>86</v>
      </c>
      <c r="J842" t="s">
        <v>87</v>
      </c>
      <c r="K842" t="s">
        <v>3213</v>
      </c>
      <c r="L842" t="s">
        <v>89</v>
      </c>
      <c r="M842" t="s">
        <v>318</v>
      </c>
      <c r="N842" t="s">
        <v>90</v>
      </c>
      <c r="O842" t="s">
        <v>3214</v>
      </c>
      <c r="P842" t="s">
        <v>3220</v>
      </c>
      <c r="Q842" t="s">
        <v>78</v>
      </c>
      <c r="R842" t="s">
        <v>78</v>
      </c>
      <c r="S842" t="s">
        <v>3216</v>
      </c>
      <c r="T842" t="s">
        <v>3218</v>
      </c>
      <c r="U842" t="s">
        <v>322</v>
      </c>
      <c r="V842" t="s">
        <v>82</v>
      </c>
      <c r="W842" t="s">
        <v>354</v>
      </c>
      <c r="X842" t="s">
        <v>96</v>
      </c>
      <c r="Y842" t="s">
        <v>82</v>
      </c>
      <c r="Z842" t="s">
        <v>154</v>
      </c>
    </row>
    <row r="843" spans="1:26" x14ac:dyDescent="0.25">
      <c r="A843" t="s">
        <v>3221</v>
      </c>
      <c r="B843" t="s">
        <v>3222</v>
      </c>
      <c r="C843" s="4" t="s">
        <v>1351</v>
      </c>
      <c r="D843" t="s">
        <v>3219</v>
      </c>
      <c r="E843" t="s">
        <v>14</v>
      </c>
      <c r="F843" t="s">
        <v>83</v>
      </c>
      <c r="G843" t="s">
        <v>84</v>
      </c>
      <c r="H843" t="s">
        <v>85</v>
      </c>
      <c r="I843" t="s">
        <v>86</v>
      </c>
      <c r="J843" t="s">
        <v>29</v>
      </c>
      <c r="K843" t="s">
        <v>3213</v>
      </c>
      <c r="L843" t="s">
        <v>89</v>
      </c>
      <c r="M843" t="s">
        <v>318</v>
      </c>
      <c r="N843" t="s">
        <v>90</v>
      </c>
      <c r="O843" t="s">
        <v>3214</v>
      </c>
      <c r="P843" t="s">
        <v>3223</v>
      </c>
      <c r="Q843" t="s">
        <v>78</v>
      </c>
      <c r="R843" t="s">
        <v>78</v>
      </c>
      <c r="S843" t="s">
        <v>3216</v>
      </c>
      <c r="T843" t="s">
        <v>3222</v>
      </c>
      <c r="U843" t="s">
        <v>322</v>
      </c>
      <c r="V843" t="s">
        <v>82</v>
      </c>
      <c r="W843" t="s">
        <v>354</v>
      </c>
      <c r="X843" t="s">
        <v>96</v>
      </c>
      <c r="Y843" t="s">
        <v>82</v>
      </c>
      <c r="Z843" t="s">
        <v>154</v>
      </c>
    </row>
    <row r="844" spans="1:26" x14ac:dyDescent="0.25">
      <c r="A844" t="s">
        <v>3224</v>
      </c>
      <c r="B844" t="s">
        <v>3225</v>
      </c>
      <c r="C844" s="4" t="s">
        <v>1351</v>
      </c>
      <c r="D844" t="s">
        <v>3154</v>
      </c>
      <c r="E844" t="s">
        <v>14</v>
      </c>
      <c r="F844" t="s">
        <v>83</v>
      </c>
      <c r="G844" t="s">
        <v>84</v>
      </c>
      <c r="H844" t="s">
        <v>85</v>
      </c>
      <c r="I844" t="s">
        <v>86</v>
      </c>
      <c r="J844" t="s">
        <v>20</v>
      </c>
      <c r="K844" t="s">
        <v>3213</v>
      </c>
      <c r="L844" t="s">
        <v>89</v>
      </c>
      <c r="M844" t="s">
        <v>318</v>
      </c>
      <c r="N844" t="s">
        <v>90</v>
      </c>
      <c r="O844" t="s">
        <v>3214</v>
      </c>
      <c r="P844" t="s">
        <v>3226</v>
      </c>
      <c r="Q844" t="s">
        <v>78</v>
      </c>
      <c r="R844" t="s">
        <v>78</v>
      </c>
      <c r="S844" t="s">
        <v>3216</v>
      </c>
      <c r="T844" t="s">
        <v>3225</v>
      </c>
      <c r="U844" t="s">
        <v>322</v>
      </c>
      <c r="V844" t="s">
        <v>82</v>
      </c>
      <c r="W844" t="s">
        <v>354</v>
      </c>
      <c r="X844" t="s">
        <v>96</v>
      </c>
      <c r="Y844" t="s">
        <v>82</v>
      </c>
      <c r="Z844" t="s">
        <v>154</v>
      </c>
    </row>
    <row r="845" spans="1:26" x14ac:dyDescent="0.25">
      <c r="A845" t="s">
        <v>3227</v>
      </c>
      <c r="B845" t="s">
        <v>3228</v>
      </c>
      <c r="C845" s="4" t="s">
        <v>1364</v>
      </c>
      <c r="D845" t="s">
        <v>3219</v>
      </c>
      <c r="E845" t="s">
        <v>14</v>
      </c>
      <c r="F845" t="s">
        <v>83</v>
      </c>
      <c r="G845" t="s">
        <v>105</v>
      </c>
      <c r="H845" t="s">
        <v>78</v>
      </c>
      <c r="I845" t="s">
        <v>102</v>
      </c>
      <c r="J845" t="s">
        <v>340</v>
      </c>
      <c r="K845" t="s">
        <v>1981</v>
      </c>
      <c r="L845" t="s">
        <v>89</v>
      </c>
      <c r="M845" t="s">
        <v>318</v>
      </c>
      <c r="N845" t="s">
        <v>1549</v>
      </c>
      <c r="O845" t="s">
        <v>3229</v>
      </c>
      <c r="P845" t="s">
        <v>3229</v>
      </c>
      <c r="Q845" t="s">
        <v>78</v>
      </c>
      <c r="R845" t="s">
        <v>78</v>
      </c>
      <c r="S845" t="s">
        <v>1984</v>
      </c>
      <c r="T845" t="s">
        <v>3228</v>
      </c>
      <c r="U845" t="s">
        <v>322</v>
      </c>
      <c r="V845" t="s">
        <v>82</v>
      </c>
      <c r="W845" t="s">
        <v>354</v>
      </c>
      <c r="X845" t="s">
        <v>96</v>
      </c>
      <c r="Y845" t="s">
        <v>82</v>
      </c>
      <c r="Z845" t="s">
        <v>154</v>
      </c>
    </row>
    <row r="846" spans="1:26" x14ac:dyDescent="0.25">
      <c r="A846" t="s">
        <v>3230</v>
      </c>
      <c r="B846" t="s">
        <v>3231</v>
      </c>
      <c r="C846" s="4" t="s">
        <v>1364</v>
      </c>
      <c r="D846" t="s">
        <v>3219</v>
      </c>
      <c r="E846" t="s">
        <v>14</v>
      </c>
      <c r="F846" t="s">
        <v>83</v>
      </c>
      <c r="G846" t="s">
        <v>105</v>
      </c>
      <c r="H846" t="s">
        <v>78</v>
      </c>
      <c r="I846" t="s">
        <v>102</v>
      </c>
      <c r="J846" t="s">
        <v>37</v>
      </c>
      <c r="K846" t="s">
        <v>1981</v>
      </c>
      <c r="L846" t="s">
        <v>89</v>
      </c>
      <c r="M846" t="s">
        <v>318</v>
      </c>
      <c r="N846" t="s">
        <v>1549</v>
      </c>
      <c r="O846" t="s">
        <v>3229</v>
      </c>
      <c r="P846" t="s">
        <v>3229</v>
      </c>
      <c r="Q846" t="s">
        <v>78</v>
      </c>
      <c r="R846" t="s">
        <v>78</v>
      </c>
      <c r="S846" t="s">
        <v>1984</v>
      </c>
      <c r="T846" t="s">
        <v>3231</v>
      </c>
      <c r="U846" t="s">
        <v>322</v>
      </c>
      <c r="V846" t="s">
        <v>82</v>
      </c>
      <c r="W846" t="s">
        <v>354</v>
      </c>
      <c r="X846" t="s">
        <v>96</v>
      </c>
      <c r="Y846" t="s">
        <v>82</v>
      </c>
      <c r="Z846" t="s">
        <v>154</v>
      </c>
    </row>
    <row r="847" spans="1:26" x14ac:dyDescent="0.25">
      <c r="A847" t="s">
        <v>3232</v>
      </c>
      <c r="B847" t="s">
        <v>3233</v>
      </c>
      <c r="C847" s="4" t="s">
        <v>1364</v>
      </c>
      <c r="D847" t="s">
        <v>3219</v>
      </c>
      <c r="E847" t="s">
        <v>14</v>
      </c>
      <c r="F847" t="s">
        <v>83</v>
      </c>
      <c r="G847" t="s">
        <v>105</v>
      </c>
      <c r="H847" t="s">
        <v>78</v>
      </c>
      <c r="I847" t="s">
        <v>102</v>
      </c>
      <c r="J847" t="s">
        <v>87</v>
      </c>
      <c r="K847" t="s">
        <v>1981</v>
      </c>
      <c r="L847" t="s">
        <v>89</v>
      </c>
      <c r="M847" t="s">
        <v>318</v>
      </c>
      <c r="N847" t="s">
        <v>1549</v>
      </c>
      <c r="O847" t="s">
        <v>3234</v>
      </c>
      <c r="P847" t="s">
        <v>3234</v>
      </c>
      <c r="Q847" t="s">
        <v>78</v>
      </c>
      <c r="R847" t="s">
        <v>78</v>
      </c>
      <c r="S847" t="s">
        <v>1984</v>
      </c>
      <c r="T847" t="s">
        <v>3233</v>
      </c>
      <c r="U847" t="s">
        <v>322</v>
      </c>
      <c r="V847" t="s">
        <v>82</v>
      </c>
      <c r="W847" t="s">
        <v>354</v>
      </c>
      <c r="X847" t="s">
        <v>96</v>
      </c>
      <c r="Y847" t="s">
        <v>82</v>
      </c>
      <c r="Z847" t="s">
        <v>154</v>
      </c>
    </row>
    <row r="848" spans="1:26" x14ac:dyDescent="0.25">
      <c r="A848" t="s">
        <v>3235</v>
      </c>
      <c r="B848" t="s">
        <v>3236</v>
      </c>
      <c r="C848" s="4" t="s">
        <v>1364</v>
      </c>
      <c r="D848" t="s">
        <v>3219</v>
      </c>
      <c r="E848" t="s">
        <v>14</v>
      </c>
      <c r="F848" t="s">
        <v>83</v>
      </c>
      <c r="G848" t="s">
        <v>105</v>
      </c>
      <c r="H848" t="s">
        <v>78</v>
      </c>
      <c r="I848" t="s">
        <v>102</v>
      </c>
      <c r="J848" t="s">
        <v>15</v>
      </c>
      <c r="K848" t="s">
        <v>1981</v>
      </c>
      <c r="L848" t="s">
        <v>89</v>
      </c>
      <c r="M848" t="s">
        <v>318</v>
      </c>
      <c r="N848" t="s">
        <v>1549</v>
      </c>
      <c r="O848" t="s">
        <v>3234</v>
      </c>
      <c r="P848" t="s">
        <v>3237</v>
      </c>
      <c r="Q848" t="s">
        <v>78</v>
      </c>
      <c r="R848" t="s">
        <v>78</v>
      </c>
      <c r="S848" t="s">
        <v>1984</v>
      </c>
      <c r="T848" t="s">
        <v>3236</v>
      </c>
      <c r="U848" t="s">
        <v>322</v>
      </c>
      <c r="V848" t="s">
        <v>82</v>
      </c>
      <c r="W848" t="s">
        <v>354</v>
      </c>
      <c r="X848" t="s">
        <v>96</v>
      </c>
      <c r="Y848" t="s">
        <v>82</v>
      </c>
      <c r="Z848" t="s">
        <v>154</v>
      </c>
    </row>
    <row r="849" spans="1:26" x14ac:dyDescent="0.25">
      <c r="A849" t="s">
        <v>3238</v>
      </c>
      <c r="B849" t="s">
        <v>3239</v>
      </c>
      <c r="C849" s="4" t="s">
        <v>1348</v>
      </c>
      <c r="D849" t="s">
        <v>3219</v>
      </c>
      <c r="E849" t="s">
        <v>14</v>
      </c>
      <c r="F849" t="s">
        <v>83</v>
      </c>
      <c r="G849" t="s">
        <v>84</v>
      </c>
      <c r="H849" t="s">
        <v>85</v>
      </c>
      <c r="I849" t="s">
        <v>86</v>
      </c>
      <c r="J849" t="s">
        <v>17</v>
      </c>
      <c r="K849" t="s">
        <v>2460</v>
      </c>
      <c r="L849" t="s">
        <v>89</v>
      </c>
      <c r="M849" t="s">
        <v>318</v>
      </c>
      <c r="N849" t="s">
        <v>1536</v>
      </c>
      <c r="O849" t="s">
        <v>3240</v>
      </c>
      <c r="P849" t="s">
        <v>3241</v>
      </c>
      <c r="Q849" t="s">
        <v>78</v>
      </c>
      <c r="R849" t="s">
        <v>78</v>
      </c>
      <c r="S849" t="s">
        <v>2833</v>
      </c>
      <c r="T849" t="s">
        <v>3239</v>
      </c>
      <c r="U849" t="s">
        <v>322</v>
      </c>
      <c r="V849" t="s">
        <v>82</v>
      </c>
      <c r="W849" t="s">
        <v>1303</v>
      </c>
      <c r="X849" t="s">
        <v>96</v>
      </c>
      <c r="Y849" t="s">
        <v>82</v>
      </c>
      <c r="Z849" t="s">
        <v>154</v>
      </c>
    </row>
    <row r="850" spans="1:26" x14ac:dyDescent="0.25">
      <c r="A850" t="s">
        <v>3242</v>
      </c>
      <c r="B850" t="s">
        <v>3243</v>
      </c>
      <c r="C850" s="4" t="s">
        <v>1348</v>
      </c>
      <c r="D850" t="s">
        <v>3219</v>
      </c>
      <c r="E850" t="s">
        <v>14</v>
      </c>
      <c r="F850" t="s">
        <v>83</v>
      </c>
      <c r="G850" t="s">
        <v>84</v>
      </c>
      <c r="H850" t="s">
        <v>85</v>
      </c>
      <c r="I850" t="s">
        <v>86</v>
      </c>
      <c r="J850" t="s">
        <v>18</v>
      </c>
      <c r="K850" t="s">
        <v>2460</v>
      </c>
      <c r="L850" t="s">
        <v>89</v>
      </c>
      <c r="M850" t="s">
        <v>318</v>
      </c>
      <c r="N850" t="s">
        <v>1536</v>
      </c>
      <c r="O850" t="s">
        <v>3240</v>
      </c>
      <c r="P850" t="s">
        <v>3244</v>
      </c>
      <c r="Q850" t="s">
        <v>78</v>
      </c>
      <c r="R850" t="s">
        <v>78</v>
      </c>
      <c r="S850" t="s">
        <v>2833</v>
      </c>
      <c r="T850" t="s">
        <v>3243</v>
      </c>
      <c r="U850" t="s">
        <v>322</v>
      </c>
      <c r="V850" t="s">
        <v>82</v>
      </c>
      <c r="W850" t="s">
        <v>1303</v>
      </c>
      <c r="X850" t="s">
        <v>96</v>
      </c>
      <c r="Y850" t="s">
        <v>82</v>
      </c>
      <c r="Z850" t="s">
        <v>154</v>
      </c>
    </row>
    <row r="851" spans="1:26" x14ac:dyDescent="0.25">
      <c r="A851" t="s">
        <v>3245</v>
      </c>
      <c r="B851" t="s">
        <v>3246</v>
      </c>
      <c r="C851" s="4" t="s">
        <v>1348</v>
      </c>
      <c r="D851" t="s">
        <v>3219</v>
      </c>
      <c r="E851" t="s">
        <v>14</v>
      </c>
      <c r="F851" t="s">
        <v>83</v>
      </c>
      <c r="G851" t="s">
        <v>84</v>
      </c>
      <c r="H851" t="s">
        <v>85</v>
      </c>
      <c r="I851" t="s">
        <v>86</v>
      </c>
      <c r="J851" t="s">
        <v>32</v>
      </c>
      <c r="K851" t="s">
        <v>2460</v>
      </c>
      <c r="L851" t="s">
        <v>89</v>
      </c>
      <c r="M851" t="s">
        <v>318</v>
      </c>
      <c r="N851" t="s">
        <v>1536</v>
      </c>
      <c r="O851" t="s">
        <v>3240</v>
      </c>
      <c r="P851" t="s">
        <v>3247</v>
      </c>
      <c r="Q851" t="s">
        <v>78</v>
      </c>
      <c r="R851" t="s">
        <v>78</v>
      </c>
      <c r="S851" t="s">
        <v>2833</v>
      </c>
      <c r="T851" t="s">
        <v>3246</v>
      </c>
      <c r="U851" t="s">
        <v>322</v>
      </c>
      <c r="V851" t="s">
        <v>82</v>
      </c>
      <c r="W851" t="s">
        <v>1303</v>
      </c>
      <c r="X851" t="s">
        <v>96</v>
      </c>
      <c r="Y851" t="s">
        <v>82</v>
      </c>
      <c r="Z851" t="s">
        <v>154</v>
      </c>
    </row>
    <row r="852" spans="1:26" x14ac:dyDescent="0.25">
      <c r="A852" t="s">
        <v>3248</v>
      </c>
      <c r="B852" t="s">
        <v>3249</v>
      </c>
      <c r="C852" s="4" t="s">
        <v>1348</v>
      </c>
      <c r="D852" t="s">
        <v>3219</v>
      </c>
      <c r="E852" t="s">
        <v>14</v>
      </c>
      <c r="F852" t="s">
        <v>83</v>
      </c>
      <c r="G852" t="s">
        <v>84</v>
      </c>
      <c r="H852" t="s">
        <v>85</v>
      </c>
      <c r="I852" t="s">
        <v>86</v>
      </c>
      <c r="J852" t="s">
        <v>29</v>
      </c>
      <c r="K852" t="s">
        <v>2460</v>
      </c>
      <c r="L852" t="s">
        <v>89</v>
      </c>
      <c r="M852" t="s">
        <v>318</v>
      </c>
      <c r="N852" t="s">
        <v>1536</v>
      </c>
      <c r="O852" t="s">
        <v>3240</v>
      </c>
      <c r="P852" t="s">
        <v>3250</v>
      </c>
      <c r="Q852" t="s">
        <v>78</v>
      </c>
      <c r="R852" t="s">
        <v>78</v>
      </c>
      <c r="S852" t="s">
        <v>2833</v>
      </c>
      <c r="T852" t="s">
        <v>3249</v>
      </c>
      <c r="U852" t="s">
        <v>322</v>
      </c>
      <c r="V852" t="s">
        <v>82</v>
      </c>
      <c r="W852" t="s">
        <v>1303</v>
      </c>
      <c r="X852" t="s">
        <v>96</v>
      </c>
      <c r="Y852" t="s">
        <v>82</v>
      </c>
      <c r="Z852" t="s">
        <v>154</v>
      </c>
    </row>
    <row r="853" spans="1:26" x14ac:dyDescent="0.25">
      <c r="A853" t="s">
        <v>3251</v>
      </c>
      <c r="B853" t="s">
        <v>3252</v>
      </c>
      <c r="C853" s="4" t="s">
        <v>3253</v>
      </c>
      <c r="D853" t="s">
        <v>3254</v>
      </c>
      <c r="E853" t="s">
        <v>14</v>
      </c>
      <c r="F853" t="s">
        <v>83</v>
      </c>
      <c r="G853" t="s">
        <v>105</v>
      </c>
      <c r="H853" t="s">
        <v>78</v>
      </c>
      <c r="I853" t="s">
        <v>102</v>
      </c>
      <c r="J853" t="s">
        <v>29</v>
      </c>
      <c r="K853" t="s">
        <v>1630</v>
      </c>
      <c r="L853" t="s">
        <v>89</v>
      </c>
      <c r="M853" t="s">
        <v>318</v>
      </c>
      <c r="N853" t="s">
        <v>815</v>
      </c>
      <c r="O853" t="s">
        <v>3255</v>
      </c>
      <c r="P853" t="s">
        <v>3255</v>
      </c>
      <c r="Q853" t="s">
        <v>102</v>
      </c>
      <c r="R853" t="s">
        <v>85</v>
      </c>
      <c r="S853" t="s">
        <v>1632</v>
      </c>
      <c r="T853" t="s">
        <v>3252</v>
      </c>
      <c r="U853" t="s">
        <v>322</v>
      </c>
      <c r="V853" t="s">
        <v>82</v>
      </c>
      <c r="W853" t="s">
        <v>1523</v>
      </c>
      <c r="X853" t="s">
        <v>96</v>
      </c>
      <c r="Y853" t="s">
        <v>82</v>
      </c>
      <c r="Z853" t="s">
        <v>82</v>
      </c>
    </row>
    <row r="854" spans="1:26" x14ac:dyDescent="0.25">
      <c r="A854" t="s">
        <v>3256</v>
      </c>
      <c r="B854" t="s">
        <v>3257</v>
      </c>
      <c r="C854" s="4" t="s">
        <v>3253</v>
      </c>
      <c r="D854" t="s">
        <v>3254</v>
      </c>
      <c r="E854" t="s">
        <v>14</v>
      </c>
      <c r="F854" t="s">
        <v>83</v>
      </c>
      <c r="G854" t="s">
        <v>105</v>
      </c>
      <c r="H854" t="s">
        <v>78</v>
      </c>
      <c r="I854" t="s">
        <v>102</v>
      </c>
      <c r="J854" t="s">
        <v>30</v>
      </c>
      <c r="K854" t="s">
        <v>1630</v>
      </c>
      <c r="L854" t="s">
        <v>89</v>
      </c>
      <c r="M854" t="s">
        <v>318</v>
      </c>
      <c r="N854" t="s">
        <v>815</v>
      </c>
      <c r="O854" t="s">
        <v>3255</v>
      </c>
      <c r="P854" t="s">
        <v>3255</v>
      </c>
      <c r="Q854" t="s">
        <v>102</v>
      </c>
      <c r="R854" t="s">
        <v>85</v>
      </c>
      <c r="S854" t="s">
        <v>1632</v>
      </c>
      <c r="T854" t="s">
        <v>3257</v>
      </c>
      <c r="U854" t="s">
        <v>322</v>
      </c>
      <c r="V854" t="s">
        <v>82</v>
      </c>
      <c r="W854" t="s">
        <v>1523</v>
      </c>
      <c r="X854" t="s">
        <v>96</v>
      </c>
      <c r="Y854" t="s">
        <v>82</v>
      </c>
      <c r="Z854" t="s">
        <v>82</v>
      </c>
    </row>
    <row r="855" spans="1:26" x14ac:dyDescent="0.25">
      <c r="A855" t="s">
        <v>3258</v>
      </c>
      <c r="B855" t="s">
        <v>3259</v>
      </c>
      <c r="C855" s="4" t="s">
        <v>3253</v>
      </c>
      <c r="D855" t="s">
        <v>3254</v>
      </c>
      <c r="E855" t="s">
        <v>14</v>
      </c>
      <c r="F855" t="s">
        <v>83</v>
      </c>
      <c r="G855" t="s">
        <v>105</v>
      </c>
      <c r="H855" t="s">
        <v>78</v>
      </c>
      <c r="I855" t="s">
        <v>102</v>
      </c>
      <c r="J855" t="s">
        <v>31</v>
      </c>
      <c r="K855" t="s">
        <v>1630</v>
      </c>
      <c r="L855" t="s">
        <v>89</v>
      </c>
      <c r="M855" t="s">
        <v>318</v>
      </c>
      <c r="N855" t="s">
        <v>815</v>
      </c>
      <c r="O855" t="s">
        <v>3260</v>
      </c>
      <c r="P855" t="s">
        <v>3260</v>
      </c>
      <c r="Q855" t="s">
        <v>102</v>
      </c>
      <c r="R855" t="s">
        <v>85</v>
      </c>
      <c r="S855" t="s">
        <v>1632</v>
      </c>
      <c r="T855" t="s">
        <v>3259</v>
      </c>
      <c r="U855" t="s">
        <v>322</v>
      </c>
      <c r="V855" t="s">
        <v>82</v>
      </c>
      <c r="W855" t="s">
        <v>1523</v>
      </c>
      <c r="X855" t="s">
        <v>96</v>
      </c>
      <c r="Y855" t="s">
        <v>82</v>
      </c>
      <c r="Z855" t="s">
        <v>82</v>
      </c>
    </row>
    <row r="856" spans="1:26" x14ac:dyDescent="0.25">
      <c r="A856" t="s">
        <v>3261</v>
      </c>
      <c r="B856" t="s">
        <v>3262</v>
      </c>
      <c r="C856" s="4" t="s">
        <v>3253</v>
      </c>
      <c r="D856" t="s">
        <v>3254</v>
      </c>
      <c r="E856" t="s">
        <v>14</v>
      </c>
      <c r="F856" t="s">
        <v>83</v>
      </c>
      <c r="G856" t="s">
        <v>105</v>
      </c>
      <c r="H856" t="s">
        <v>78</v>
      </c>
      <c r="I856" t="s">
        <v>102</v>
      </c>
      <c r="J856" t="s">
        <v>1014</v>
      </c>
      <c r="K856" t="s">
        <v>1630</v>
      </c>
      <c r="L856" t="s">
        <v>89</v>
      </c>
      <c r="M856" t="s">
        <v>318</v>
      </c>
      <c r="N856" t="s">
        <v>815</v>
      </c>
      <c r="O856" t="s">
        <v>3263</v>
      </c>
      <c r="P856" t="s">
        <v>3263</v>
      </c>
      <c r="Q856" t="s">
        <v>102</v>
      </c>
      <c r="R856" t="s">
        <v>85</v>
      </c>
      <c r="S856" t="s">
        <v>1632</v>
      </c>
      <c r="T856" t="s">
        <v>3262</v>
      </c>
      <c r="U856" t="s">
        <v>322</v>
      </c>
      <c r="V856" t="s">
        <v>82</v>
      </c>
      <c r="W856" t="s">
        <v>1523</v>
      </c>
      <c r="X856" t="s">
        <v>96</v>
      </c>
      <c r="Y856" t="s">
        <v>82</v>
      </c>
      <c r="Z856" t="s">
        <v>82</v>
      </c>
    </row>
    <row r="857" spans="1:26" x14ac:dyDescent="0.25">
      <c r="A857" t="s">
        <v>3264</v>
      </c>
      <c r="B857" t="s">
        <v>3265</v>
      </c>
      <c r="C857" s="4" t="s">
        <v>3266</v>
      </c>
      <c r="D857" t="s">
        <v>3267</v>
      </c>
      <c r="E857" t="s">
        <v>14</v>
      </c>
      <c r="F857" t="s">
        <v>83</v>
      </c>
      <c r="G857" t="s">
        <v>105</v>
      </c>
      <c r="H857" t="s">
        <v>78</v>
      </c>
      <c r="I857" t="s">
        <v>102</v>
      </c>
      <c r="J857" t="s">
        <v>33</v>
      </c>
      <c r="K857" t="s">
        <v>604</v>
      </c>
      <c r="L857" t="s">
        <v>89</v>
      </c>
      <c r="M857" t="s">
        <v>318</v>
      </c>
      <c r="N857" t="s">
        <v>1608</v>
      </c>
      <c r="O857" t="s">
        <v>3268</v>
      </c>
      <c r="P857" t="s">
        <v>3268</v>
      </c>
      <c r="Q857" t="s">
        <v>102</v>
      </c>
      <c r="R857" t="s">
        <v>85</v>
      </c>
      <c r="S857" t="s">
        <v>1465</v>
      </c>
      <c r="T857" t="s">
        <v>3265</v>
      </c>
      <c r="U857" t="s">
        <v>322</v>
      </c>
      <c r="V857" t="s">
        <v>82</v>
      </c>
      <c r="W857" t="s">
        <v>639</v>
      </c>
      <c r="X857" t="s">
        <v>96</v>
      </c>
      <c r="Y857" t="s">
        <v>82</v>
      </c>
      <c r="Z857" t="s">
        <v>78</v>
      </c>
    </row>
    <row r="858" spans="1:26" x14ac:dyDescent="0.25">
      <c r="A858" t="s">
        <v>3269</v>
      </c>
      <c r="B858" t="s">
        <v>3270</v>
      </c>
      <c r="C858" s="4" t="s">
        <v>3266</v>
      </c>
      <c r="D858" t="s">
        <v>3267</v>
      </c>
      <c r="E858" t="s">
        <v>14</v>
      </c>
      <c r="F858" t="s">
        <v>83</v>
      </c>
      <c r="G858" t="s">
        <v>105</v>
      </c>
      <c r="H858" t="s">
        <v>78</v>
      </c>
      <c r="I858" t="s">
        <v>102</v>
      </c>
      <c r="J858" t="s">
        <v>29</v>
      </c>
      <c r="K858" t="s">
        <v>604</v>
      </c>
      <c r="L858" t="s">
        <v>89</v>
      </c>
      <c r="M858" t="s">
        <v>318</v>
      </c>
      <c r="N858" t="s">
        <v>1608</v>
      </c>
      <c r="O858" t="s">
        <v>3271</v>
      </c>
      <c r="P858" t="s">
        <v>3271</v>
      </c>
      <c r="Q858" t="s">
        <v>102</v>
      </c>
      <c r="R858" t="s">
        <v>85</v>
      </c>
      <c r="S858" t="s">
        <v>1465</v>
      </c>
      <c r="T858" t="s">
        <v>3270</v>
      </c>
      <c r="U858" t="s">
        <v>322</v>
      </c>
      <c r="V858" t="s">
        <v>82</v>
      </c>
      <c r="W858" t="s">
        <v>639</v>
      </c>
      <c r="X858" t="s">
        <v>96</v>
      </c>
      <c r="Y858" t="s">
        <v>82</v>
      </c>
      <c r="Z858" t="s">
        <v>78</v>
      </c>
    </row>
    <row r="859" spans="1:26" x14ac:dyDescent="0.25">
      <c r="A859" t="s">
        <v>3272</v>
      </c>
      <c r="B859" t="s">
        <v>3273</v>
      </c>
      <c r="C859" s="4" t="s">
        <v>3266</v>
      </c>
      <c r="D859" t="s">
        <v>3267</v>
      </c>
      <c r="E859" t="s">
        <v>14</v>
      </c>
      <c r="F859" t="s">
        <v>83</v>
      </c>
      <c r="G859" t="s">
        <v>105</v>
      </c>
      <c r="H859" t="s">
        <v>78</v>
      </c>
      <c r="I859" t="s">
        <v>102</v>
      </c>
      <c r="J859" t="s">
        <v>30</v>
      </c>
      <c r="K859" t="s">
        <v>604</v>
      </c>
      <c r="L859" t="s">
        <v>89</v>
      </c>
      <c r="M859" t="s">
        <v>318</v>
      </c>
      <c r="N859" t="s">
        <v>1608</v>
      </c>
      <c r="O859" t="s">
        <v>3274</v>
      </c>
      <c r="P859" t="s">
        <v>3274</v>
      </c>
      <c r="Q859" t="s">
        <v>102</v>
      </c>
      <c r="R859" t="s">
        <v>85</v>
      </c>
      <c r="S859" t="s">
        <v>1465</v>
      </c>
      <c r="T859" t="s">
        <v>3273</v>
      </c>
      <c r="U859" t="s">
        <v>322</v>
      </c>
      <c r="V859" t="s">
        <v>82</v>
      </c>
      <c r="W859" t="s">
        <v>639</v>
      </c>
      <c r="X859" t="s">
        <v>96</v>
      </c>
      <c r="Y859" t="s">
        <v>82</v>
      </c>
      <c r="Z859" t="s">
        <v>78</v>
      </c>
    </row>
    <row r="860" spans="1:26" x14ac:dyDescent="0.25">
      <c r="A860" t="s">
        <v>3275</v>
      </c>
      <c r="B860" t="s">
        <v>3276</v>
      </c>
      <c r="C860" s="4" t="s">
        <v>3266</v>
      </c>
      <c r="D860" t="s">
        <v>3267</v>
      </c>
      <c r="E860" t="s">
        <v>14</v>
      </c>
      <c r="F860" t="s">
        <v>83</v>
      </c>
      <c r="G860" t="s">
        <v>105</v>
      </c>
      <c r="H860" t="s">
        <v>78</v>
      </c>
      <c r="I860" t="s">
        <v>102</v>
      </c>
      <c r="J860" t="s">
        <v>3277</v>
      </c>
      <c r="K860" t="s">
        <v>604</v>
      </c>
      <c r="L860" t="s">
        <v>89</v>
      </c>
      <c r="M860" t="s">
        <v>318</v>
      </c>
      <c r="N860" t="s">
        <v>1608</v>
      </c>
      <c r="O860" t="s">
        <v>3274</v>
      </c>
      <c r="P860" t="s">
        <v>3274</v>
      </c>
      <c r="Q860" t="s">
        <v>102</v>
      </c>
      <c r="R860" t="s">
        <v>85</v>
      </c>
      <c r="S860" t="s">
        <v>1465</v>
      </c>
      <c r="T860" t="s">
        <v>3276</v>
      </c>
      <c r="U860" t="s">
        <v>322</v>
      </c>
      <c r="V860" t="s">
        <v>82</v>
      </c>
      <c r="W860" t="s">
        <v>639</v>
      </c>
      <c r="X860" t="s">
        <v>96</v>
      </c>
      <c r="Y860" t="s">
        <v>82</v>
      </c>
      <c r="Z860" t="s">
        <v>78</v>
      </c>
    </row>
    <row r="861" spans="1:26" x14ac:dyDescent="0.25">
      <c r="A861" t="s">
        <v>3278</v>
      </c>
      <c r="B861" t="s">
        <v>3279</v>
      </c>
      <c r="C861" s="4" t="s">
        <v>3266</v>
      </c>
      <c r="D861" t="s">
        <v>3267</v>
      </c>
      <c r="E861" t="s">
        <v>14</v>
      </c>
      <c r="F861" t="s">
        <v>83</v>
      </c>
      <c r="G861" t="s">
        <v>105</v>
      </c>
      <c r="H861" t="s">
        <v>78</v>
      </c>
      <c r="I861" t="s">
        <v>102</v>
      </c>
      <c r="J861" t="s">
        <v>265</v>
      </c>
      <c r="K861" t="s">
        <v>604</v>
      </c>
      <c r="L861" t="s">
        <v>89</v>
      </c>
      <c r="M861" t="s">
        <v>318</v>
      </c>
      <c r="N861" t="s">
        <v>1608</v>
      </c>
      <c r="O861" t="s">
        <v>3280</v>
      </c>
      <c r="P861" t="s">
        <v>3280</v>
      </c>
      <c r="Q861" t="s">
        <v>102</v>
      </c>
      <c r="R861" t="s">
        <v>85</v>
      </c>
      <c r="S861" t="s">
        <v>1465</v>
      </c>
      <c r="T861" t="s">
        <v>3279</v>
      </c>
      <c r="U861" t="s">
        <v>322</v>
      </c>
      <c r="V861" t="s">
        <v>82</v>
      </c>
      <c r="W861" t="s">
        <v>639</v>
      </c>
      <c r="X861" t="s">
        <v>96</v>
      </c>
      <c r="Y861" t="s">
        <v>82</v>
      </c>
      <c r="Z861" t="s">
        <v>78</v>
      </c>
    </row>
    <row r="862" spans="1:26" x14ac:dyDescent="0.25">
      <c r="A862" t="s">
        <v>3281</v>
      </c>
      <c r="B862" t="s">
        <v>3282</v>
      </c>
      <c r="C862" s="4" t="s">
        <v>3283</v>
      </c>
      <c r="D862" t="s">
        <v>3284</v>
      </c>
      <c r="E862" t="s">
        <v>14</v>
      </c>
      <c r="F862" t="s">
        <v>85</v>
      </c>
      <c r="G862" t="s">
        <v>111</v>
      </c>
      <c r="H862" t="s">
        <v>78</v>
      </c>
      <c r="I862" t="s">
        <v>102</v>
      </c>
      <c r="J862" t="s">
        <v>15</v>
      </c>
      <c r="K862" t="s">
        <v>1339</v>
      </c>
      <c r="L862" t="s">
        <v>89</v>
      </c>
      <c r="M862" t="s">
        <v>318</v>
      </c>
      <c r="N862" t="s">
        <v>739</v>
      </c>
      <c r="O862" t="s">
        <v>3285</v>
      </c>
      <c r="P862" t="s">
        <v>3285</v>
      </c>
      <c r="Q862" t="s">
        <v>102</v>
      </c>
      <c r="R862" t="s">
        <v>86</v>
      </c>
      <c r="S862" t="s">
        <v>1343</v>
      </c>
      <c r="T862" t="s">
        <v>3282</v>
      </c>
      <c r="U862" t="s">
        <v>322</v>
      </c>
      <c r="V862" t="s">
        <v>82</v>
      </c>
      <c r="W862" t="s">
        <v>3286</v>
      </c>
      <c r="X862" t="s">
        <v>96</v>
      </c>
      <c r="Y862" t="s">
        <v>82</v>
      </c>
      <c r="Z862" t="s">
        <v>78</v>
      </c>
    </row>
    <row r="863" spans="1:26" x14ac:dyDescent="0.25">
      <c r="A863" t="s">
        <v>3287</v>
      </c>
      <c r="B863" t="s">
        <v>3288</v>
      </c>
      <c r="C863" s="4" t="s">
        <v>3283</v>
      </c>
      <c r="D863" t="s">
        <v>3284</v>
      </c>
      <c r="E863" t="s">
        <v>14</v>
      </c>
      <c r="F863" t="s">
        <v>85</v>
      </c>
      <c r="G863" t="s">
        <v>111</v>
      </c>
      <c r="H863" t="s">
        <v>78</v>
      </c>
      <c r="I863" t="s">
        <v>102</v>
      </c>
      <c r="J863" t="s">
        <v>17</v>
      </c>
      <c r="K863" t="s">
        <v>1339</v>
      </c>
      <c r="L863" t="s">
        <v>89</v>
      </c>
      <c r="M863" t="s">
        <v>318</v>
      </c>
      <c r="N863" t="s">
        <v>739</v>
      </c>
      <c r="O863" t="s">
        <v>3289</v>
      </c>
      <c r="P863" t="s">
        <v>3289</v>
      </c>
      <c r="Q863" t="s">
        <v>102</v>
      </c>
      <c r="R863" t="s">
        <v>86</v>
      </c>
      <c r="S863" t="s">
        <v>1343</v>
      </c>
      <c r="T863" t="s">
        <v>3288</v>
      </c>
      <c r="U863" t="s">
        <v>322</v>
      </c>
      <c r="V863" t="s">
        <v>82</v>
      </c>
      <c r="W863" t="s">
        <v>3286</v>
      </c>
      <c r="X863" t="s">
        <v>96</v>
      </c>
      <c r="Y863" t="s">
        <v>82</v>
      </c>
      <c r="Z863" t="s">
        <v>78</v>
      </c>
    </row>
    <row r="864" spans="1:26" x14ac:dyDescent="0.25">
      <c r="A864" t="s">
        <v>3290</v>
      </c>
      <c r="B864" t="s">
        <v>3291</v>
      </c>
      <c r="C864" s="4" t="s">
        <v>3283</v>
      </c>
      <c r="D864" t="s">
        <v>3284</v>
      </c>
      <c r="E864" t="s">
        <v>14</v>
      </c>
      <c r="F864" t="s">
        <v>83</v>
      </c>
      <c r="G864" t="s">
        <v>84</v>
      </c>
      <c r="H864" t="s">
        <v>78</v>
      </c>
      <c r="I864" t="s">
        <v>111</v>
      </c>
      <c r="J864" t="s">
        <v>17</v>
      </c>
      <c r="K864" t="s">
        <v>3292</v>
      </c>
      <c r="L864" t="s">
        <v>89</v>
      </c>
      <c r="M864" t="s">
        <v>318</v>
      </c>
      <c r="N864" t="s">
        <v>1358</v>
      </c>
      <c r="O864" t="s">
        <v>3293</v>
      </c>
      <c r="P864" t="s">
        <v>3293</v>
      </c>
      <c r="Q864" t="s">
        <v>102</v>
      </c>
      <c r="R864" t="s">
        <v>86</v>
      </c>
      <c r="S864" t="s">
        <v>1302</v>
      </c>
      <c r="T864" t="s">
        <v>3291</v>
      </c>
      <c r="U864" t="s">
        <v>322</v>
      </c>
      <c r="V864" t="s">
        <v>82</v>
      </c>
      <c r="W864" t="s">
        <v>3294</v>
      </c>
      <c r="X864" t="s">
        <v>96</v>
      </c>
      <c r="Y864" t="s">
        <v>82</v>
      </c>
      <c r="Z864" t="s">
        <v>78</v>
      </c>
    </row>
    <row r="865" spans="1:26" x14ac:dyDescent="0.25">
      <c r="A865" t="s">
        <v>3295</v>
      </c>
      <c r="B865" t="s">
        <v>3296</v>
      </c>
      <c r="C865" s="4" t="s">
        <v>3283</v>
      </c>
      <c r="D865" t="s">
        <v>3284</v>
      </c>
      <c r="E865" t="s">
        <v>14</v>
      </c>
      <c r="F865" t="s">
        <v>83</v>
      </c>
      <c r="G865" t="s">
        <v>84</v>
      </c>
      <c r="H865" t="s">
        <v>78</v>
      </c>
      <c r="I865" t="s">
        <v>111</v>
      </c>
      <c r="J865" t="s">
        <v>15</v>
      </c>
      <c r="K865" t="s">
        <v>3292</v>
      </c>
      <c r="L865" t="s">
        <v>89</v>
      </c>
      <c r="M865" t="s">
        <v>318</v>
      </c>
      <c r="N865" t="s">
        <v>1358</v>
      </c>
      <c r="O865" t="s">
        <v>3297</v>
      </c>
      <c r="P865" t="s">
        <v>3297</v>
      </c>
      <c r="Q865" t="s">
        <v>102</v>
      </c>
      <c r="R865" t="s">
        <v>86</v>
      </c>
      <c r="S865" t="s">
        <v>1302</v>
      </c>
      <c r="T865" t="s">
        <v>3296</v>
      </c>
      <c r="U865" t="s">
        <v>322</v>
      </c>
      <c r="V865" t="s">
        <v>82</v>
      </c>
      <c r="W865" t="s">
        <v>3294</v>
      </c>
      <c r="X865" t="s">
        <v>96</v>
      </c>
      <c r="Y865" t="s">
        <v>82</v>
      </c>
      <c r="Z865" t="s">
        <v>78</v>
      </c>
    </row>
    <row r="866" spans="1:26" x14ac:dyDescent="0.25">
      <c r="A866" t="s">
        <v>3298</v>
      </c>
      <c r="B866" t="s">
        <v>3299</v>
      </c>
      <c r="C866" s="4" t="s">
        <v>2018</v>
      </c>
      <c r="D866" t="s">
        <v>3300</v>
      </c>
      <c r="E866" t="s">
        <v>14</v>
      </c>
      <c r="F866" t="s">
        <v>105</v>
      </c>
      <c r="G866" t="s">
        <v>106</v>
      </c>
      <c r="H866" t="s">
        <v>78</v>
      </c>
      <c r="I866" t="s">
        <v>86</v>
      </c>
      <c r="J866" t="s">
        <v>87</v>
      </c>
      <c r="K866" t="s">
        <v>802</v>
      </c>
      <c r="L866" t="s">
        <v>89</v>
      </c>
      <c r="M866" t="s">
        <v>318</v>
      </c>
      <c r="N866" t="s">
        <v>1847</v>
      </c>
      <c r="O866" t="s">
        <v>3301</v>
      </c>
      <c r="P866" t="s">
        <v>3301</v>
      </c>
      <c r="Q866" t="s">
        <v>102</v>
      </c>
      <c r="R866" t="s">
        <v>78</v>
      </c>
      <c r="S866" t="s">
        <v>1525</v>
      </c>
      <c r="T866" t="s">
        <v>3299</v>
      </c>
      <c r="U866" t="s">
        <v>322</v>
      </c>
      <c r="V866" t="s">
        <v>82</v>
      </c>
      <c r="W866" t="s">
        <v>718</v>
      </c>
      <c r="X866" t="s">
        <v>96</v>
      </c>
      <c r="Y866" t="s">
        <v>82</v>
      </c>
      <c r="Z866" t="s">
        <v>82</v>
      </c>
    </row>
    <row r="867" spans="1:26" x14ac:dyDescent="0.25">
      <c r="A867" t="s">
        <v>3302</v>
      </c>
      <c r="B867" t="s">
        <v>3303</v>
      </c>
      <c r="C867" s="4" t="s">
        <v>2018</v>
      </c>
      <c r="D867" t="s">
        <v>3300</v>
      </c>
      <c r="E867" t="s">
        <v>14</v>
      </c>
      <c r="F867" t="s">
        <v>105</v>
      </c>
      <c r="G867" t="s">
        <v>106</v>
      </c>
      <c r="H867" t="s">
        <v>78</v>
      </c>
      <c r="I867" t="s">
        <v>86</v>
      </c>
      <c r="J867" t="s">
        <v>546</v>
      </c>
      <c r="K867" t="s">
        <v>802</v>
      </c>
      <c r="L867" t="s">
        <v>89</v>
      </c>
      <c r="M867" t="s">
        <v>318</v>
      </c>
      <c r="N867" t="s">
        <v>1847</v>
      </c>
      <c r="O867" t="s">
        <v>3301</v>
      </c>
      <c r="P867" t="s">
        <v>3301</v>
      </c>
      <c r="Q867" t="s">
        <v>102</v>
      </c>
      <c r="R867" t="s">
        <v>78</v>
      </c>
      <c r="S867" t="s">
        <v>1525</v>
      </c>
      <c r="T867" t="s">
        <v>3303</v>
      </c>
      <c r="U867" t="s">
        <v>322</v>
      </c>
      <c r="V867" t="s">
        <v>82</v>
      </c>
      <c r="W867" t="s">
        <v>718</v>
      </c>
      <c r="X867" t="s">
        <v>96</v>
      </c>
      <c r="Y867" t="s">
        <v>82</v>
      </c>
      <c r="Z867" t="s">
        <v>82</v>
      </c>
    </row>
    <row r="868" spans="1:26" x14ac:dyDescent="0.25">
      <c r="A868" t="s">
        <v>3304</v>
      </c>
      <c r="B868" t="s">
        <v>3305</v>
      </c>
      <c r="C868" s="4" t="s">
        <v>2018</v>
      </c>
      <c r="D868" t="s">
        <v>3300</v>
      </c>
      <c r="E868" t="s">
        <v>14</v>
      </c>
      <c r="F868" t="s">
        <v>105</v>
      </c>
      <c r="G868" t="s">
        <v>106</v>
      </c>
      <c r="H868" t="s">
        <v>78</v>
      </c>
      <c r="I868" t="s">
        <v>86</v>
      </c>
      <c r="J868" t="s">
        <v>33</v>
      </c>
      <c r="K868" t="s">
        <v>802</v>
      </c>
      <c r="L868" t="s">
        <v>89</v>
      </c>
      <c r="M868" t="s">
        <v>318</v>
      </c>
      <c r="N868" t="s">
        <v>1847</v>
      </c>
      <c r="O868" t="s">
        <v>3306</v>
      </c>
      <c r="P868" t="s">
        <v>3306</v>
      </c>
      <c r="Q868" t="s">
        <v>102</v>
      </c>
      <c r="R868" t="s">
        <v>78</v>
      </c>
      <c r="S868" t="s">
        <v>1525</v>
      </c>
      <c r="T868" t="s">
        <v>3305</v>
      </c>
      <c r="U868" t="s">
        <v>322</v>
      </c>
      <c r="V868" t="s">
        <v>82</v>
      </c>
      <c r="W868" t="s">
        <v>718</v>
      </c>
      <c r="X868" t="s">
        <v>96</v>
      </c>
      <c r="Y868" t="s">
        <v>82</v>
      </c>
      <c r="Z868" t="s">
        <v>82</v>
      </c>
    </row>
    <row r="869" spans="1:26" x14ac:dyDescent="0.25">
      <c r="A869" t="s">
        <v>3307</v>
      </c>
      <c r="B869" t="s">
        <v>3308</v>
      </c>
      <c r="C869" s="4" t="s">
        <v>2018</v>
      </c>
      <c r="D869" t="s">
        <v>3300</v>
      </c>
      <c r="E869" t="s">
        <v>14</v>
      </c>
      <c r="F869" t="s">
        <v>105</v>
      </c>
      <c r="G869" t="s">
        <v>106</v>
      </c>
      <c r="H869" t="s">
        <v>78</v>
      </c>
      <c r="I869" t="s">
        <v>86</v>
      </c>
      <c r="J869" t="s">
        <v>3277</v>
      </c>
      <c r="K869" t="s">
        <v>802</v>
      </c>
      <c r="L869" t="s">
        <v>89</v>
      </c>
      <c r="M869" t="s">
        <v>318</v>
      </c>
      <c r="N869" t="s">
        <v>1847</v>
      </c>
      <c r="O869" t="s">
        <v>3306</v>
      </c>
      <c r="P869" t="s">
        <v>3306</v>
      </c>
      <c r="Q869" t="s">
        <v>102</v>
      </c>
      <c r="R869" t="s">
        <v>78</v>
      </c>
      <c r="S869" t="s">
        <v>1525</v>
      </c>
      <c r="T869" t="s">
        <v>3308</v>
      </c>
      <c r="U869" t="s">
        <v>322</v>
      </c>
      <c r="V869" t="s">
        <v>82</v>
      </c>
      <c r="W869" t="s">
        <v>718</v>
      </c>
      <c r="X869" t="s">
        <v>96</v>
      </c>
      <c r="Y869" t="s">
        <v>82</v>
      </c>
      <c r="Z869" t="s">
        <v>82</v>
      </c>
    </row>
    <row r="870" spans="1:26" x14ac:dyDescent="0.25">
      <c r="A870" t="s">
        <v>3309</v>
      </c>
      <c r="B870" t="s">
        <v>3310</v>
      </c>
      <c r="C870" s="4" t="s">
        <v>2018</v>
      </c>
      <c r="D870" t="s">
        <v>3300</v>
      </c>
      <c r="E870" t="s">
        <v>14</v>
      </c>
      <c r="F870" t="s">
        <v>105</v>
      </c>
      <c r="G870" t="s">
        <v>106</v>
      </c>
      <c r="H870" t="s">
        <v>78</v>
      </c>
      <c r="I870" t="s">
        <v>86</v>
      </c>
      <c r="J870" t="s">
        <v>15</v>
      </c>
      <c r="K870" t="s">
        <v>802</v>
      </c>
      <c r="L870" t="s">
        <v>89</v>
      </c>
      <c r="M870" t="s">
        <v>318</v>
      </c>
      <c r="N870" t="s">
        <v>1847</v>
      </c>
      <c r="O870" t="s">
        <v>3311</v>
      </c>
      <c r="P870" t="s">
        <v>3311</v>
      </c>
      <c r="Q870" t="s">
        <v>102</v>
      </c>
      <c r="R870" t="s">
        <v>78</v>
      </c>
      <c r="S870" t="s">
        <v>1525</v>
      </c>
      <c r="T870" t="s">
        <v>3310</v>
      </c>
      <c r="U870" t="s">
        <v>322</v>
      </c>
      <c r="V870" t="s">
        <v>82</v>
      </c>
      <c r="W870" t="s">
        <v>718</v>
      </c>
      <c r="X870" t="s">
        <v>96</v>
      </c>
      <c r="Y870" t="s">
        <v>82</v>
      </c>
      <c r="Z870" t="s">
        <v>154</v>
      </c>
    </row>
    <row r="871" spans="1:26" x14ac:dyDescent="0.25">
      <c r="A871" t="s">
        <v>3312</v>
      </c>
      <c r="B871" t="s">
        <v>3313</v>
      </c>
      <c r="C871" s="4" t="s">
        <v>104</v>
      </c>
      <c r="D871" t="s">
        <v>1816</v>
      </c>
      <c r="E871" t="s">
        <v>14</v>
      </c>
      <c r="F871" t="s">
        <v>78</v>
      </c>
      <c r="G871" t="s">
        <v>102</v>
      </c>
      <c r="H871" t="s">
        <v>78</v>
      </c>
      <c r="I871" t="s">
        <v>102</v>
      </c>
      <c r="J871" t="s">
        <v>1786</v>
      </c>
      <c r="K871" t="s">
        <v>1523</v>
      </c>
      <c r="L871" t="s">
        <v>89</v>
      </c>
      <c r="M871" t="s">
        <v>318</v>
      </c>
      <c r="N871" t="s">
        <v>3314</v>
      </c>
      <c r="O871" t="s">
        <v>3315</v>
      </c>
      <c r="P871" t="s">
        <v>3316</v>
      </c>
      <c r="Q871" t="s">
        <v>102</v>
      </c>
      <c r="R871" t="s">
        <v>85</v>
      </c>
      <c r="S871" t="s">
        <v>1525</v>
      </c>
      <c r="T871" t="s">
        <v>3313</v>
      </c>
      <c r="U871" t="s">
        <v>322</v>
      </c>
      <c r="V871" t="s">
        <v>82</v>
      </c>
      <c r="W871" t="s">
        <v>3317</v>
      </c>
      <c r="X871" t="s">
        <v>96</v>
      </c>
      <c r="Y871" t="s">
        <v>82</v>
      </c>
      <c r="Z871" t="s">
        <v>163</v>
      </c>
    </row>
    <row r="872" spans="1:26" x14ac:dyDescent="0.25">
      <c r="A872" t="s">
        <v>3318</v>
      </c>
      <c r="B872" t="s">
        <v>3319</v>
      </c>
      <c r="C872" s="4" t="s">
        <v>3320</v>
      </c>
      <c r="D872" t="s">
        <v>3321</v>
      </c>
      <c r="E872" t="s">
        <v>14</v>
      </c>
      <c r="F872" t="s">
        <v>78</v>
      </c>
      <c r="G872" t="s">
        <v>111</v>
      </c>
      <c r="H872" t="s">
        <v>78</v>
      </c>
      <c r="I872" t="s">
        <v>111</v>
      </c>
      <c r="J872" t="s">
        <v>29</v>
      </c>
      <c r="K872" t="s">
        <v>1523</v>
      </c>
      <c r="L872" t="s">
        <v>89</v>
      </c>
      <c r="M872" t="s">
        <v>318</v>
      </c>
      <c r="N872" t="s">
        <v>3314</v>
      </c>
      <c r="O872" t="s">
        <v>3322</v>
      </c>
      <c r="P872" t="s">
        <v>3323</v>
      </c>
      <c r="Q872" t="s">
        <v>102</v>
      </c>
      <c r="R872" t="s">
        <v>85</v>
      </c>
      <c r="S872" t="s">
        <v>2748</v>
      </c>
      <c r="T872" t="s">
        <v>3319</v>
      </c>
      <c r="U872" t="s">
        <v>322</v>
      </c>
      <c r="V872" t="s">
        <v>82</v>
      </c>
      <c r="W872" t="s">
        <v>3317</v>
      </c>
      <c r="X872" t="s">
        <v>96</v>
      </c>
      <c r="Y872" t="s">
        <v>82</v>
      </c>
      <c r="Z872" t="s">
        <v>163</v>
      </c>
    </row>
    <row r="873" spans="1:26" x14ac:dyDescent="0.25">
      <c r="A873" t="s">
        <v>3324</v>
      </c>
      <c r="B873" t="s">
        <v>3325</v>
      </c>
      <c r="C873" s="4" t="s">
        <v>156</v>
      </c>
      <c r="D873" t="s">
        <v>3326</v>
      </c>
      <c r="E873" t="s">
        <v>14</v>
      </c>
      <c r="F873" t="s">
        <v>78</v>
      </c>
      <c r="G873" t="s">
        <v>102</v>
      </c>
      <c r="H873" t="s">
        <v>78</v>
      </c>
      <c r="I873" t="s">
        <v>102</v>
      </c>
      <c r="J873" t="s">
        <v>1002</v>
      </c>
      <c r="K873" t="s">
        <v>820</v>
      </c>
      <c r="L873" t="s">
        <v>89</v>
      </c>
      <c r="M873" t="s">
        <v>318</v>
      </c>
      <c r="N873" t="s">
        <v>3327</v>
      </c>
      <c r="O873" t="s">
        <v>3328</v>
      </c>
      <c r="P873" t="s">
        <v>3329</v>
      </c>
      <c r="Q873" t="s">
        <v>102</v>
      </c>
      <c r="R873" t="s">
        <v>85</v>
      </c>
      <c r="S873" t="s">
        <v>2944</v>
      </c>
      <c r="T873" t="s">
        <v>3325</v>
      </c>
      <c r="U873" t="s">
        <v>322</v>
      </c>
      <c r="V873" t="s">
        <v>82</v>
      </c>
      <c r="W873" t="s">
        <v>2370</v>
      </c>
      <c r="X873" t="s">
        <v>96</v>
      </c>
      <c r="Y873" t="s">
        <v>82</v>
      </c>
      <c r="Z873" t="s">
        <v>163</v>
      </c>
    </row>
    <row r="874" spans="1:26" x14ac:dyDescent="0.25">
      <c r="A874" t="s">
        <v>3330</v>
      </c>
      <c r="B874" t="s">
        <v>3331</v>
      </c>
      <c r="C874" s="4" t="s">
        <v>156</v>
      </c>
      <c r="D874" t="s">
        <v>3326</v>
      </c>
      <c r="E874" t="s">
        <v>14</v>
      </c>
      <c r="F874" t="s">
        <v>78</v>
      </c>
      <c r="G874" t="s">
        <v>102</v>
      </c>
      <c r="H874" t="s">
        <v>78</v>
      </c>
      <c r="I874" t="s">
        <v>102</v>
      </c>
      <c r="J874" t="s">
        <v>130</v>
      </c>
      <c r="K874" t="s">
        <v>820</v>
      </c>
      <c r="L874" t="s">
        <v>89</v>
      </c>
      <c r="M874" t="s">
        <v>318</v>
      </c>
      <c r="N874" t="s">
        <v>3327</v>
      </c>
      <c r="O874" t="s">
        <v>3332</v>
      </c>
      <c r="P874" t="s">
        <v>3333</v>
      </c>
      <c r="Q874" t="s">
        <v>102</v>
      </c>
      <c r="R874" t="s">
        <v>85</v>
      </c>
      <c r="S874" t="s">
        <v>2944</v>
      </c>
      <c r="T874" t="s">
        <v>3331</v>
      </c>
      <c r="U874" t="s">
        <v>322</v>
      </c>
      <c r="V874" t="s">
        <v>82</v>
      </c>
      <c r="W874" t="s">
        <v>2370</v>
      </c>
      <c r="X874" t="s">
        <v>96</v>
      </c>
      <c r="Y874" t="s">
        <v>82</v>
      </c>
      <c r="Z874" t="s">
        <v>163</v>
      </c>
    </row>
    <row r="875" spans="1:26" x14ac:dyDescent="0.25">
      <c r="A875" t="s">
        <v>3334</v>
      </c>
      <c r="B875" t="s">
        <v>3335</v>
      </c>
      <c r="C875" s="4" t="s">
        <v>138</v>
      </c>
      <c r="D875" t="s">
        <v>3326</v>
      </c>
      <c r="E875" t="s">
        <v>14</v>
      </c>
      <c r="F875" t="s">
        <v>78</v>
      </c>
      <c r="G875" t="s">
        <v>102</v>
      </c>
      <c r="H875" t="s">
        <v>78</v>
      </c>
      <c r="I875" t="s">
        <v>102</v>
      </c>
      <c r="J875" t="s">
        <v>130</v>
      </c>
      <c r="K875" t="s">
        <v>820</v>
      </c>
      <c r="L875" t="s">
        <v>89</v>
      </c>
      <c r="M875" t="s">
        <v>318</v>
      </c>
      <c r="N875" t="s">
        <v>3327</v>
      </c>
      <c r="O875" t="s">
        <v>3336</v>
      </c>
      <c r="P875" t="s">
        <v>3336</v>
      </c>
      <c r="Q875" t="s">
        <v>102</v>
      </c>
      <c r="R875" t="s">
        <v>85</v>
      </c>
      <c r="S875" t="s">
        <v>2944</v>
      </c>
      <c r="T875" t="s">
        <v>3335</v>
      </c>
      <c r="U875" t="s">
        <v>322</v>
      </c>
      <c r="V875" t="s">
        <v>82</v>
      </c>
      <c r="W875" t="s">
        <v>2370</v>
      </c>
      <c r="X875" t="s">
        <v>96</v>
      </c>
      <c r="Y875" t="s">
        <v>82</v>
      </c>
      <c r="Z875" t="s">
        <v>163</v>
      </c>
    </row>
    <row r="876" spans="1:26" x14ac:dyDescent="0.25">
      <c r="A876" t="s">
        <v>3337</v>
      </c>
      <c r="B876" t="s">
        <v>3338</v>
      </c>
      <c r="C876" s="4" t="s">
        <v>138</v>
      </c>
      <c r="D876" t="s">
        <v>3326</v>
      </c>
      <c r="E876" t="s">
        <v>14</v>
      </c>
      <c r="F876" t="s">
        <v>78</v>
      </c>
      <c r="G876" t="s">
        <v>102</v>
      </c>
      <c r="H876" t="s">
        <v>78</v>
      </c>
      <c r="I876" t="s">
        <v>102</v>
      </c>
      <c r="J876" t="s">
        <v>1002</v>
      </c>
      <c r="K876" t="s">
        <v>820</v>
      </c>
      <c r="L876" t="s">
        <v>89</v>
      </c>
      <c r="M876" t="s">
        <v>318</v>
      </c>
      <c r="N876" t="s">
        <v>3327</v>
      </c>
      <c r="O876" t="s">
        <v>3336</v>
      </c>
      <c r="P876" t="s">
        <v>3336</v>
      </c>
      <c r="Q876" t="s">
        <v>102</v>
      </c>
      <c r="R876" t="s">
        <v>85</v>
      </c>
      <c r="S876" t="s">
        <v>2944</v>
      </c>
      <c r="T876" t="s">
        <v>3338</v>
      </c>
      <c r="U876" t="s">
        <v>322</v>
      </c>
      <c r="V876" t="s">
        <v>82</v>
      </c>
      <c r="W876" t="s">
        <v>2370</v>
      </c>
      <c r="X876" t="s">
        <v>96</v>
      </c>
      <c r="Y876" t="s">
        <v>82</v>
      </c>
      <c r="Z876" t="s">
        <v>163</v>
      </c>
    </row>
    <row r="877" spans="1:26" x14ac:dyDescent="0.25">
      <c r="A877" t="s">
        <v>3339</v>
      </c>
      <c r="B877" t="s">
        <v>3340</v>
      </c>
      <c r="C877" s="4" t="s">
        <v>3341</v>
      </c>
      <c r="D877" t="s">
        <v>3342</v>
      </c>
      <c r="E877" t="s">
        <v>14</v>
      </c>
      <c r="F877" t="s">
        <v>78</v>
      </c>
      <c r="G877" t="s">
        <v>102</v>
      </c>
      <c r="H877" t="s">
        <v>78</v>
      </c>
      <c r="I877" t="s">
        <v>102</v>
      </c>
      <c r="J877" t="s">
        <v>1053</v>
      </c>
      <c r="K877" t="s">
        <v>1523</v>
      </c>
      <c r="L877" t="s">
        <v>89</v>
      </c>
      <c r="M877" t="s">
        <v>318</v>
      </c>
      <c r="N877" t="s">
        <v>3314</v>
      </c>
      <c r="O877" t="s">
        <v>3343</v>
      </c>
      <c r="P877" t="s">
        <v>3343</v>
      </c>
      <c r="Q877" t="s">
        <v>102</v>
      </c>
      <c r="R877" t="s">
        <v>85</v>
      </c>
      <c r="S877" t="s">
        <v>1525</v>
      </c>
      <c r="T877" t="s">
        <v>3340</v>
      </c>
      <c r="U877" t="s">
        <v>322</v>
      </c>
      <c r="V877" t="s">
        <v>82</v>
      </c>
      <c r="W877" t="s">
        <v>3317</v>
      </c>
      <c r="X877" t="s">
        <v>96</v>
      </c>
      <c r="Y877" t="s">
        <v>82</v>
      </c>
      <c r="Z877" t="s">
        <v>163</v>
      </c>
    </row>
    <row r="878" spans="1:26" x14ac:dyDescent="0.25">
      <c r="A878" t="s">
        <v>2780</v>
      </c>
      <c r="B878" t="s">
        <v>3344</v>
      </c>
      <c r="C878" s="4" t="s">
        <v>3341</v>
      </c>
      <c r="D878" t="s">
        <v>3342</v>
      </c>
      <c r="E878" t="s">
        <v>14</v>
      </c>
      <c r="F878" t="s">
        <v>78</v>
      </c>
      <c r="G878" t="s">
        <v>102</v>
      </c>
      <c r="H878" t="s">
        <v>78</v>
      </c>
      <c r="I878" t="s">
        <v>102</v>
      </c>
      <c r="J878" t="s">
        <v>130</v>
      </c>
      <c r="K878" t="s">
        <v>1523</v>
      </c>
      <c r="L878" t="s">
        <v>89</v>
      </c>
      <c r="M878" t="s">
        <v>318</v>
      </c>
      <c r="N878" t="s">
        <v>3314</v>
      </c>
      <c r="O878" t="s">
        <v>3345</v>
      </c>
      <c r="P878" t="s">
        <v>3345</v>
      </c>
      <c r="Q878" t="s">
        <v>102</v>
      </c>
      <c r="R878" t="s">
        <v>85</v>
      </c>
      <c r="S878" t="s">
        <v>1525</v>
      </c>
      <c r="T878" t="s">
        <v>3344</v>
      </c>
      <c r="U878" t="s">
        <v>322</v>
      </c>
      <c r="V878" t="s">
        <v>82</v>
      </c>
      <c r="W878" t="s">
        <v>3317</v>
      </c>
      <c r="X878" t="s">
        <v>96</v>
      </c>
      <c r="Y878" t="s">
        <v>82</v>
      </c>
      <c r="Z878" t="s">
        <v>163</v>
      </c>
    </row>
    <row r="879" spans="1:26" x14ac:dyDescent="0.25">
      <c r="A879" t="s">
        <v>3346</v>
      </c>
      <c r="B879" t="s">
        <v>3347</v>
      </c>
      <c r="C879" s="4" t="s">
        <v>1069</v>
      </c>
      <c r="D879" t="s">
        <v>3348</v>
      </c>
      <c r="E879" t="s">
        <v>14</v>
      </c>
      <c r="F879" t="s">
        <v>85</v>
      </c>
      <c r="G879" t="s">
        <v>111</v>
      </c>
      <c r="H879" t="s">
        <v>78</v>
      </c>
      <c r="I879" t="s">
        <v>102</v>
      </c>
      <c r="J879" t="s">
        <v>537</v>
      </c>
      <c r="K879" t="s">
        <v>1592</v>
      </c>
      <c r="L879" t="s">
        <v>89</v>
      </c>
      <c r="M879" t="s">
        <v>318</v>
      </c>
      <c r="N879" t="s">
        <v>90</v>
      </c>
      <c r="O879" t="s">
        <v>3349</v>
      </c>
      <c r="P879" t="s">
        <v>3349</v>
      </c>
      <c r="Q879" t="s">
        <v>102</v>
      </c>
      <c r="R879" t="s">
        <v>85</v>
      </c>
      <c r="S879" t="s">
        <v>2437</v>
      </c>
      <c r="T879" t="s">
        <v>3347</v>
      </c>
      <c r="U879" t="s">
        <v>322</v>
      </c>
      <c r="V879" t="s">
        <v>82</v>
      </c>
      <c r="W879" t="s">
        <v>904</v>
      </c>
      <c r="X879" t="s">
        <v>96</v>
      </c>
      <c r="Y879" t="s">
        <v>82</v>
      </c>
      <c r="Z879" t="s">
        <v>143</v>
      </c>
    </row>
    <row r="880" spans="1:26" x14ac:dyDescent="0.25">
      <c r="A880" t="s">
        <v>3350</v>
      </c>
      <c r="B880" t="s">
        <v>3351</v>
      </c>
      <c r="C880" s="4" t="s">
        <v>1069</v>
      </c>
      <c r="D880" t="s">
        <v>3348</v>
      </c>
      <c r="E880" t="s">
        <v>14</v>
      </c>
      <c r="F880" t="s">
        <v>85</v>
      </c>
      <c r="G880" t="s">
        <v>111</v>
      </c>
      <c r="H880" t="s">
        <v>78</v>
      </c>
      <c r="I880" t="s">
        <v>102</v>
      </c>
      <c r="J880" t="s">
        <v>3277</v>
      </c>
      <c r="K880" t="s">
        <v>1592</v>
      </c>
      <c r="L880" t="s">
        <v>89</v>
      </c>
      <c r="M880" t="s">
        <v>318</v>
      </c>
      <c r="N880" t="s">
        <v>90</v>
      </c>
      <c r="O880" t="s">
        <v>3349</v>
      </c>
      <c r="P880" t="s">
        <v>3349</v>
      </c>
      <c r="Q880" t="s">
        <v>102</v>
      </c>
      <c r="R880" t="s">
        <v>85</v>
      </c>
      <c r="S880" t="s">
        <v>2437</v>
      </c>
      <c r="T880" t="s">
        <v>3351</v>
      </c>
      <c r="U880" t="s">
        <v>322</v>
      </c>
      <c r="V880" t="s">
        <v>82</v>
      </c>
      <c r="W880" t="s">
        <v>904</v>
      </c>
      <c r="X880" t="s">
        <v>96</v>
      </c>
      <c r="Y880" t="s">
        <v>82</v>
      </c>
      <c r="Z880" t="s">
        <v>143</v>
      </c>
    </row>
    <row r="881" spans="1:26" x14ac:dyDescent="0.25">
      <c r="A881" t="s">
        <v>3352</v>
      </c>
      <c r="B881" t="s">
        <v>3353</v>
      </c>
      <c r="C881" s="4" t="s">
        <v>1069</v>
      </c>
      <c r="D881" t="s">
        <v>3348</v>
      </c>
      <c r="E881" t="s">
        <v>14</v>
      </c>
      <c r="F881" t="s">
        <v>85</v>
      </c>
      <c r="G881" t="s">
        <v>111</v>
      </c>
      <c r="H881" t="s">
        <v>78</v>
      </c>
      <c r="I881" t="s">
        <v>102</v>
      </c>
      <c r="J881" t="s">
        <v>1530</v>
      </c>
      <c r="K881" t="s">
        <v>1592</v>
      </c>
      <c r="L881" t="s">
        <v>89</v>
      </c>
      <c r="M881" t="s">
        <v>318</v>
      </c>
      <c r="N881" t="s">
        <v>90</v>
      </c>
      <c r="O881" t="s">
        <v>3349</v>
      </c>
      <c r="P881" t="s">
        <v>3349</v>
      </c>
      <c r="Q881" t="s">
        <v>102</v>
      </c>
      <c r="R881" t="s">
        <v>85</v>
      </c>
      <c r="S881" t="s">
        <v>2437</v>
      </c>
      <c r="T881" t="s">
        <v>3353</v>
      </c>
      <c r="U881" t="s">
        <v>322</v>
      </c>
      <c r="V881" t="s">
        <v>82</v>
      </c>
      <c r="W881" t="s">
        <v>904</v>
      </c>
      <c r="X881" t="s">
        <v>96</v>
      </c>
      <c r="Y881" t="s">
        <v>82</v>
      </c>
      <c r="Z881" t="s">
        <v>143</v>
      </c>
    </row>
    <row r="882" spans="1:26" x14ac:dyDescent="0.25">
      <c r="A882" t="s">
        <v>3354</v>
      </c>
      <c r="B882" t="s">
        <v>3355</v>
      </c>
      <c r="C882" s="4" t="s">
        <v>1446</v>
      </c>
      <c r="D882" t="s">
        <v>3356</v>
      </c>
      <c r="E882" t="s">
        <v>14</v>
      </c>
      <c r="F882" t="s">
        <v>83</v>
      </c>
      <c r="G882" t="s">
        <v>105</v>
      </c>
      <c r="H882" t="s">
        <v>78</v>
      </c>
      <c r="I882" t="s">
        <v>102</v>
      </c>
      <c r="J882" t="s">
        <v>1530</v>
      </c>
      <c r="K882" t="s">
        <v>2460</v>
      </c>
      <c r="L882" t="s">
        <v>89</v>
      </c>
      <c r="M882" t="s">
        <v>318</v>
      </c>
      <c r="N882" t="s">
        <v>1536</v>
      </c>
      <c r="O882" t="s">
        <v>3357</v>
      </c>
      <c r="P882" t="s">
        <v>3357</v>
      </c>
      <c r="Q882" t="s">
        <v>102</v>
      </c>
      <c r="R882" t="s">
        <v>85</v>
      </c>
      <c r="S882" t="s">
        <v>2833</v>
      </c>
      <c r="T882" t="s">
        <v>3355</v>
      </c>
      <c r="U882" t="s">
        <v>322</v>
      </c>
      <c r="V882" t="s">
        <v>82</v>
      </c>
      <c r="W882" t="s">
        <v>1303</v>
      </c>
      <c r="X882" t="s">
        <v>96</v>
      </c>
      <c r="Y882" t="s">
        <v>82</v>
      </c>
      <c r="Z882" t="s">
        <v>143</v>
      </c>
    </row>
    <row r="883" spans="1:26" x14ac:dyDescent="0.25">
      <c r="A883" t="s">
        <v>3358</v>
      </c>
      <c r="B883" t="s">
        <v>3359</v>
      </c>
      <c r="C883" s="4" t="s">
        <v>1446</v>
      </c>
      <c r="D883" t="s">
        <v>3356</v>
      </c>
      <c r="E883" t="s">
        <v>14</v>
      </c>
      <c r="F883" t="s">
        <v>83</v>
      </c>
      <c r="G883" t="s">
        <v>105</v>
      </c>
      <c r="H883" t="s">
        <v>78</v>
      </c>
      <c r="I883" t="s">
        <v>102</v>
      </c>
      <c r="J883" t="s">
        <v>3277</v>
      </c>
      <c r="K883" t="s">
        <v>2460</v>
      </c>
      <c r="L883" t="s">
        <v>89</v>
      </c>
      <c r="M883" t="s">
        <v>318</v>
      </c>
      <c r="N883" t="s">
        <v>1536</v>
      </c>
      <c r="O883" t="s">
        <v>3357</v>
      </c>
      <c r="P883" t="s">
        <v>3357</v>
      </c>
      <c r="Q883" t="s">
        <v>102</v>
      </c>
      <c r="R883" t="s">
        <v>85</v>
      </c>
      <c r="S883" t="s">
        <v>2833</v>
      </c>
      <c r="T883" t="s">
        <v>3359</v>
      </c>
      <c r="U883" t="s">
        <v>322</v>
      </c>
      <c r="V883" t="s">
        <v>82</v>
      </c>
      <c r="W883" t="s">
        <v>1303</v>
      </c>
      <c r="X883" t="s">
        <v>96</v>
      </c>
      <c r="Y883" t="s">
        <v>82</v>
      </c>
      <c r="Z883" t="s">
        <v>143</v>
      </c>
    </row>
    <row r="884" spans="1:26" x14ac:dyDescent="0.25">
      <c r="A884" t="s">
        <v>3360</v>
      </c>
      <c r="B884" t="s">
        <v>3361</v>
      </c>
      <c r="C884" s="4" t="s">
        <v>1446</v>
      </c>
      <c r="D884" t="s">
        <v>3356</v>
      </c>
      <c r="E884" t="s">
        <v>14</v>
      </c>
      <c r="F884" t="s">
        <v>83</v>
      </c>
      <c r="G884" t="s">
        <v>105</v>
      </c>
      <c r="H884" t="s">
        <v>78</v>
      </c>
      <c r="I884" t="s">
        <v>102</v>
      </c>
      <c r="J884" t="s">
        <v>537</v>
      </c>
      <c r="K884" t="s">
        <v>2460</v>
      </c>
      <c r="L884" t="s">
        <v>89</v>
      </c>
      <c r="M884" t="s">
        <v>318</v>
      </c>
      <c r="N884" t="s">
        <v>1536</v>
      </c>
      <c r="O884" t="s">
        <v>3357</v>
      </c>
      <c r="P884" t="s">
        <v>3357</v>
      </c>
      <c r="Q884" t="s">
        <v>102</v>
      </c>
      <c r="R884" t="s">
        <v>85</v>
      </c>
      <c r="S884" t="s">
        <v>2833</v>
      </c>
      <c r="T884" t="s">
        <v>3361</v>
      </c>
      <c r="U884" t="s">
        <v>322</v>
      </c>
      <c r="V884" t="s">
        <v>82</v>
      </c>
      <c r="W884" t="s">
        <v>1303</v>
      </c>
      <c r="X884" t="s">
        <v>96</v>
      </c>
      <c r="Y884" t="s">
        <v>82</v>
      </c>
      <c r="Z884" t="s">
        <v>143</v>
      </c>
    </row>
    <row r="885" spans="1:26" x14ac:dyDescent="0.25">
      <c r="A885" t="s">
        <v>3362</v>
      </c>
      <c r="B885" t="s">
        <v>3363</v>
      </c>
      <c r="C885" s="4" t="s">
        <v>1833</v>
      </c>
      <c r="D885" t="s">
        <v>3364</v>
      </c>
      <c r="E885" t="s">
        <v>14</v>
      </c>
      <c r="F885" t="s">
        <v>146</v>
      </c>
      <c r="G885" t="s">
        <v>160</v>
      </c>
      <c r="H885" t="s">
        <v>78</v>
      </c>
      <c r="I885" t="s">
        <v>86</v>
      </c>
      <c r="J885" t="s">
        <v>537</v>
      </c>
      <c r="K885" t="s">
        <v>940</v>
      </c>
      <c r="L885" t="s">
        <v>89</v>
      </c>
      <c r="M885" t="s">
        <v>318</v>
      </c>
      <c r="N885" t="s">
        <v>1549</v>
      </c>
      <c r="O885" t="s">
        <v>3365</v>
      </c>
      <c r="P885" t="s">
        <v>3366</v>
      </c>
      <c r="Q885" t="s">
        <v>102</v>
      </c>
      <c r="R885" t="s">
        <v>85</v>
      </c>
      <c r="S885" t="s">
        <v>1465</v>
      </c>
      <c r="T885" t="s">
        <v>3363</v>
      </c>
      <c r="U885" t="s">
        <v>322</v>
      </c>
      <c r="V885" t="s">
        <v>82</v>
      </c>
      <c r="W885" t="s">
        <v>354</v>
      </c>
      <c r="X885" t="s">
        <v>96</v>
      </c>
      <c r="Y885" t="s">
        <v>82</v>
      </c>
      <c r="Z885" t="s">
        <v>143</v>
      </c>
    </row>
    <row r="886" spans="1:26" x14ac:dyDescent="0.25">
      <c r="A886" t="s">
        <v>3367</v>
      </c>
      <c r="B886" t="s">
        <v>3368</v>
      </c>
      <c r="C886" s="4" t="s">
        <v>1833</v>
      </c>
      <c r="D886" t="s">
        <v>3364</v>
      </c>
      <c r="E886" t="s">
        <v>14</v>
      </c>
      <c r="F886" t="s">
        <v>146</v>
      </c>
      <c r="G886" t="s">
        <v>160</v>
      </c>
      <c r="H886" t="s">
        <v>78</v>
      </c>
      <c r="I886" t="s">
        <v>86</v>
      </c>
      <c r="J886" t="s">
        <v>3277</v>
      </c>
      <c r="K886" t="s">
        <v>940</v>
      </c>
      <c r="L886" t="s">
        <v>89</v>
      </c>
      <c r="M886" t="s">
        <v>318</v>
      </c>
      <c r="N886" t="s">
        <v>1549</v>
      </c>
      <c r="O886" t="s">
        <v>3365</v>
      </c>
      <c r="P886" t="s">
        <v>3369</v>
      </c>
      <c r="Q886" t="s">
        <v>102</v>
      </c>
      <c r="R886" t="s">
        <v>85</v>
      </c>
      <c r="S886" t="s">
        <v>1465</v>
      </c>
      <c r="T886" t="s">
        <v>3368</v>
      </c>
      <c r="U886" t="s">
        <v>322</v>
      </c>
      <c r="V886" t="s">
        <v>82</v>
      </c>
      <c r="W886" t="s">
        <v>354</v>
      </c>
      <c r="X886" t="s">
        <v>96</v>
      </c>
      <c r="Y886" t="s">
        <v>82</v>
      </c>
      <c r="Z886" t="s">
        <v>143</v>
      </c>
    </row>
    <row r="887" spans="1:26" x14ac:dyDescent="0.25">
      <c r="A887" t="s">
        <v>3370</v>
      </c>
      <c r="B887" t="s">
        <v>3371</v>
      </c>
      <c r="C887" s="4" t="s">
        <v>1833</v>
      </c>
      <c r="D887" t="s">
        <v>3364</v>
      </c>
      <c r="E887" t="s">
        <v>14</v>
      </c>
      <c r="F887" t="s">
        <v>146</v>
      </c>
      <c r="G887" t="s">
        <v>160</v>
      </c>
      <c r="H887" t="s">
        <v>78</v>
      </c>
      <c r="I887" t="s">
        <v>86</v>
      </c>
      <c r="J887" t="s">
        <v>1530</v>
      </c>
      <c r="K887" t="s">
        <v>940</v>
      </c>
      <c r="L887" t="s">
        <v>89</v>
      </c>
      <c r="M887" t="s">
        <v>318</v>
      </c>
      <c r="N887" t="s">
        <v>1549</v>
      </c>
      <c r="O887" t="s">
        <v>3365</v>
      </c>
      <c r="P887" t="s">
        <v>3372</v>
      </c>
      <c r="Q887" t="s">
        <v>102</v>
      </c>
      <c r="R887" t="s">
        <v>85</v>
      </c>
      <c r="S887" t="s">
        <v>1465</v>
      </c>
      <c r="T887" t="s">
        <v>3371</v>
      </c>
      <c r="U887" t="s">
        <v>322</v>
      </c>
      <c r="V887" t="s">
        <v>82</v>
      </c>
      <c r="W887" t="s">
        <v>354</v>
      </c>
      <c r="X887" t="s">
        <v>96</v>
      </c>
      <c r="Y887" t="s">
        <v>82</v>
      </c>
      <c r="Z887" t="s">
        <v>143</v>
      </c>
    </row>
    <row r="888" spans="1:26" x14ac:dyDescent="0.25">
      <c r="A888" t="s">
        <v>2737</v>
      </c>
      <c r="B888" t="s">
        <v>3373</v>
      </c>
      <c r="C888" s="4" t="s">
        <v>3374</v>
      </c>
      <c r="D888" t="s">
        <v>3375</v>
      </c>
      <c r="E888" t="s">
        <v>14</v>
      </c>
      <c r="F888" t="s">
        <v>85</v>
      </c>
      <c r="G888" t="s">
        <v>111</v>
      </c>
      <c r="H888" t="s">
        <v>78</v>
      </c>
      <c r="I888" t="s">
        <v>102</v>
      </c>
      <c r="J888" t="s">
        <v>1002</v>
      </c>
      <c r="K888" t="s">
        <v>3376</v>
      </c>
      <c r="L888" t="s">
        <v>89</v>
      </c>
      <c r="M888" t="s">
        <v>3096</v>
      </c>
      <c r="N888" t="s">
        <v>1047</v>
      </c>
      <c r="O888" t="s">
        <v>3377</v>
      </c>
      <c r="P888" t="s">
        <v>3378</v>
      </c>
      <c r="Q888" t="s">
        <v>102</v>
      </c>
      <c r="R888" t="s">
        <v>83</v>
      </c>
      <c r="S888" t="s">
        <v>3379</v>
      </c>
      <c r="T888" t="s">
        <v>3373</v>
      </c>
      <c r="U888" t="s">
        <v>322</v>
      </c>
      <c r="V888" t="s">
        <v>82</v>
      </c>
      <c r="W888" t="s">
        <v>3380</v>
      </c>
      <c r="X888" t="s">
        <v>96</v>
      </c>
      <c r="Y888" t="s">
        <v>82</v>
      </c>
      <c r="Z888" t="s">
        <v>134</v>
      </c>
    </row>
    <row r="889" spans="1:26" x14ac:dyDescent="0.25">
      <c r="A889" t="s">
        <v>3381</v>
      </c>
      <c r="B889" t="s">
        <v>3382</v>
      </c>
      <c r="C889" s="4" t="s">
        <v>3374</v>
      </c>
      <c r="D889" t="s">
        <v>3375</v>
      </c>
      <c r="E889" t="s">
        <v>14</v>
      </c>
      <c r="F889" t="s">
        <v>85</v>
      </c>
      <c r="G889" t="s">
        <v>111</v>
      </c>
      <c r="H889" t="s">
        <v>78</v>
      </c>
      <c r="I889" t="s">
        <v>102</v>
      </c>
      <c r="J889" t="s">
        <v>546</v>
      </c>
      <c r="K889" t="s">
        <v>3376</v>
      </c>
      <c r="L889" t="s">
        <v>89</v>
      </c>
      <c r="M889" t="s">
        <v>3096</v>
      </c>
      <c r="N889" t="s">
        <v>1047</v>
      </c>
      <c r="O889" t="s">
        <v>3377</v>
      </c>
      <c r="P889" t="s">
        <v>3383</v>
      </c>
      <c r="Q889" t="s">
        <v>102</v>
      </c>
      <c r="R889" t="s">
        <v>83</v>
      </c>
      <c r="S889" t="s">
        <v>3379</v>
      </c>
      <c r="T889" t="s">
        <v>3382</v>
      </c>
      <c r="U889" t="s">
        <v>322</v>
      </c>
      <c r="V889" t="s">
        <v>82</v>
      </c>
      <c r="W889" t="s">
        <v>3380</v>
      </c>
      <c r="X889" t="s">
        <v>96</v>
      </c>
      <c r="Y889" t="s">
        <v>82</v>
      </c>
      <c r="Z889" t="s">
        <v>134</v>
      </c>
    </row>
    <row r="890" spans="1:26" x14ac:dyDescent="0.25">
      <c r="A890" t="s">
        <v>3384</v>
      </c>
      <c r="B890" t="s">
        <v>3385</v>
      </c>
      <c r="C890" s="4" t="s">
        <v>3374</v>
      </c>
      <c r="D890" t="s">
        <v>3375</v>
      </c>
      <c r="E890" t="s">
        <v>14</v>
      </c>
      <c r="F890" t="s">
        <v>85</v>
      </c>
      <c r="G890" t="s">
        <v>111</v>
      </c>
      <c r="H890" t="s">
        <v>78</v>
      </c>
      <c r="I890" t="s">
        <v>102</v>
      </c>
      <c r="J890" t="s">
        <v>1786</v>
      </c>
      <c r="K890" t="s">
        <v>3376</v>
      </c>
      <c r="L890" t="s">
        <v>89</v>
      </c>
      <c r="M890" t="s">
        <v>3096</v>
      </c>
      <c r="N890" t="s">
        <v>1047</v>
      </c>
      <c r="O890" t="s">
        <v>3377</v>
      </c>
      <c r="P890" t="s">
        <v>3386</v>
      </c>
      <c r="Q890" t="s">
        <v>102</v>
      </c>
      <c r="R890" t="s">
        <v>83</v>
      </c>
      <c r="S890" t="s">
        <v>3379</v>
      </c>
      <c r="T890" t="s">
        <v>3385</v>
      </c>
      <c r="U890" t="s">
        <v>322</v>
      </c>
      <c r="V890" t="s">
        <v>82</v>
      </c>
      <c r="W890" t="s">
        <v>3380</v>
      </c>
      <c r="X890" t="s">
        <v>96</v>
      </c>
      <c r="Y890" t="s">
        <v>82</v>
      </c>
      <c r="Z890" t="s">
        <v>134</v>
      </c>
    </row>
    <row r="891" spans="1:26" x14ac:dyDescent="0.25">
      <c r="A891" t="s">
        <v>3387</v>
      </c>
      <c r="B891" t="s">
        <v>3388</v>
      </c>
      <c r="C891" s="4" t="s">
        <v>3374</v>
      </c>
      <c r="D891" t="s">
        <v>3375</v>
      </c>
      <c r="E891" t="s">
        <v>14</v>
      </c>
      <c r="F891" t="s">
        <v>85</v>
      </c>
      <c r="G891" t="s">
        <v>111</v>
      </c>
      <c r="H891" t="s">
        <v>78</v>
      </c>
      <c r="I891" t="s">
        <v>102</v>
      </c>
      <c r="J891" t="s">
        <v>29</v>
      </c>
      <c r="K891" t="s">
        <v>3376</v>
      </c>
      <c r="L891" t="s">
        <v>89</v>
      </c>
      <c r="M891" t="s">
        <v>3096</v>
      </c>
      <c r="N891" t="s">
        <v>1047</v>
      </c>
      <c r="O891" t="s">
        <v>3389</v>
      </c>
      <c r="P891" t="s">
        <v>3390</v>
      </c>
      <c r="Q891" t="s">
        <v>102</v>
      </c>
      <c r="R891" t="s">
        <v>83</v>
      </c>
      <c r="S891" t="s">
        <v>3379</v>
      </c>
      <c r="T891" t="s">
        <v>3388</v>
      </c>
      <c r="U891" t="s">
        <v>322</v>
      </c>
      <c r="V891" t="s">
        <v>82</v>
      </c>
      <c r="W891" t="s">
        <v>3380</v>
      </c>
      <c r="X891" t="s">
        <v>96</v>
      </c>
      <c r="Y891" t="s">
        <v>82</v>
      </c>
      <c r="Z891" t="s">
        <v>134</v>
      </c>
    </row>
    <row r="892" spans="1:26" x14ac:dyDescent="0.25">
      <c r="A892" t="s">
        <v>3391</v>
      </c>
      <c r="B892" t="s">
        <v>3392</v>
      </c>
      <c r="C892" s="4" t="s">
        <v>3393</v>
      </c>
      <c r="D892" t="s">
        <v>1460</v>
      </c>
      <c r="E892" t="s">
        <v>14</v>
      </c>
      <c r="F892" t="s">
        <v>86</v>
      </c>
      <c r="G892" t="s">
        <v>111</v>
      </c>
      <c r="H892" t="s">
        <v>78</v>
      </c>
      <c r="I892" t="s">
        <v>86</v>
      </c>
      <c r="J892" t="s">
        <v>29</v>
      </c>
      <c r="K892" t="s">
        <v>679</v>
      </c>
      <c r="L892" t="s">
        <v>89</v>
      </c>
      <c r="M892" t="s">
        <v>318</v>
      </c>
      <c r="N892" t="s">
        <v>1483</v>
      </c>
      <c r="O892" t="s">
        <v>3394</v>
      </c>
      <c r="P892" t="s">
        <v>3395</v>
      </c>
      <c r="Q892" t="s">
        <v>102</v>
      </c>
      <c r="R892" t="s">
        <v>78</v>
      </c>
      <c r="S892" t="s">
        <v>1575</v>
      </c>
      <c r="T892" t="s">
        <v>3392</v>
      </c>
      <c r="U892" t="s">
        <v>322</v>
      </c>
      <c r="V892" t="s">
        <v>82</v>
      </c>
      <c r="W892" t="s">
        <v>1046</v>
      </c>
      <c r="X892" t="s">
        <v>96</v>
      </c>
      <c r="Y892" t="s">
        <v>82</v>
      </c>
      <c r="Z892" t="s">
        <v>134</v>
      </c>
    </row>
    <row r="893" spans="1:26" x14ac:dyDescent="0.25">
      <c r="A893" t="s">
        <v>3396</v>
      </c>
      <c r="B893" t="s">
        <v>3397</v>
      </c>
      <c r="C893" s="4" t="s">
        <v>3393</v>
      </c>
      <c r="D893" t="s">
        <v>1460</v>
      </c>
      <c r="E893" t="s">
        <v>14</v>
      </c>
      <c r="F893" t="s">
        <v>86</v>
      </c>
      <c r="G893" t="s">
        <v>111</v>
      </c>
      <c r="H893" t="s">
        <v>78</v>
      </c>
      <c r="I893" t="s">
        <v>86</v>
      </c>
      <c r="J893" t="s">
        <v>2494</v>
      </c>
      <c r="K893" t="s">
        <v>679</v>
      </c>
      <c r="L893" t="s">
        <v>89</v>
      </c>
      <c r="M893" t="s">
        <v>318</v>
      </c>
      <c r="N893" t="s">
        <v>1483</v>
      </c>
      <c r="O893" t="s">
        <v>3394</v>
      </c>
      <c r="P893" t="s">
        <v>3398</v>
      </c>
      <c r="Q893" t="s">
        <v>102</v>
      </c>
      <c r="R893" t="s">
        <v>78</v>
      </c>
      <c r="S893" t="s">
        <v>1575</v>
      </c>
      <c r="T893" t="s">
        <v>3397</v>
      </c>
      <c r="U893" t="s">
        <v>322</v>
      </c>
      <c r="V893" t="s">
        <v>82</v>
      </c>
      <c r="W893" t="s">
        <v>1046</v>
      </c>
      <c r="X893" t="s">
        <v>96</v>
      </c>
      <c r="Y893" t="s">
        <v>82</v>
      </c>
      <c r="Z893" t="s">
        <v>134</v>
      </c>
    </row>
    <row r="894" spans="1:26" x14ac:dyDescent="0.25">
      <c r="A894" t="s">
        <v>3399</v>
      </c>
      <c r="B894" t="s">
        <v>3400</v>
      </c>
      <c r="C894" s="4" t="s">
        <v>3393</v>
      </c>
      <c r="D894" t="s">
        <v>1460</v>
      </c>
      <c r="E894" t="s">
        <v>14</v>
      </c>
      <c r="F894" t="s">
        <v>86</v>
      </c>
      <c r="G894" t="s">
        <v>111</v>
      </c>
      <c r="H894" t="s">
        <v>78</v>
      </c>
      <c r="I894" t="s">
        <v>86</v>
      </c>
      <c r="J894" t="s">
        <v>1053</v>
      </c>
      <c r="K894" t="s">
        <v>679</v>
      </c>
      <c r="L894" t="s">
        <v>89</v>
      </c>
      <c r="M894" t="s">
        <v>318</v>
      </c>
      <c r="N894" t="s">
        <v>1483</v>
      </c>
      <c r="O894" t="s">
        <v>3394</v>
      </c>
      <c r="P894" t="s">
        <v>3401</v>
      </c>
      <c r="Q894" t="s">
        <v>102</v>
      </c>
      <c r="R894" t="s">
        <v>78</v>
      </c>
      <c r="S894" t="s">
        <v>1575</v>
      </c>
      <c r="T894" t="s">
        <v>3400</v>
      </c>
      <c r="U894" t="s">
        <v>322</v>
      </c>
      <c r="V894" t="s">
        <v>82</v>
      </c>
      <c r="W894" t="s">
        <v>1046</v>
      </c>
      <c r="X894" t="s">
        <v>96</v>
      </c>
      <c r="Y894" t="s">
        <v>82</v>
      </c>
      <c r="Z894" t="s">
        <v>134</v>
      </c>
    </row>
    <row r="895" spans="1:26" x14ac:dyDescent="0.25">
      <c r="A895" t="s">
        <v>3402</v>
      </c>
      <c r="B895" t="s">
        <v>3403</v>
      </c>
      <c r="C895" s="4" t="s">
        <v>3404</v>
      </c>
      <c r="D895" t="s">
        <v>3405</v>
      </c>
      <c r="E895" t="s">
        <v>14</v>
      </c>
      <c r="F895" t="s">
        <v>111</v>
      </c>
      <c r="G895" t="s">
        <v>124</v>
      </c>
      <c r="H895" t="s">
        <v>78</v>
      </c>
      <c r="I895" t="s">
        <v>102</v>
      </c>
      <c r="J895" t="s">
        <v>18</v>
      </c>
      <c r="K895" t="s">
        <v>3406</v>
      </c>
      <c r="L895" t="s">
        <v>89</v>
      </c>
      <c r="M895" t="s">
        <v>318</v>
      </c>
      <c r="N895" t="s">
        <v>2422</v>
      </c>
      <c r="O895" t="s">
        <v>3407</v>
      </c>
      <c r="P895" t="s">
        <v>3407</v>
      </c>
      <c r="Q895" t="s">
        <v>102</v>
      </c>
      <c r="R895" t="s">
        <v>102</v>
      </c>
      <c r="S895" t="s">
        <v>3408</v>
      </c>
      <c r="T895" t="s">
        <v>3403</v>
      </c>
      <c r="U895" t="s">
        <v>322</v>
      </c>
      <c r="V895" t="s">
        <v>82</v>
      </c>
      <c r="W895" t="s">
        <v>3409</v>
      </c>
      <c r="X895" t="s">
        <v>96</v>
      </c>
      <c r="Y895" t="s">
        <v>82</v>
      </c>
      <c r="Z895" t="s">
        <v>82</v>
      </c>
    </row>
    <row r="896" spans="1:26" x14ac:dyDescent="0.25">
      <c r="A896" t="s">
        <v>3410</v>
      </c>
      <c r="B896" t="s">
        <v>3411</v>
      </c>
      <c r="C896" s="4" t="s">
        <v>3404</v>
      </c>
      <c r="D896" t="s">
        <v>3405</v>
      </c>
      <c r="E896" t="s">
        <v>14</v>
      </c>
      <c r="F896" t="s">
        <v>128</v>
      </c>
      <c r="G896" t="s">
        <v>105</v>
      </c>
      <c r="H896" t="s">
        <v>78</v>
      </c>
      <c r="I896" t="s">
        <v>102</v>
      </c>
      <c r="J896" t="s">
        <v>15</v>
      </c>
      <c r="K896" t="s">
        <v>3412</v>
      </c>
      <c r="L896" t="s">
        <v>89</v>
      </c>
      <c r="M896" t="s">
        <v>318</v>
      </c>
      <c r="N896" t="s">
        <v>1092</v>
      </c>
      <c r="O896" t="s">
        <v>3413</v>
      </c>
      <c r="P896" t="s">
        <v>3413</v>
      </c>
      <c r="Q896" t="s">
        <v>102</v>
      </c>
      <c r="R896" t="s">
        <v>102</v>
      </c>
      <c r="S896" t="s">
        <v>198</v>
      </c>
      <c r="T896" t="s">
        <v>3411</v>
      </c>
      <c r="U896" t="s">
        <v>322</v>
      </c>
      <c r="V896" t="s">
        <v>82</v>
      </c>
      <c r="W896" t="s">
        <v>1108</v>
      </c>
      <c r="X896" t="s">
        <v>96</v>
      </c>
      <c r="Y896" t="s">
        <v>82</v>
      </c>
      <c r="Z896" t="s">
        <v>82</v>
      </c>
    </row>
    <row r="897" spans="1:26" x14ac:dyDescent="0.25">
      <c r="A897" t="s">
        <v>3414</v>
      </c>
      <c r="B897" t="s">
        <v>3415</v>
      </c>
      <c r="C897" s="4" t="s">
        <v>3404</v>
      </c>
      <c r="D897" t="s">
        <v>3405</v>
      </c>
      <c r="E897" t="s">
        <v>14</v>
      </c>
      <c r="F897" t="s">
        <v>128</v>
      </c>
      <c r="G897" t="s">
        <v>105</v>
      </c>
      <c r="H897" t="s">
        <v>78</v>
      </c>
      <c r="I897" t="s">
        <v>102</v>
      </c>
      <c r="J897" t="s">
        <v>18</v>
      </c>
      <c r="K897" t="s">
        <v>3412</v>
      </c>
      <c r="L897" t="s">
        <v>89</v>
      </c>
      <c r="M897" t="s">
        <v>318</v>
      </c>
      <c r="N897" t="s">
        <v>1092</v>
      </c>
      <c r="O897" t="s">
        <v>3413</v>
      </c>
      <c r="P897" t="s">
        <v>3413</v>
      </c>
      <c r="Q897" t="s">
        <v>102</v>
      </c>
      <c r="R897" t="s">
        <v>102</v>
      </c>
      <c r="S897" t="s">
        <v>198</v>
      </c>
      <c r="T897" t="s">
        <v>3415</v>
      </c>
      <c r="U897" t="s">
        <v>322</v>
      </c>
      <c r="V897" t="s">
        <v>82</v>
      </c>
      <c r="W897" t="s">
        <v>1108</v>
      </c>
      <c r="X897" t="s">
        <v>96</v>
      </c>
      <c r="Y897" t="s">
        <v>82</v>
      </c>
      <c r="Z897" t="s">
        <v>82</v>
      </c>
    </row>
    <row r="898" spans="1:26" x14ac:dyDescent="0.25">
      <c r="A898" t="s">
        <v>3416</v>
      </c>
      <c r="B898" t="s">
        <v>3417</v>
      </c>
      <c r="C898" s="4" t="s">
        <v>3404</v>
      </c>
      <c r="D898" t="s">
        <v>3405</v>
      </c>
      <c r="E898" t="s">
        <v>14</v>
      </c>
      <c r="F898" t="s">
        <v>143</v>
      </c>
      <c r="G898" t="s">
        <v>106</v>
      </c>
      <c r="H898" t="s">
        <v>78</v>
      </c>
      <c r="I898" t="s">
        <v>102</v>
      </c>
      <c r="J898" t="s">
        <v>18</v>
      </c>
      <c r="K898" t="s">
        <v>3418</v>
      </c>
      <c r="L898" t="s">
        <v>89</v>
      </c>
      <c r="M898" t="s">
        <v>318</v>
      </c>
      <c r="N898" t="s">
        <v>3419</v>
      </c>
      <c r="O898" t="s">
        <v>3420</v>
      </c>
      <c r="P898" t="s">
        <v>3420</v>
      </c>
      <c r="Q898" t="s">
        <v>102</v>
      </c>
      <c r="R898" t="s">
        <v>102</v>
      </c>
      <c r="S898" t="s">
        <v>3421</v>
      </c>
      <c r="T898" t="s">
        <v>3417</v>
      </c>
      <c r="U898" t="s">
        <v>322</v>
      </c>
      <c r="V898" t="s">
        <v>82</v>
      </c>
      <c r="W898" t="s">
        <v>3422</v>
      </c>
      <c r="X898" t="s">
        <v>96</v>
      </c>
      <c r="Y898" t="s">
        <v>82</v>
      </c>
      <c r="Z898" t="s">
        <v>82</v>
      </c>
    </row>
    <row r="899" spans="1:26" x14ac:dyDescent="0.25">
      <c r="A899" t="s">
        <v>3423</v>
      </c>
      <c r="B899" t="s">
        <v>3424</v>
      </c>
      <c r="C899" s="4" t="s">
        <v>3404</v>
      </c>
      <c r="D899" t="s">
        <v>3405</v>
      </c>
      <c r="E899" t="s">
        <v>14</v>
      </c>
      <c r="F899" t="s">
        <v>143</v>
      </c>
      <c r="G899" t="s">
        <v>106</v>
      </c>
      <c r="H899" t="s">
        <v>78</v>
      </c>
      <c r="I899" t="s">
        <v>102</v>
      </c>
      <c r="J899" t="s">
        <v>15</v>
      </c>
      <c r="K899" t="s">
        <v>3418</v>
      </c>
      <c r="L899" t="s">
        <v>89</v>
      </c>
      <c r="M899" t="s">
        <v>318</v>
      </c>
      <c r="N899" t="s">
        <v>3419</v>
      </c>
      <c r="O899" t="s">
        <v>3425</v>
      </c>
      <c r="P899" t="s">
        <v>3425</v>
      </c>
      <c r="Q899" t="s">
        <v>102</v>
      </c>
      <c r="R899" t="s">
        <v>102</v>
      </c>
      <c r="S899" t="s">
        <v>3421</v>
      </c>
      <c r="T899" t="s">
        <v>3424</v>
      </c>
      <c r="U899" t="s">
        <v>322</v>
      </c>
      <c r="V899" t="s">
        <v>82</v>
      </c>
      <c r="W899" t="s">
        <v>3422</v>
      </c>
      <c r="X899" t="s">
        <v>96</v>
      </c>
      <c r="Y899" t="s">
        <v>82</v>
      </c>
      <c r="Z899" t="s">
        <v>82</v>
      </c>
    </row>
    <row r="900" spans="1:26" x14ac:dyDescent="0.25">
      <c r="A900" t="s">
        <v>3426</v>
      </c>
      <c r="B900" t="s">
        <v>3427</v>
      </c>
      <c r="C900" s="4" t="s">
        <v>3404</v>
      </c>
      <c r="D900" t="s">
        <v>3405</v>
      </c>
      <c r="E900" t="s">
        <v>14</v>
      </c>
      <c r="F900" t="s">
        <v>111</v>
      </c>
      <c r="G900" t="s">
        <v>124</v>
      </c>
      <c r="H900" t="s">
        <v>78</v>
      </c>
      <c r="I900" t="s">
        <v>102</v>
      </c>
      <c r="J900" t="s">
        <v>15</v>
      </c>
      <c r="K900" t="s">
        <v>3406</v>
      </c>
      <c r="L900" t="s">
        <v>89</v>
      </c>
      <c r="M900" t="s">
        <v>318</v>
      </c>
      <c r="N900" t="s">
        <v>2422</v>
      </c>
      <c r="O900" t="s">
        <v>3428</v>
      </c>
      <c r="P900" t="s">
        <v>3428</v>
      </c>
      <c r="Q900" t="s">
        <v>102</v>
      </c>
      <c r="R900" t="s">
        <v>102</v>
      </c>
      <c r="S900" t="s">
        <v>3408</v>
      </c>
      <c r="T900" t="s">
        <v>3427</v>
      </c>
      <c r="U900" t="s">
        <v>322</v>
      </c>
      <c r="V900" t="s">
        <v>82</v>
      </c>
      <c r="W900" t="s">
        <v>3409</v>
      </c>
      <c r="X900" t="s">
        <v>96</v>
      </c>
      <c r="Y900" t="s">
        <v>82</v>
      </c>
      <c r="Z900" t="s">
        <v>82</v>
      </c>
    </row>
    <row r="901" spans="1:26" x14ac:dyDescent="0.25">
      <c r="A901" t="s">
        <v>3429</v>
      </c>
      <c r="B901" t="s">
        <v>3430</v>
      </c>
      <c r="C901" s="4" t="s">
        <v>3431</v>
      </c>
      <c r="D901" t="s">
        <v>2870</v>
      </c>
      <c r="E901" t="s">
        <v>14</v>
      </c>
      <c r="F901" t="s">
        <v>83</v>
      </c>
      <c r="G901" t="s">
        <v>105</v>
      </c>
      <c r="H901" t="s">
        <v>78</v>
      </c>
      <c r="I901" t="s">
        <v>102</v>
      </c>
      <c r="J901" t="s">
        <v>30</v>
      </c>
      <c r="K901" t="s">
        <v>1779</v>
      </c>
      <c r="L901" t="s">
        <v>89</v>
      </c>
      <c r="M901" t="s">
        <v>318</v>
      </c>
      <c r="N901" t="s">
        <v>815</v>
      </c>
      <c r="O901" t="s">
        <v>3432</v>
      </c>
      <c r="P901" t="s">
        <v>3432</v>
      </c>
      <c r="Q901" t="s">
        <v>102</v>
      </c>
      <c r="R901" t="s">
        <v>85</v>
      </c>
      <c r="S901" t="s">
        <v>1996</v>
      </c>
      <c r="T901" t="s">
        <v>3430</v>
      </c>
      <c r="U901" t="s">
        <v>322</v>
      </c>
      <c r="V901" t="s">
        <v>82</v>
      </c>
      <c r="W901" t="s">
        <v>354</v>
      </c>
      <c r="X901" t="s">
        <v>96</v>
      </c>
      <c r="Y901" t="s">
        <v>82</v>
      </c>
      <c r="Z901" t="s">
        <v>82</v>
      </c>
    </row>
    <row r="902" spans="1:26" x14ac:dyDescent="0.25">
      <c r="A902" t="s">
        <v>3433</v>
      </c>
      <c r="B902" t="s">
        <v>3434</v>
      </c>
      <c r="C902" s="4" t="s">
        <v>3431</v>
      </c>
      <c r="D902" t="s">
        <v>2870</v>
      </c>
      <c r="E902" t="s">
        <v>14</v>
      </c>
      <c r="F902" t="s">
        <v>83</v>
      </c>
      <c r="G902" t="s">
        <v>105</v>
      </c>
      <c r="H902" t="s">
        <v>78</v>
      </c>
      <c r="I902" t="s">
        <v>102</v>
      </c>
      <c r="J902" t="s">
        <v>1053</v>
      </c>
      <c r="K902" t="s">
        <v>1779</v>
      </c>
      <c r="L902" t="s">
        <v>89</v>
      </c>
      <c r="M902" t="s">
        <v>318</v>
      </c>
      <c r="N902" t="s">
        <v>815</v>
      </c>
      <c r="O902" t="s">
        <v>3432</v>
      </c>
      <c r="P902" t="s">
        <v>3432</v>
      </c>
      <c r="Q902" t="s">
        <v>102</v>
      </c>
      <c r="R902" t="s">
        <v>85</v>
      </c>
      <c r="S902" t="s">
        <v>1996</v>
      </c>
      <c r="T902" t="s">
        <v>3434</v>
      </c>
      <c r="U902" t="s">
        <v>322</v>
      </c>
      <c r="V902" t="s">
        <v>82</v>
      </c>
      <c r="W902" t="s">
        <v>354</v>
      </c>
      <c r="X902" t="s">
        <v>96</v>
      </c>
      <c r="Y902" t="s">
        <v>82</v>
      </c>
      <c r="Z902" t="s">
        <v>82</v>
      </c>
    </row>
    <row r="903" spans="1:26" x14ac:dyDescent="0.25">
      <c r="A903" t="s">
        <v>3435</v>
      </c>
      <c r="B903" t="s">
        <v>3436</v>
      </c>
      <c r="C903" s="4" t="s">
        <v>3431</v>
      </c>
      <c r="D903" t="s">
        <v>2870</v>
      </c>
      <c r="E903" t="s">
        <v>14</v>
      </c>
      <c r="F903" t="s">
        <v>83</v>
      </c>
      <c r="G903" t="s">
        <v>105</v>
      </c>
      <c r="H903" t="s">
        <v>78</v>
      </c>
      <c r="I903" t="s">
        <v>102</v>
      </c>
      <c r="J903" t="s">
        <v>29</v>
      </c>
      <c r="K903" t="s">
        <v>1779</v>
      </c>
      <c r="L903" t="s">
        <v>89</v>
      </c>
      <c r="M903" t="s">
        <v>318</v>
      </c>
      <c r="N903" t="s">
        <v>815</v>
      </c>
      <c r="O903" t="s">
        <v>3437</v>
      </c>
      <c r="P903" t="s">
        <v>3437</v>
      </c>
      <c r="Q903" t="s">
        <v>102</v>
      </c>
      <c r="R903" t="s">
        <v>85</v>
      </c>
      <c r="S903" t="s">
        <v>1996</v>
      </c>
      <c r="T903" t="s">
        <v>3436</v>
      </c>
      <c r="U903" t="s">
        <v>322</v>
      </c>
      <c r="V903" t="s">
        <v>82</v>
      </c>
      <c r="W903" t="s">
        <v>354</v>
      </c>
      <c r="X903" t="s">
        <v>96</v>
      </c>
      <c r="Y903" t="s">
        <v>82</v>
      </c>
      <c r="Z903" t="s">
        <v>82</v>
      </c>
    </row>
    <row r="904" spans="1:26" x14ac:dyDescent="0.25">
      <c r="A904" t="s">
        <v>3438</v>
      </c>
      <c r="B904" t="s">
        <v>3439</v>
      </c>
      <c r="C904" s="4" t="s">
        <v>3431</v>
      </c>
      <c r="D904" t="s">
        <v>2870</v>
      </c>
      <c r="E904" t="s">
        <v>14</v>
      </c>
      <c r="F904" t="s">
        <v>83</v>
      </c>
      <c r="G904" t="s">
        <v>105</v>
      </c>
      <c r="H904" t="s">
        <v>78</v>
      </c>
      <c r="I904" t="s">
        <v>102</v>
      </c>
      <c r="J904" t="s">
        <v>130</v>
      </c>
      <c r="K904" t="s">
        <v>1779</v>
      </c>
      <c r="L904" t="s">
        <v>89</v>
      </c>
      <c r="M904" t="s">
        <v>318</v>
      </c>
      <c r="N904" t="s">
        <v>815</v>
      </c>
      <c r="O904" t="s">
        <v>3437</v>
      </c>
      <c r="P904" t="s">
        <v>3437</v>
      </c>
      <c r="Q904" t="s">
        <v>102</v>
      </c>
      <c r="R904" t="s">
        <v>85</v>
      </c>
      <c r="S904" t="s">
        <v>1996</v>
      </c>
      <c r="T904" t="s">
        <v>3439</v>
      </c>
      <c r="U904" t="s">
        <v>322</v>
      </c>
      <c r="V904" t="s">
        <v>82</v>
      </c>
      <c r="W904" t="s">
        <v>354</v>
      </c>
      <c r="X904" t="s">
        <v>96</v>
      </c>
      <c r="Y904" t="s">
        <v>82</v>
      </c>
      <c r="Z904" t="s">
        <v>82</v>
      </c>
    </row>
    <row r="905" spans="1:26" x14ac:dyDescent="0.25">
      <c r="A905" t="s">
        <v>3440</v>
      </c>
      <c r="B905" t="s">
        <v>3441</v>
      </c>
      <c r="C905" s="4" t="s">
        <v>1542</v>
      </c>
      <c r="D905" t="s">
        <v>3442</v>
      </c>
      <c r="E905" t="s">
        <v>14</v>
      </c>
      <c r="F905" t="s">
        <v>105</v>
      </c>
      <c r="G905" t="s">
        <v>106</v>
      </c>
      <c r="H905" t="s">
        <v>78</v>
      </c>
      <c r="I905" t="s">
        <v>86</v>
      </c>
      <c r="J905" t="s">
        <v>546</v>
      </c>
      <c r="K905" t="s">
        <v>374</v>
      </c>
      <c r="L905" t="s">
        <v>89</v>
      </c>
      <c r="M905" t="s">
        <v>318</v>
      </c>
      <c r="N905" t="s">
        <v>1136</v>
      </c>
      <c r="O905" t="s">
        <v>3443</v>
      </c>
      <c r="P905" t="s">
        <v>3443</v>
      </c>
      <c r="Q905" t="s">
        <v>102</v>
      </c>
      <c r="R905" t="s">
        <v>111</v>
      </c>
      <c r="S905" t="s">
        <v>186</v>
      </c>
      <c r="T905" t="s">
        <v>3441</v>
      </c>
      <c r="U905" t="s">
        <v>322</v>
      </c>
      <c r="V905" t="s">
        <v>82</v>
      </c>
      <c r="W905" t="s">
        <v>1890</v>
      </c>
      <c r="X905" t="s">
        <v>96</v>
      </c>
      <c r="Y905" t="s">
        <v>82</v>
      </c>
      <c r="Z905" t="s">
        <v>102</v>
      </c>
    </row>
    <row r="906" spans="1:26" x14ac:dyDescent="0.25">
      <c r="A906" t="s">
        <v>3444</v>
      </c>
      <c r="B906" t="s">
        <v>3445</v>
      </c>
      <c r="C906" s="4" t="s">
        <v>1552</v>
      </c>
      <c r="D906" t="s">
        <v>3446</v>
      </c>
      <c r="E906" t="s">
        <v>14</v>
      </c>
      <c r="F906" t="s">
        <v>105</v>
      </c>
      <c r="G906" t="s">
        <v>106</v>
      </c>
      <c r="H906" t="s">
        <v>78</v>
      </c>
      <c r="I906" t="s">
        <v>86</v>
      </c>
      <c r="J906" t="s">
        <v>1053</v>
      </c>
      <c r="K906" t="s">
        <v>1313</v>
      </c>
      <c r="L906" t="s">
        <v>89</v>
      </c>
      <c r="M906" t="s">
        <v>318</v>
      </c>
      <c r="N906" t="s">
        <v>2791</v>
      </c>
      <c r="O906" t="s">
        <v>3447</v>
      </c>
      <c r="P906" t="s">
        <v>3447</v>
      </c>
      <c r="Q906" t="s">
        <v>102</v>
      </c>
      <c r="R906" t="s">
        <v>128</v>
      </c>
      <c r="S906" t="s">
        <v>3448</v>
      </c>
      <c r="T906" t="s">
        <v>3445</v>
      </c>
      <c r="U906" t="s">
        <v>322</v>
      </c>
      <c r="V906" t="s">
        <v>82</v>
      </c>
      <c r="W906" t="s">
        <v>3449</v>
      </c>
      <c r="X906" t="s">
        <v>96</v>
      </c>
      <c r="Y906" t="s">
        <v>82</v>
      </c>
      <c r="Z906" t="s">
        <v>102</v>
      </c>
    </row>
    <row r="907" spans="1:26" x14ac:dyDescent="0.25">
      <c r="A907" t="s">
        <v>3450</v>
      </c>
      <c r="B907" t="s">
        <v>3451</v>
      </c>
      <c r="C907" s="4" t="s">
        <v>3452</v>
      </c>
      <c r="D907" t="s">
        <v>1460</v>
      </c>
      <c r="E907" t="s">
        <v>14</v>
      </c>
      <c r="F907" t="s">
        <v>85</v>
      </c>
      <c r="G907" t="s">
        <v>111</v>
      </c>
      <c r="H907" t="s">
        <v>78</v>
      </c>
      <c r="I907" t="s">
        <v>102</v>
      </c>
      <c r="J907" t="s">
        <v>37</v>
      </c>
      <c r="K907" t="s">
        <v>3453</v>
      </c>
      <c r="L907" t="s">
        <v>89</v>
      </c>
      <c r="M907" t="s">
        <v>318</v>
      </c>
      <c r="N907" t="s">
        <v>1284</v>
      </c>
      <c r="O907" t="s">
        <v>3454</v>
      </c>
      <c r="P907" t="s">
        <v>3454</v>
      </c>
      <c r="Q907" t="s">
        <v>102</v>
      </c>
      <c r="R907" t="s">
        <v>85</v>
      </c>
      <c r="S907" t="s">
        <v>1807</v>
      </c>
      <c r="T907" t="s">
        <v>3451</v>
      </c>
      <c r="U907" t="s">
        <v>322</v>
      </c>
      <c r="V907" t="s">
        <v>82</v>
      </c>
      <c r="W907" t="s">
        <v>3455</v>
      </c>
      <c r="X907" t="s">
        <v>96</v>
      </c>
      <c r="Y907" t="s">
        <v>82</v>
      </c>
      <c r="Z907" t="s">
        <v>78</v>
      </c>
    </row>
    <row r="908" spans="1:26" x14ac:dyDescent="0.25">
      <c r="A908" t="s">
        <v>3456</v>
      </c>
      <c r="B908" t="s">
        <v>3457</v>
      </c>
      <c r="C908" s="4" t="s">
        <v>3452</v>
      </c>
      <c r="D908" t="s">
        <v>1460</v>
      </c>
      <c r="E908" t="s">
        <v>14</v>
      </c>
      <c r="F908" t="s">
        <v>85</v>
      </c>
      <c r="G908" t="s">
        <v>111</v>
      </c>
      <c r="H908" t="s">
        <v>78</v>
      </c>
      <c r="I908" t="s">
        <v>102</v>
      </c>
      <c r="J908" t="s">
        <v>29</v>
      </c>
      <c r="K908" t="s">
        <v>3453</v>
      </c>
      <c r="L908" t="s">
        <v>89</v>
      </c>
      <c r="M908" t="s">
        <v>318</v>
      </c>
      <c r="N908" t="s">
        <v>1284</v>
      </c>
      <c r="O908" t="s">
        <v>3458</v>
      </c>
      <c r="P908" t="s">
        <v>3458</v>
      </c>
      <c r="Q908" t="s">
        <v>102</v>
      </c>
      <c r="R908" t="s">
        <v>85</v>
      </c>
      <c r="S908" t="s">
        <v>1807</v>
      </c>
      <c r="T908" t="s">
        <v>3457</v>
      </c>
      <c r="U908" t="s">
        <v>322</v>
      </c>
      <c r="V908" t="s">
        <v>82</v>
      </c>
      <c r="W908" t="s">
        <v>3455</v>
      </c>
      <c r="X908" t="s">
        <v>96</v>
      </c>
      <c r="Y908" t="s">
        <v>82</v>
      </c>
      <c r="Z908" t="s">
        <v>78</v>
      </c>
    </row>
    <row r="909" spans="1:26" x14ac:dyDescent="0.25">
      <c r="A909" t="s">
        <v>3459</v>
      </c>
      <c r="B909" t="s">
        <v>3460</v>
      </c>
      <c r="C909" s="4" t="s">
        <v>3452</v>
      </c>
      <c r="D909" t="s">
        <v>1460</v>
      </c>
      <c r="E909" t="s">
        <v>14</v>
      </c>
      <c r="F909" t="s">
        <v>85</v>
      </c>
      <c r="G909" t="s">
        <v>111</v>
      </c>
      <c r="H909" t="s">
        <v>78</v>
      </c>
      <c r="I909" t="s">
        <v>102</v>
      </c>
      <c r="J909" t="s">
        <v>30</v>
      </c>
      <c r="K909" t="s">
        <v>3453</v>
      </c>
      <c r="L909" t="s">
        <v>89</v>
      </c>
      <c r="M909" t="s">
        <v>318</v>
      </c>
      <c r="N909" t="s">
        <v>1284</v>
      </c>
      <c r="O909" t="s">
        <v>3458</v>
      </c>
      <c r="P909" t="s">
        <v>3458</v>
      </c>
      <c r="Q909" t="s">
        <v>102</v>
      </c>
      <c r="R909" t="s">
        <v>85</v>
      </c>
      <c r="S909" t="s">
        <v>1807</v>
      </c>
      <c r="T909" t="s">
        <v>3460</v>
      </c>
      <c r="U909" t="s">
        <v>322</v>
      </c>
      <c r="V909" t="s">
        <v>82</v>
      </c>
      <c r="W909" t="s">
        <v>3455</v>
      </c>
      <c r="X909" t="s">
        <v>96</v>
      </c>
      <c r="Y909" t="s">
        <v>82</v>
      </c>
      <c r="Z909" t="s">
        <v>78</v>
      </c>
    </row>
    <row r="910" spans="1:26" x14ac:dyDescent="0.25">
      <c r="A910" t="s">
        <v>3461</v>
      </c>
      <c r="B910" t="s">
        <v>3462</v>
      </c>
      <c r="C910" s="4" t="s">
        <v>3452</v>
      </c>
      <c r="D910" t="s">
        <v>1460</v>
      </c>
      <c r="E910" t="s">
        <v>14</v>
      </c>
      <c r="F910" t="s">
        <v>85</v>
      </c>
      <c r="G910" t="s">
        <v>111</v>
      </c>
      <c r="H910" t="s">
        <v>78</v>
      </c>
      <c r="I910" t="s">
        <v>102</v>
      </c>
      <c r="J910" t="s">
        <v>33</v>
      </c>
      <c r="K910" t="s">
        <v>3453</v>
      </c>
      <c r="L910" t="s">
        <v>89</v>
      </c>
      <c r="M910" t="s">
        <v>318</v>
      </c>
      <c r="N910" t="s">
        <v>1284</v>
      </c>
      <c r="O910" t="s">
        <v>3463</v>
      </c>
      <c r="P910" t="s">
        <v>3463</v>
      </c>
      <c r="Q910" t="s">
        <v>102</v>
      </c>
      <c r="R910" t="s">
        <v>85</v>
      </c>
      <c r="S910" t="s">
        <v>1807</v>
      </c>
      <c r="T910" t="s">
        <v>3462</v>
      </c>
      <c r="U910" t="s">
        <v>322</v>
      </c>
      <c r="V910" t="s">
        <v>82</v>
      </c>
      <c r="W910" t="s">
        <v>3455</v>
      </c>
      <c r="X910" t="s">
        <v>96</v>
      </c>
      <c r="Y910" t="s">
        <v>82</v>
      </c>
      <c r="Z910" t="s">
        <v>78</v>
      </c>
    </row>
    <row r="911" spans="1:26" x14ac:dyDescent="0.25">
      <c r="A911" t="s">
        <v>3464</v>
      </c>
      <c r="B911" t="s">
        <v>3465</v>
      </c>
      <c r="C911" s="4" t="s">
        <v>3466</v>
      </c>
      <c r="D911" t="s">
        <v>1829</v>
      </c>
      <c r="E911" t="s">
        <v>14</v>
      </c>
      <c r="F911" t="s">
        <v>83</v>
      </c>
      <c r="G911" t="s">
        <v>105</v>
      </c>
      <c r="H911" t="s">
        <v>78</v>
      </c>
      <c r="I911" t="s">
        <v>102</v>
      </c>
      <c r="J911" t="s">
        <v>29</v>
      </c>
      <c r="K911" t="s">
        <v>3412</v>
      </c>
      <c r="L911" t="s">
        <v>89</v>
      </c>
      <c r="M911" t="s">
        <v>318</v>
      </c>
      <c r="N911" t="s">
        <v>1092</v>
      </c>
      <c r="O911" t="s">
        <v>3467</v>
      </c>
      <c r="P911" t="s">
        <v>3467</v>
      </c>
      <c r="Q911" t="s">
        <v>102</v>
      </c>
      <c r="R911" t="s">
        <v>84</v>
      </c>
      <c r="S911" t="s">
        <v>198</v>
      </c>
      <c r="T911" t="s">
        <v>3465</v>
      </c>
      <c r="U911" t="s">
        <v>322</v>
      </c>
      <c r="V911" t="s">
        <v>82</v>
      </c>
      <c r="W911" t="s">
        <v>1108</v>
      </c>
      <c r="X911" t="s">
        <v>96</v>
      </c>
      <c r="Y911" t="s">
        <v>82</v>
      </c>
      <c r="Z911" t="s">
        <v>78</v>
      </c>
    </row>
    <row r="912" spans="1:26" x14ac:dyDescent="0.25">
      <c r="A912" t="s">
        <v>3468</v>
      </c>
      <c r="B912" t="s">
        <v>3469</v>
      </c>
      <c r="C912" s="4" t="s">
        <v>3466</v>
      </c>
      <c r="D912" t="s">
        <v>1829</v>
      </c>
      <c r="E912" t="s">
        <v>14</v>
      </c>
      <c r="F912" t="s">
        <v>83</v>
      </c>
      <c r="G912" t="s">
        <v>105</v>
      </c>
      <c r="H912" t="s">
        <v>78</v>
      </c>
      <c r="I912" t="s">
        <v>102</v>
      </c>
      <c r="J912" t="s">
        <v>30</v>
      </c>
      <c r="K912" t="s">
        <v>3412</v>
      </c>
      <c r="L912" t="s">
        <v>89</v>
      </c>
      <c r="M912" t="s">
        <v>318</v>
      </c>
      <c r="N912" t="s">
        <v>1092</v>
      </c>
      <c r="O912" t="s">
        <v>3467</v>
      </c>
      <c r="P912" t="s">
        <v>3467</v>
      </c>
      <c r="Q912" t="s">
        <v>102</v>
      </c>
      <c r="R912" t="s">
        <v>84</v>
      </c>
      <c r="S912" t="s">
        <v>198</v>
      </c>
      <c r="T912" t="s">
        <v>3469</v>
      </c>
      <c r="U912" t="s">
        <v>322</v>
      </c>
      <c r="V912" t="s">
        <v>82</v>
      </c>
      <c r="W912" t="s">
        <v>1108</v>
      </c>
      <c r="X912" t="s">
        <v>96</v>
      </c>
      <c r="Y912" t="s">
        <v>82</v>
      </c>
      <c r="Z912" t="s">
        <v>78</v>
      </c>
    </row>
    <row r="913" spans="1:26" x14ac:dyDescent="0.25">
      <c r="A913" t="s">
        <v>3470</v>
      </c>
      <c r="B913" t="s">
        <v>3471</v>
      </c>
      <c r="C913" s="4" t="s">
        <v>3466</v>
      </c>
      <c r="D913" t="s">
        <v>1829</v>
      </c>
      <c r="E913" t="s">
        <v>14</v>
      </c>
      <c r="F913" t="s">
        <v>83</v>
      </c>
      <c r="G913" t="s">
        <v>105</v>
      </c>
      <c r="H913" t="s">
        <v>78</v>
      </c>
      <c r="I913" t="s">
        <v>102</v>
      </c>
      <c r="J913" t="s">
        <v>31</v>
      </c>
      <c r="K913" t="s">
        <v>3412</v>
      </c>
      <c r="L913" t="s">
        <v>89</v>
      </c>
      <c r="M913" t="s">
        <v>318</v>
      </c>
      <c r="N913" t="s">
        <v>1092</v>
      </c>
      <c r="O913" t="s">
        <v>3472</v>
      </c>
      <c r="P913" t="s">
        <v>3472</v>
      </c>
      <c r="Q913" t="s">
        <v>102</v>
      </c>
      <c r="R913" t="s">
        <v>84</v>
      </c>
      <c r="S913" t="s">
        <v>198</v>
      </c>
      <c r="T913" t="s">
        <v>3471</v>
      </c>
      <c r="U913" t="s">
        <v>322</v>
      </c>
      <c r="V913" t="s">
        <v>82</v>
      </c>
      <c r="W913" t="s">
        <v>1108</v>
      </c>
      <c r="X913" t="s">
        <v>96</v>
      </c>
      <c r="Y913" t="s">
        <v>82</v>
      </c>
      <c r="Z913" t="s">
        <v>78</v>
      </c>
    </row>
    <row r="914" spans="1:26" x14ac:dyDescent="0.25">
      <c r="A914" t="s">
        <v>3473</v>
      </c>
      <c r="B914" t="s">
        <v>3474</v>
      </c>
      <c r="C914" s="4" t="s">
        <v>3466</v>
      </c>
      <c r="D914" t="s">
        <v>1829</v>
      </c>
      <c r="E914" t="s">
        <v>14</v>
      </c>
      <c r="F914" t="s">
        <v>83</v>
      </c>
      <c r="G914" t="s">
        <v>105</v>
      </c>
      <c r="H914" t="s">
        <v>78</v>
      </c>
      <c r="I914" t="s">
        <v>102</v>
      </c>
      <c r="J914" t="s">
        <v>33</v>
      </c>
      <c r="K914" t="s">
        <v>3412</v>
      </c>
      <c r="L914" t="s">
        <v>89</v>
      </c>
      <c r="M914" t="s">
        <v>318</v>
      </c>
      <c r="N914" t="s">
        <v>1092</v>
      </c>
      <c r="O914" t="s">
        <v>3472</v>
      </c>
      <c r="P914" t="s">
        <v>3472</v>
      </c>
      <c r="Q914" t="s">
        <v>102</v>
      </c>
      <c r="R914" t="s">
        <v>84</v>
      </c>
      <c r="S914" t="s">
        <v>198</v>
      </c>
      <c r="T914" t="s">
        <v>3474</v>
      </c>
      <c r="U914" t="s">
        <v>322</v>
      </c>
      <c r="V914" t="s">
        <v>82</v>
      </c>
      <c r="W914" t="s">
        <v>1108</v>
      </c>
      <c r="X914" t="s">
        <v>96</v>
      </c>
      <c r="Y914" t="s">
        <v>82</v>
      </c>
      <c r="Z914" t="s">
        <v>78</v>
      </c>
    </row>
    <row r="915" spans="1:26" x14ac:dyDescent="0.25">
      <c r="A915" t="s">
        <v>3475</v>
      </c>
      <c r="B915" t="s">
        <v>3476</v>
      </c>
      <c r="C915" s="4" t="s">
        <v>3477</v>
      </c>
      <c r="D915" t="s">
        <v>3478</v>
      </c>
      <c r="E915" t="s">
        <v>14</v>
      </c>
      <c r="F915" t="s">
        <v>85</v>
      </c>
      <c r="G915" t="s">
        <v>111</v>
      </c>
      <c r="H915" t="s">
        <v>78</v>
      </c>
      <c r="I915" t="s">
        <v>102</v>
      </c>
      <c r="J915" t="s">
        <v>3177</v>
      </c>
      <c r="K915" t="s">
        <v>354</v>
      </c>
      <c r="L915" t="s">
        <v>89</v>
      </c>
      <c r="M915" t="s">
        <v>318</v>
      </c>
      <c r="N915" t="s">
        <v>347</v>
      </c>
      <c r="O915" t="s">
        <v>3479</v>
      </c>
      <c r="P915" t="s">
        <v>3479</v>
      </c>
      <c r="Q915" t="s">
        <v>102</v>
      </c>
      <c r="R915" t="s">
        <v>85</v>
      </c>
      <c r="S915" t="s">
        <v>3480</v>
      </c>
      <c r="T915" t="s">
        <v>3476</v>
      </c>
      <c r="U915" t="s">
        <v>322</v>
      </c>
      <c r="V915" t="s">
        <v>82</v>
      </c>
      <c r="W915" t="s">
        <v>718</v>
      </c>
      <c r="X915" t="s">
        <v>96</v>
      </c>
      <c r="Y915" t="s">
        <v>82</v>
      </c>
      <c r="Z915" t="s">
        <v>78</v>
      </c>
    </row>
    <row r="916" spans="1:26" x14ac:dyDescent="0.25">
      <c r="A916" t="s">
        <v>3481</v>
      </c>
      <c r="B916" t="s">
        <v>3482</v>
      </c>
      <c r="C916" s="4" t="s">
        <v>3477</v>
      </c>
      <c r="D916" t="s">
        <v>3478</v>
      </c>
      <c r="E916" t="s">
        <v>14</v>
      </c>
      <c r="F916" t="s">
        <v>85</v>
      </c>
      <c r="G916" t="s">
        <v>111</v>
      </c>
      <c r="H916" t="s">
        <v>78</v>
      </c>
      <c r="I916" t="s">
        <v>102</v>
      </c>
      <c r="J916" t="s">
        <v>33</v>
      </c>
      <c r="K916" t="s">
        <v>354</v>
      </c>
      <c r="L916" t="s">
        <v>89</v>
      </c>
      <c r="M916" t="s">
        <v>318</v>
      </c>
      <c r="N916" t="s">
        <v>347</v>
      </c>
      <c r="O916" t="s">
        <v>3483</v>
      </c>
      <c r="P916" t="s">
        <v>3483</v>
      </c>
      <c r="Q916" t="s">
        <v>102</v>
      </c>
      <c r="R916" t="s">
        <v>85</v>
      </c>
      <c r="S916" t="s">
        <v>3480</v>
      </c>
      <c r="T916" t="s">
        <v>3482</v>
      </c>
      <c r="U916" t="s">
        <v>322</v>
      </c>
      <c r="V916" t="s">
        <v>82</v>
      </c>
      <c r="W916" t="s">
        <v>718</v>
      </c>
      <c r="X916" t="s">
        <v>96</v>
      </c>
      <c r="Y916" t="s">
        <v>82</v>
      </c>
      <c r="Z916" t="s">
        <v>78</v>
      </c>
    </row>
    <row r="917" spans="1:26" x14ac:dyDescent="0.25">
      <c r="A917" t="s">
        <v>3484</v>
      </c>
      <c r="B917" t="s">
        <v>3485</v>
      </c>
      <c r="C917" s="4" t="s">
        <v>3477</v>
      </c>
      <c r="D917" t="s">
        <v>3478</v>
      </c>
      <c r="E917" t="s">
        <v>14</v>
      </c>
      <c r="F917" t="s">
        <v>85</v>
      </c>
      <c r="G917" t="s">
        <v>111</v>
      </c>
      <c r="H917" t="s">
        <v>78</v>
      </c>
      <c r="I917" t="s">
        <v>102</v>
      </c>
      <c r="J917" t="s">
        <v>265</v>
      </c>
      <c r="K917" t="s">
        <v>354</v>
      </c>
      <c r="L917" t="s">
        <v>89</v>
      </c>
      <c r="M917" t="s">
        <v>318</v>
      </c>
      <c r="N917" t="s">
        <v>347</v>
      </c>
      <c r="O917" t="s">
        <v>3486</v>
      </c>
      <c r="P917" t="s">
        <v>3486</v>
      </c>
      <c r="Q917" t="s">
        <v>102</v>
      </c>
      <c r="R917" t="s">
        <v>85</v>
      </c>
      <c r="S917" t="s">
        <v>3480</v>
      </c>
      <c r="T917" t="s">
        <v>3485</v>
      </c>
      <c r="U917" t="s">
        <v>322</v>
      </c>
      <c r="V917" t="s">
        <v>82</v>
      </c>
      <c r="W917" t="s">
        <v>718</v>
      </c>
      <c r="X917" t="s">
        <v>96</v>
      </c>
      <c r="Y917" t="s">
        <v>82</v>
      </c>
      <c r="Z917" t="s">
        <v>78</v>
      </c>
    </row>
    <row r="918" spans="1:26" x14ac:dyDescent="0.25">
      <c r="A918" t="s">
        <v>3487</v>
      </c>
      <c r="B918" t="s">
        <v>3488</v>
      </c>
      <c r="C918" s="4" t="s">
        <v>3489</v>
      </c>
      <c r="D918" t="s">
        <v>3490</v>
      </c>
      <c r="E918" t="s">
        <v>23</v>
      </c>
      <c r="F918" t="s">
        <v>83</v>
      </c>
      <c r="G918" t="s">
        <v>180</v>
      </c>
      <c r="H918" t="s">
        <v>78</v>
      </c>
      <c r="I918" t="s">
        <v>102</v>
      </c>
      <c r="J918" t="s">
        <v>15</v>
      </c>
      <c r="K918" t="s">
        <v>3491</v>
      </c>
      <c r="L918" t="s">
        <v>89</v>
      </c>
      <c r="M918" t="s">
        <v>318</v>
      </c>
      <c r="N918" t="s">
        <v>3492</v>
      </c>
      <c r="O918" t="s">
        <v>3493</v>
      </c>
      <c r="P918" t="s">
        <v>3493</v>
      </c>
      <c r="Q918" t="s">
        <v>102</v>
      </c>
      <c r="R918" t="s">
        <v>86</v>
      </c>
      <c r="S918" t="s">
        <v>3494</v>
      </c>
      <c r="T918" t="s">
        <v>3488</v>
      </c>
      <c r="U918" t="s">
        <v>322</v>
      </c>
      <c r="V918" t="s">
        <v>82</v>
      </c>
      <c r="W918" t="s">
        <v>3495</v>
      </c>
      <c r="X918" t="s">
        <v>96</v>
      </c>
      <c r="Y918" t="s">
        <v>82</v>
      </c>
      <c r="Z918" t="s">
        <v>78</v>
      </c>
    </row>
    <row r="919" spans="1:26" x14ac:dyDescent="0.25">
      <c r="A919" t="s">
        <v>3496</v>
      </c>
      <c r="B919" t="s">
        <v>3497</v>
      </c>
      <c r="C919" s="4" t="s">
        <v>3489</v>
      </c>
      <c r="D919" t="s">
        <v>3490</v>
      </c>
      <c r="E919" t="s">
        <v>23</v>
      </c>
      <c r="F919" t="s">
        <v>83</v>
      </c>
      <c r="G919" t="s">
        <v>180</v>
      </c>
      <c r="H919" t="s">
        <v>78</v>
      </c>
      <c r="I919" t="s">
        <v>102</v>
      </c>
      <c r="J919" t="s">
        <v>18</v>
      </c>
      <c r="K919" t="s">
        <v>3491</v>
      </c>
      <c r="L919" t="s">
        <v>89</v>
      </c>
      <c r="M919" t="s">
        <v>318</v>
      </c>
      <c r="N919" t="s">
        <v>3492</v>
      </c>
      <c r="O919" t="s">
        <v>3498</v>
      </c>
      <c r="P919" t="s">
        <v>3498</v>
      </c>
      <c r="Q919" t="s">
        <v>102</v>
      </c>
      <c r="R919" t="s">
        <v>86</v>
      </c>
      <c r="S919" t="s">
        <v>3494</v>
      </c>
      <c r="T919" t="s">
        <v>3497</v>
      </c>
      <c r="U919" t="s">
        <v>322</v>
      </c>
      <c r="V919" t="s">
        <v>82</v>
      </c>
      <c r="W919" t="s">
        <v>3495</v>
      </c>
      <c r="X919" t="s">
        <v>96</v>
      </c>
      <c r="Y919" t="s">
        <v>82</v>
      </c>
      <c r="Z919" t="s">
        <v>78</v>
      </c>
    </row>
    <row r="920" spans="1:26" x14ac:dyDescent="0.25">
      <c r="A920" t="s">
        <v>3499</v>
      </c>
      <c r="B920" t="s">
        <v>3500</v>
      </c>
      <c r="C920" s="4" t="s">
        <v>3489</v>
      </c>
      <c r="D920" t="s">
        <v>3490</v>
      </c>
      <c r="E920" t="s">
        <v>14</v>
      </c>
      <c r="F920" t="s">
        <v>85</v>
      </c>
      <c r="G920" t="s">
        <v>111</v>
      </c>
      <c r="H920" t="s">
        <v>78</v>
      </c>
      <c r="I920" t="s">
        <v>102</v>
      </c>
      <c r="J920" t="s">
        <v>18</v>
      </c>
      <c r="K920" t="s">
        <v>799</v>
      </c>
      <c r="L920" t="s">
        <v>89</v>
      </c>
      <c r="M920" t="s">
        <v>318</v>
      </c>
      <c r="N920" t="s">
        <v>1371</v>
      </c>
      <c r="O920" t="s">
        <v>3501</v>
      </c>
      <c r="P920" t="s">
        <v>3501</v>
      </c>
      <c r="Q920" t="s">
        <v>102</v>
      </c>
      <c r="R920" t="s">
        <v>86</v>
      </c>
      <c r="S920" t="s">
        <v>802</v>
      </c>
      <c r="T920" t="s">
        <v>3500</v>
      </c>
      <c r="U920" t="s">
        <v>322</v>
      </c>
      <c r="V920" t="s">
        <v>82</v>
      </c>
      <c r="W920" t="s">
        <v>1079</v>
      </c>
      <c r="X920" t="s">
        <v>96</v>
      </c>
      <c r="Y920" t="s">
        <v>82</v>
      </c>
      <c r="Z920" t="s">
        <v>78</v>
      </c>
    </row>
    <row r="921" spans="1:26" x14ac:dyDescent="0.25">
      <c r="A921" t="s">
        <v>3502</v>
      </c>
      <c r="B921" t="s">
        <v>3503</v>
      </c>
      <c r="C921" s="4" t="s">
        <v>3489</v>
      </c>
      <c r="D921" t="s">
        <v>3490</v>
      </c>
      <c r="E921" t="s">
        <v>14</v>
      </c>
      <c r="F921" t="s">
        <v>85</v>
      </c>
      <c r="G921" t="s">
        <v>111</v>
      </c>
      <c r="H921" t="s">
        <v>78</v>
      </c>
      <c r="I921" t="s">
        <v>102</v>
      </c>
      <c r="J921" t="s">
        <v>15</v>
      </c>
      <c r="K921" t="s">
        <v>799</v>
      </c>
      <c r="L921" t="s">
        <v>89</v>
      </c>
      <c r="M921" t="s">
        <v>318</v>
      </c>
      <c r="N921" t="s">
        <v>1371</v>
      </c>
      <c r="O921" t="s">
        <v>3504</v>
      </c>
      <c r="P921" t="s">
        <v>3504</v>
      </c>
      <c r="Q921" t="s">
        <v>102</v>
      </c>
      <c r="R921" t="s">
        <v>86</v>
      </c>
      <c r="S921" t="s">
        <v>802</v>
      </c>
      <c r="T921" t="s">
        <v>3503</v>
      </c>
      <c r="U921" t="s">
        <v>322</v>
      </c>
      <c r="V921" t="s">
        <v>82</v>
      </c>
      <c r="W921" t="s">
        <v>1079</v>
      </c>
      <c r="X921" t="s">
        <v>96</v>
      </c>
      <c r="Y921" t="s">
        <v>82</v>
      </c>
      <c r="Z921" t="s">
        <v>78</v>
      </c>
    </row>
    <row r="922" spans="1:26" x14ac:dyDescent="0.25">
      <c r="A922" t="s">
        <v>3505</v>
      </c>
      <c r="B922" t="s">
        <v>3506</v>
      </c>
      <c r="C922" s="4" t="s">
        <v>3507</v>
      </c>
      <c r="D922" t="s">
        <v>3508</v>
      </c>
      <c r="E922" t="s">
        <v>14</v>
      </c>
      <c r="F922" t="s">
        <v>105</v>
      </c>
      <c r="G922" t="s">
        <v>106</v>
      </c>
      <c r="H922" t="s">
        <v>78</v>
      </c>
      <c r="I922" t="s">
        <v>86</v>
      </c>
      <c r="J922" t="s">
        <v>1053</v>
      </c>
      <c r="K922" t="s">
        <v>604</v>
      </c>
      <c r="L922" t="s">
        <v>89</v>
      </c>
      <c r="M922" t="s">
        <v>318</v>
      </c>
      <c r="N922" t="s">
        <v>3509</v>
      </c>
      <c r="O922" t="s">
        <v>3510</v>
      </c>
      <c r="P922" t="s">
        <v>3510</v>
      </c>
      <c r="Q922" t="s">
        <v>102</v>
      </c>
      <c r="R922" t="s">
        <v>83</v>
      </c>
      <c r="S922" t="s">
        <v>1745</v>
      </c>
      <c r="T922" t="s">
        <v>3506</v>
      </c>
      <c r="U922" t="s">
        <v>322</v>
      </c>
      <c r="V922" t="s">
        <v>82</v>
      </c>
      <c r="W922" t="s">
        <v>3511</v>
      </c>
      <c r="X922" t="s">
        <v>96</v>
      </c>
      <c r="Y922" t="s">
        <v>82</v>
      </c>
      <c r="Z922" t="s">
        <v>134</v>
      </c>
    </row>
    <row r="923" spans="1:26" x14ac:dyDescent="0.25">
      <c r="A923" t="s">
        <v>3512</v>
      </c>
      <c r="B923" t="s">
        <v>3513</v>
      </c>
      <c r="C923" s="4" t="s">
        <v>3514</v>
      </c>
      <c r="D923" t="s">
        <v>3515</v>
      </c>
      <c r="E923" t="s">
        <v>14</v>
      </c>
      <c r="F923" t="s">
        <v>111</v>
      </c>
      <c r="G923" t="s">
        <v>124</v>
      </c>
      <c r="H923" t="s">
        <v>78</v>
      </c>
      <c r="I923" t="s">
        <v>102</v>
      </c>
      <c r="J923" t="s">
        <v>17</v>
      </c>
      <c r="K923" t="s">
        <v>799</v>
      </c>
      <c r="L923" t="s">
        <v>89</v>
      </c>
      <c r="M923" t="s">
        <v>318</v>
      </c>
      <c r="N923" t="s">
        <v>1432</v>
      </c>
      <c r="O923" t="s">
        <v>3516</v>
      </c>
      <c r="P923" t="s">
        <v>3517</v>
      </c>
      <c r="Q923" t="s">
        <v>102</v>
      </c>
      <c r="R923" t="s">
        <v>86</v>
      </c>
      <c r="S923" t="s">
        <v>802</v>
      </c>
      <c r="T923" t="s">
        <v>3513</v>
      </c>
      <c r="U923" t="s">
        <v>322</v>
      </c>
      <c r="V923" t="s">
        <v>82</v>
      </c>
      <c r="W923" t="s">
        <v>706</v>
      </c>
      <c r="X923" t="s">
        <v>96</v>
      </c>
      <c r="Y923" t="s">
        <v>82</v>
      </c>
      <c r="Z923" t="s">
        <v>78</v>
      </c>
    </row>
    <row r="924" spans="1:26" x14ac:dyDescent="0.25">
      <c r="A924" t="s">
        <v>3518</v>
      </c>
      <c r="B924" t="s">
        <v>3519</v>
      </c>
      <c r="C924" s="4" t="s">
        <v>3514</v>
      </c>
      <c r="D924" t="s">
        <v>3515</v>
      </c>
      <c r="E924" t="s">
        <v>14</v>
      </c>
      <c r="F924" t="s">
        <v>111</v>
      </c>
      <c r="G924" t="s">
        <v>124</v>
      </c>
      <c r="H924" t="s">
        <v>78</v>
      </c>
      <c r="I924" t="s">
        <v>102</v>
      </c>
      <c r="J924" t="s">
        <v>20</v>
      </c>
      <c r="K924" t="s">
        <v>799</v>
      </c>
      <c r="L924" t="s">
        <v>89</v>
      </c>
      <c r="M924" t="s">
        <v>318</v>
      </c>
      <c r="N924" t="s">
        <v>1432</v>
      </c>
      <c r="O924" t="s">
        <v>3516</v>
      </c>
      <c r="P924" t="s">
        <v>3516</v>
      </c>
      <c r="Q924" t="s">
        <v>102</v>
      </c>
      <c r="R924" t="s">
        <v>86</v>
      </c>
      <c r="S924" t="s">
        <v>802</v>
      </c>
      <c r="T924" t="s">
        <v>3519</v>
      </c>
      <c r="U924" t="s">
        <v>322</v>
      </c>
      <c r="V924" t="s">
        <v>82</v>
      </c>
      <c r="W924" t="s">
        <v>706</v>
      </c>
      <c r="X924" t="s">
        <v>96</v>
      </c>
      <c r="Y924" t="s">
        <v>82</v>
      </c>
      <c r="Z924" t="s">
        <v>82</v>
      </c>
    </row>
    <row r="925" spans="1:26" x14ac:dyDescent="0.25">
      <c r="A925" t="s">
        <v>3520</v>
      </c>
      <c r="B925" t="s">
        <v>3521</v>
      </c>
      <c r="C925" s="4" t="s">
        <v>3514</v>
      </c>
      <c r="D925" t="s">
        <v>3515</v>
      </c>
      <c r="E925" t="s">
        <v>14</v>
      </c>
      <c r="F925" t="s">
        <v>111</v>
      </c>
      <c r="G925" t="s">
        <v>124</v>
      </c>
      <c r="H925" t="s">
        <v>78</v>
      </c>
      <c r="I925" t="s">
        <v>102</v>
      </c>
      <c r="J925" t="s">
        <v>15</v>
      </c>
      <c r="K925" t="s">
        <v>799</v>
      </c>
      <c r="L925" t="s">
        <v>89</v>
      </c>
      <c r="M925" t="s">
        <v>318</v>
      </c>
      <c r="N925" t="s">
        <v>1432</v>
      </c>
      <c r="O925" t="s">
        <v>3522</v>
      </c>
      <c r="P925" t="s">
        <v>3522</v>
      </c>
      <c r="Q925" t="s">
        <v>102</v>
      </c>
      <c r="R925" t="s">
        <v>86</v>
      </c>
      <c r="S925" t="s">
        <v>802</v>
      </c>
      <c r="T925" t="s">
        <v>3521</v>
      </c>
      <c r="U925" t="s">
        <v>322</v>
      </c>
      <c r="V925" t="s">
        <v>82</v>
      </c>
      <c r="W925" t="s">
        <v>706</v>
      </c>
      <c r="X925" t="s">
        <v>96</v>
      </c>
      <c r="Y925" t="s">
        <v>82</v>
      </c>
      <c r="Z925" t="s">
        <v>82</v>
      </c>
    </row>
    <row r="926" spans="1:26" x14ac:dyDescent="0.25">
      <c r="A926" t="s">
        <v>3523</v>
      </c>
      <c r="B926" t="s">
        <v>3524</v>
      </c>
      <c r="C926" s="4" t="s">
        <v>3514</v>
      </c>
      <c r="D926" t="s">
        <v>3515</v>
      </c>
      <c r="E926" t="s">
        <v>14</v>
      </c>
      <c r="F926" t="s">
        <v>128</v>
      </c>
      <c r="G926" t="s">
        <v>105</v>
      </c>
      <c r="H926" t="s">
        <v>78</v>
      </c>
      <c r="I926" t="s">
        <v>102</v>
      </c>
      <c r="J926" t="s">
        <v>15</v>
      </c>
      <c r="K926" t="s">
        <v>979</v>
      </c>
      <c r="L926" t="s">
        <v>89</v>
      </c>
      <c r="M926" t="s">
        <v>318</v>
      </c>
      <c r="N926" t="s">
        <v>1340</v>
      </c>
      <c r="O926" t="s">
        <v>3525</v>
      </c>
      <c r="P926" t="s">
        <v>3525</v>
      </c>
      <c r="Q926" t="s">
        <v>102</v>
      </c>
      <c r="R926" t="s">
        <v>86</v>
      </c>
      <c r="S926" t="s">
        <v>983</v>
      </c>
      <c r="T926" t="s">
        <v>3524</v>
      </c>
      <c r="U926" t="s">
        <v>322</v>
      </c>
      <c r="V926" t="s">
        <v>82</v>
      </c>
      <c r="W926" t="s">
        <v>1539</v>
      </c>
      <c r="X926" t="s">
        <v>96</v>
      </c>
      <c r="Y926" t="s">
        <v>82</v>
      </c>
      <c r="Z926" t="s">
        <v>78</v>
      </c>
    </row>
    <row r="927" spans="1:26" x14ac:dyDescent="0.25">
      <c r="A927" t="s">
        <v>3526</v>
      </c>
      <c r="B927" t="s">
        <v>3527</v>
      </c>
      <c r="C927" s="4" t="s">
        <v>3514</v>
      </c>
      <c r="D927" t="s">
        <v>3515</v>
      </c>
      <c r="E927" t="s">
        <v>14</v>
      </c>
      <c r="F927" t="s">
        <v>128</v>
      </c>
      <c r="G927" t="s">
        <v>105</v>
      </c>
      <c r="H927" t="s">
        <v>78</v>
      </c>
      <c r="I927" t="s">
        <v>102</v>
      </c>
      <c r="J927" t="s">
        <v>20</v>
      </c>
      <c r="K927" t="s">
        <v>979</v>
      </c>
      <c r="L927" t="s">
        <v>89</v>
      </c>
      <c r="M927" t="s">
        <v>318</v>
      </c>
      <c r="N927" t="s">
        <v>1340</v>
      </c>
      <c r="O927" t="s">
        <v>3528</v>
      </c>
      <c r="P927" t="s">
        <v>3528</v>
      </c>
      <c r="Q927" t="s">
        <v>102</v>
      </c>
      <c r="R927" t="s">
        <v>86</v>
      </c>
      <c r="S927" t="s">
        <v>983</v>
      </c>
      <c r="T927" t="s">
        <v>3527</v>
      </c>
      <c r="U927" t="s">
        <v>322</v>
      </c>
      <c r="V927" t="s">
        <v>82</v>
      </c>
      <c r="W927" t="s">
        <v>1539</v>
      </c>
      <c r="X927" t="s">
        <v>96</v>
      </c>
      <c r="Y927" t="s">
        <v>82</v>
      </c>
      <c r="Z927" t="s">
        <v>78</v>
      </c>
    </row>
    <row r="928" spans="1:26" x14ac:dyDescent="0.25">
      <c r="A928" t="s">
        <v>3529</v>
      </c>
      <c r="B928" t="s">
        <v>3530</v>
      </c>
      <c r="C928" s="4" t="s">
        <v>3514</v>
      </c>
      <c r="D928" t="s">
        <v>3515</v>
      </c>
      <c r="E928" t="s">
        <v>14</v>
      </c>
      <c r="F928" t="s">
        <v>128</v>
      </c>
      <c r="G928" t="s">
        <v>105</v>
      </c>
      <c r="H928" t="s">
        <v>78</v>
      </c>
      <c r="I928" t="s">
        <v>102</v>
      </c>
      <c r="J928" t="s">
        <v>17</v>
      </c>
      <c r="K928" t="s">
        <v>979</v>
      </c>
      <c r="L928" t="s">
        <v>89</v>
      </c>
      <c r="M928" t="s">
        <v>318</v>
      </c>
      <c r="N928" t="s">
        <v>1340</v>
      </c>
      <c r="O928" t="s">
        <v>3528</v>
      </c>
      <c r="P928" t="s">
        <v>3528</v>
      </c>
      <c r="Q928" t="s">
        <v>102</v>
      </c>
      <c r="R928" t="s">
        <v>86</v>
      </c>
      <c r="S928" t="s">
        <v>983</v>
      </c>
      <c r="T928" t="s">
        <v>3530</v>
      </c>
      <c r="U928" t="s">
        <v>322</v>
      </c>
      <c r="V928" t="s">
        <v>82</v>
      </c>
      <c r="W928" t="s">
        <v>1539</v>
      </c>
      <c r="X928" t="s">
        <v>96</v>
      </c>
      <c r="Y928" t="s">
        <v>82</v>
      </c>
      <c r="Z928" t="s">
        <v>78</v>
      </c>
    </row>
    <row r="929" spans="1:26" x14ac:dyDescent="0.25">
      <c r="A929" t="s">
        <v>3531</v>
      </c>
      <c r="B929" t="s">
        <v>3532</v>
      </c>
      <c r="C929" s="4" t="s">
        <v>3514</v>
      </c>
      <c r="D929" t="s">
        <v>3515</v>
      </c>
      <c r="E929" t="s">
        <v>14</v>
      </c>
      <c r="F929" t="s">
        <v>143</v>
      </c>
      <c r="G929" t="s">
        <v>106</v>
      </c>
      <c r="H929" t="s">
        <v>78</v>
      </c>
      <c r="I929" t="s">
        <v>102</v>
      </c>
      <c r="J929" t="s">
        <v>17</v>
      </c>
      <c r="K929" t="s">
        <v>3533</v>
      </c>
      <c r="L929" t="s">
        <v>89</v>
      </c>
      <c r="M929" t="s">
        <v>318</v>
      </c>
      <c r="N929" t="s">
        <v>1358</v>
      </c>
      <c r="O929" t="s">
        <v>3534</v>
      </c>
      <c r="P929" t="s">
        <v>3534</v>
      </c>
      <c r="Q929" t="s">
        <v>102</v>
      </c>
      <c r="R929" t="s">
        <v>86</v>
      </c>
      <c r="S929" t="s">
        <v>3535</v>
      </c>
      <c r="T929" t="s">
        <v>3532</v>
      </c>
      <c r="U929" t="s">
        <v>322</v>
      </c>
      <c r="V929" t="s">
        <v>82</v>
      </c>
      <c r="W929" t="s">
        <v>1523</v>
      </c>
      <c r="X929" t="s">
        <v>96</v>
      </c>
      <c r="Y929" t="s">
        <v>82</v>
      </c>
      <c r="Z929" t="s">
        <v>78</v>
      </c>
    </row>
    <row r="930" spans="1:26" x14ac:dyDescent="0.25">
      <c r="A930" t="s">
        <v>3536</v>
      </c>
      <c r="B930" t="s">
        <v>3537</v>
      </c>
      <c r="C930" s="4" t="s">
        <v>3514</v>
      </c>
      <c r="D930" t="s">
        <v>3515</v>
      </c>
      <c r="E930" t="s">
        <v>14</v>
      </c>
      <c r="F930" t="s">
        <v>143</v>
      </c>
      <c r="G930" t="s">
        <v>106</v>
      </c>
      <c r="H930" t="s">
        <v>78</v>
      </c>
      <c r="I930" t="s">
        <v>102</v>
      </c>
      <c r="J930" t="s">
        <v>20</v>
      </c>
      <c r="K930" t="s">
        <v>3533</v>
      </c>
      <c r="L930" t="s">
        <v>89</v>
      </c>
      <c r="M930" t="s">
        <v>318</v>
      </c>
      <c r="N930" t="s">
        <v>1358</v>
      </c>
      <c r="O930" t="s">
        <v>3534</v>
      </c>
      <c r="P930" t="s">
        <v>3534</v>
      </c>
      <c r="Q930" t="s">
        <v>102</v>
      </c>
      <c r="R930" t="s">
        <v>86</v>
      </c>
      <c r="S930" t="s">
        <v>3535</v>
      </c>
      <c r="T930" t="s">
        <v>3537</v>
      </c>
      <c r="U930" t="s">
        <v>322</v>
      </c>
      <c r="V930" t="s">
        <v>82</v>
      </c>
      <c r="W930" t="s">
        <v>1523</v>
      </c>
      <c r="X930" t="s">
        <v>96</v>
      </c>
      <c r="Y930" t="s">
        <v>82</v>
      </c>
      <c r="Z930" t="s">
        <v>78</v>
      </c>
    </row>
    <row r="931" spans="1:26" x14ac:dyDescent="0.25">
      <c r="A931" t="s">
        <v>3538</v>
      </c>
      <c r="B931" t="s">
        <v>3539</v>
      </c>
      <c r="C931" s="4" t="s">
        <v>3514</v>
      </c>
      <c r="D931" t="s">
        <v>3515</v>
      </c>
      <c r="E931" t="s">
        <v>14</v>
      </c>
      <c r="F931" t="s">
        <v>143</v>
      </c>
      <c r="G931" t="s">
        <v>106</v>
      </c>
      <c r="H931" t="s">
        <v>78</v>
      </c>
      <c r="I931" t="s">
        <v>102</v>
      </c>
      <c r="J931" t="s">
        <v>15</v>
      </c>
      <c r="K931" t="s">
        <v>3533</v>
      </c>
      <c r="L931" t="s">
        <v>89</v>
      </c>
      <c r="M931" t="s">
        <v>318</v>
      </c>
      <c r="N931" t="s">
        <v>1358</v>
      </c>
      <c r="O931" t="s">
        <v>3534</v>
      </c>
      <c r="P931" t="s">
        <v>3534</v>
      </c>
      <c r="Q931" t="s">
        <v>102</v>
      </c>
      <c r="R931" t="s">
        <v>86</v>
      </c>
      <c r="S931" t="s">
        <v>3535</v>
      </c>
      <c r="T931" t="s">
        <v>3539</v>
      </c>
      <c r="U931" t="s">
        <v>322</v>
      </c>
      <c r="V931" t="s">
        <v>82</v>
      </c>
      <c r="W931" t="s">
        <v>1523</v>
      </c>
      <c r="X931" t="s">
        <v>96</v>
      </c>
      <c r="Y931" t="s">
        <v>82</v>
      </c>
      <c r="Z931" t="s">
        <v>78</v>
      </c>
    </row>
    <row r="932" spans="1:26" x14ac:dyDescent="0.25">
      <c r="A932" t="s">
        <v>3540</v>
      </c>
      <c r="B932" t="s">
        <v>3541</v>
      </c>
      <c r="C932" s="4" t="s">
        <v>3542</v>
      </c>
      <c r="D932" t="s">
        <v>3543</v>
      </c>
      <c r="E932" t="s">
        <v>14</v>
      </c>
      <c r="F932" t="s">
        <v>143</v>
      </c>
      <c r="G932" t="s">
        <v>106</v>
      </c>
      <c r="H932" t="s">
        <v>78</v>
      </c>
      <c r="I932" t="s">
        <v>102</v>
      </c>
      <c r="J932" t="s">
        <v>15</v>
      </c>
      <c r="K932" t="s">
        <v>3544</v>
      </c>
      <c r="L932" t="s">
        <v>89</v>
      </c>
      <c r="M932" t="s">
        <v>1062</v>
      </c>
      <c r="N932" t="s">
        <v>1075</v>
      </c>
      <c r="O932" t="s">
        <v>3545</v>
      </c>
      <c r="P932" t="s">
        <v>3546</v>
      </c>
      <c r="Q932" t="s">
        <v>102</v>
      </c>
      <c r="R932" t="s">
        <v>102</v>
      </c>
      <c r="S932" t="s">
        <v>3547</v>
      </c>
      <c r="T932" t="s">
        <v>3541</v>
      </c>
      <c r="U932" t="s">
        <v>322</v>
      </c>
      <c r="V932" t="s">
        <v>82</v>
      </c>
      <c r="W932" t="s">
        <v>3548</v>
      </c>
      <c r="X932" t="s">
        <v>96</v>
      </c>
      <c r="Y932" t="s">
        <v>82</v>
      </c>
      <c r="Z932" t="s">
        <v>78</v>
      </c>
    </row>
    <row r="933" spans="1:26" x14ac:dyDescent="0.25">
      <c r="A933" t="s">
        <v>3549</v>
      </c>
      <c r="B933" t="s">
        <v>3550</v>
      </c>
      <c r="C933" s="4" t="s">
        <v>3542</v>
      </c>
      <c r="D933" t="s">
        <v>3543</v>
      </c>
      <c r="E933" t="s">
        <v>14</v>
      </c>
      <c r="F933" t="s">
        <v>143</v>
      </c>
      <c r="G933" t="s">
        <v>106</v>
      </c>
      <c r="H933" t="s">
        <v>78</v>
      </c>
      <c r="I933" t="s">
        <v>102</v>
      </c>
      <c r="J933" t="s">
        <v>1264</v>
      </c>
      <c r="K933" t="s">
        <v>3544</v>
      </c>
      <c r="L933" t="s">
        <v>89</v>
      </c>
      <c r="M933" t="s">
        <v>1062</v>
      </c>
      <c r="N933" t="s">
        <v>1075</v>
      </c>
      <c r="O933" t="s">
        <v>3545</v>
      </c>
      <c r="P933" t="s">
        <v>3551</v>
      </c>
      <c r="Q933" t="s">
        <v>102</v>
      </c>
      <c r="R933" t="s">
        <v>102</v>
      </c>
      <c r="S933" t="s">
        <v>3547</v>
      </c>
      <c r="T933" t="s">
        <v>3550</v>
      </c>
      <c r="U933" t="s">
        <v>322</v>
      </c>
      <c r="V933" t="s">
        <v>82</v>
      </c>
      <c r="W933" t="s">
        <v>3548</v>
      </c>
      <c r="X933" t="s">
        <v>96</v>
      </c>
      <c r="Y933" t="s">
        <v>82</v>
      </c>
      <c r="Z933" t="s">
        <v>78</v>
      </c>
    </row>
    <row r="934" spans="1:26" x14ac:dyDescent="0.25">
      <c r="A934" t="s">
        <v>3552</v>
      </c>
      <c r="B934" t="s">
        <v>3553</v>
      </c>
      <c r="C934" s="4" t="s">
        <v>3542</v>
      </c>
      <c r="D934" t="s">
        <v>3543</v>
      </c>
      <c r="E934" t="s">
        <v>14</v>
      </c>
      <c r="F934" t="s">
        <v>128</v>
      </c>
      <c r="G934" t="s">
        <v>105</v>
      </c>
      <c r="H934" t="s">
        <v>78</v>
      </c>
      <c r="I934" t="s">
        <v>102</v>
      </c>
      <c r="J934" t="s">
        <v>1264</v>
      </c>
      <c r="K934" t="s">
        <v>979</v>
      </c>
      <c r="L934" t="s">
        <v>89</v>
      </c>
      <c r="M934" t="s">
        <v>318</v>
      </c>
      <c r="N934" t="s">
        <v>1340</v>
      </c>
      <c r="O934" t="s">
        <v>3554</v>
      </c>
      <c r="P934" t="s">
        <v>3554</v>
      </c>
      <c r="Q934" t="s">
        <v>102</v>
      </c>
      <c r="R934" t="s">
        <v>102</v>
      </c>
      <c r="S934" t="s">
        <v>983</v>
      </c>
      <c r="T934" t="s">
        <v>3553</v>
      </c>
      <c r="U934" t="s">
        <v>322</v>
      </c>
      <c r="V934" t="s">
        <v>82</v>
      </c>
      <c r="W934" t="s">
        <v>1539</v>
      </c>
      <c r="X934" t="s">
        <v>96</v>
      </c>
      <c r="Y934" t="s">
        <v>82</v>
      </c>
      <c r="Z934" t="s">
        <v>78</v>
      </c>
    </row>
    <row r="935" spans="1:26" x14ac:dyDescent="0.25">
      <c r="A935" t="s">
        <v>3555</v>
      </c>
      <c r="B935" t="s">
        <v>3556</v>
      </c>
      <c r="C935" s="4" t="s">
        <v>3542</v>
      </c>
      <c r="D935" t="s">
        <v>3543</v>
      </c>
      <c r="E935" t="s">
        <v>14</v>
      </c>
      <c r="F935" t="s">
        <v>128</v>
      </c>
      <c r="G935" t="s">
        <v>105</v>
      </c>
      <c r="H935" t="s">
        <v>78</v>
      </c>
      <c r="I935" t="s">
        <v>102</v>
      </c>
      <c r="J935" t="s">
        <v>15</v>
      </c>
      <c r="K935" t="s">
        <v>979</v>
      </c>
      <c r="L935" t="s">
        <v>89</v>
      </c>
      <c r="M935" t="s">
        <v>318</v>
      </c>
      <c r="N935" t="s">
        <v>1340</v>
      </c>
      <c r="O935" t="s">
        <v>3554</v>
      </c>
      <c r="P935" t="s">
        <v>3554</v>
      </c>
      <c r="Q935" t="s">
        <v>102</v>
      </c>
      <c r="R935" t="s">
        <v>102</v>
      </c>
      <c r="S935" t="s">
        <v>983</v>
      </c>
      <c r="T935" t="s">
        <v>3556</v>
      </c>
      <c r="U935" t="s">
        <v>322</v>
      </c>
      <c r="V935" t="s">
        <v>82</v>
      </c>
      <c r="W935" t="s">
        <v>1539</v>
      </c>
      <c r="X935" t="s">
        <v>96</v>
      </c>
      <c r="Y935" t="s">
        <v>82</v>
      </c>
      <c r="Z935" t="s">
        <v>78</v>
      </c>
    </row>
    <row r="936" spans="1:26" x14ac:dyDescent="0.25">
      <c r="A936" t="s">
        <v>3557</v>
      </c>
      <c r="B936" t="s">
        <v>3558</v>
      </c>
      <c r="C936" s="4" t="s">
        <v>3542</v>
      </c>
      <c r="D936" t="s">
        <v>3543</v>
      </c>
      <c r="E936" t="s">
        <v>14</v>
      </c>
      <c r="F936" t="s">
        <v>111</v>
      </c>
      <c r="G936" t="s">
        <v>124</v>
      </c>
      <c r="H936" t="s">
        <v>78</v>
      </c>
      <c r="I936" t="s">
        <v>102</v>
      </c>
      <c r="J936" t="s">
        <v>15</v>
      </c>
      <c r="K936" t="s">
        <v>690</v>
      </c>
      <c r="L936" t="s">
        <v>89</v>
      </c>
      <c r="M936" t="s">
        <v>318</v>
      </c>
      <c r="N936" t="s">
        <v>1371</v>
      </c>
      <c r="O936" t="s">
        <v>3559</v>
      </c>
      <c r="P936" t="s">
        <v>3559</v>
      </c>
      <c r="Q936" t="s">
        <v>102</v>
      </c>
      <c r="R936" t="s">
        <v>102</v>
      </c>
      <c r="S936" t="s">
        <v>742</v>
      </c>
      <c r="T936" t="s">
        <v>3558</v>
      </c>
      <c r="U936" t="s">
        <v>322</v>
      </c>
      <c r="V936" t="s">
        <v>82</v>
      </c>
      <c r="W936" t="s">
        <v>3548</v>
      </c>
      <c r="X936" t="s">
        <v>96</v>
      </c>
      <c r="Y936" t="s">
        <v>82</v>
      </c>
      <c r="Z936" t="s">
        <v>78</v>
      </c>
    </row>
    <row r="937" spans="1:26" x14ac:dyDescent="0.25">
      <c r="A937" t="s">
        <v>3560</v>
      </c>
      <c r="B937" t="s">
        <v>3561</v>
      </c>
      <c r="C937" s="4" t="s">
        <v>3542</v>
      </c>
      <c r="D937" t="s">
        <v>3543</v>
      </c>
      <c r="E937" t="s">
        <v>14</v>
      </c>
      <c r="F937" t="s">
        <v>111</v>
      </c>
      <c r="G937" t="s">
        <v>124</v>
      </c>
      <c r="H937" t="s">
        <v>78</v>
      </c>
      <c r="I937" t="s">
        <v>102</v>
      </c>
      <c r="J937" t="s">
        <v>1264</v>
      </c>
      <c r="K937" t="s">
        <v>690</v>
      </c>
      <c r="L937" t="s">
        <v>89</v>
      </c>
      <c r="M937" t="s">
        <v>318</v>
      </c>
      <c r="N937" t="s">
        <v>1371</v>
      </c>
      <c r="O937" t="s">
        <v>3559</v>
      </c>
      <c r="P937" t="s">
        <v>3559</v>
      </c>
      <c r="Q937" t="s">
        <v>102</v>
      </c>
      <c r="R937" t="s">
        <v>102</v>
      </c>
      <c r="S937" t="s">
        <v>742</v>
      </c>
      <c r="T937" t="s">
        <v>3561</v>
      </c>
      <c r="U937" t="s">
        <v>322</v>
      </c>
      <c r="V937" t="s">
        <v>82</v>
      </c>
      <c r="W937" t="s">
        <v>3548</v>
      </c>
      <c r="X937" t="s">
        <v>96</v>
      </c>
      <c r="Y937" t="s">
        <v>82</v>
      </c>
      <c r="Z937" t="s">
        <v>78</v>
      </c>
    </row>
    <row r="938" spans="1:26" x14ac:dyDescent="0.25">
      <c r="A938" t="s">
        <v>3562</v>
      </c>
      <c r="B938" t="s">
        <v>3563</v>
      </c>
      <c r="C938" s="4" t="s">
        <v>3564</v>
      </c>
      <c r="D938" t="s">
        <v>3543</v>
      </c>
      <c r="E938" t="s">
        <v>14</v>
      </c>
      <c r="F938" t="s">
        <v>111</v>
      </c>
      <c r="G938" t="s">
        <v>124</v>
      </c>
      <c r="H938" t="s">
        <v>78</v>
      </c>
      <c r="I938" t="s">
        <v>102</v>
      </c>
      <c r="J938" t="s">
        <v>15</v>
      </c>
      <c r="K938" t="s">
        <v>3565</v>
      </c>
      <c r="L938" t="s">
        <v>89</v>
      </c>
      <c r="M938" t="s">
        <v>318</v>
      </c>
      <c r="N938" t="s">
        <v>739</v>
      </c>
      <c r="O938" t="s">
        <v>3566</v>
      </c>
      <c r="P938" t="s">
        <v>3566</v>
      </c>
      <c r="Q938" t="s">
        <v>102</v>
      </c>
      <c r="R938" t="s">
        <v>102</v>
      </c>
      <c r="S938" t="s">
        <v>3567</v>
      </c>
      <c r="T938" t="s">
        <v>3563</v>
      </c>
      <c r="U938" t="s">
        <v>322</v>
      </c>
      <c r="V938" t="s">
        <v>82</v>
      </c>
      <c r="W938" t="s">
        <v>3568</v>
      </c>
      <c r="X938" t="s">
        <v>96</v>
      </c>
      <c r="Y938" t="s">
        <v>82</v>
      </c>
      <c r="Z938" t="s">
        <v>78</v>
      </c>
    </row>
    <row r="939" spans="1:26" x14ac:dyDescent="0.25">
      <c r="A939" t="s">
        <v>3569</v>
      </c>
      <c r="B939" t="s">
        <v>3570</v>
      </c>
      <c r="C939" s="4" t="s">
        <v>3564</v>
      </c>
      <c r="D939" t="s">
        <v>3543</v>
      </c>
      <c r="E939" t="s">
        <v>14</v>
      </c>
      <c r="F939" t="s">
        <v>111</v>
      </c>
      <c r="G939" t="s">
        <v>124</v>
      </c>
      <c r="H939" t="s">
        <v>78</v>
      </c>
      <c r="I939" t="s">
        <v>102</v>
      </c>
      <c r="J939" t="s">
        <v>18</v>
      </c>
      <c r="K939" t="s">
        <v>3565</v>
      </c>
      <c r="L939" t="s">
        <v>89</v>
      </c>
      <c r="M939" t="s">
        <v>318</v>
      </c>
      <c r="N939" t="s">
        <v>739</v>
      </c>
      <c r="O939" t="s">
        <v>3566</v>
      </c>
      <c r="P939" t="s">
        <v>3566</v>
      </c>
      <c r="Q939" t="s">
        <v>102</v>
      </c>
      <c r="R939" t="s">
        <v>102</v>
      </c>
      <c r="S939" t="s">
        <v>3567</v>
      </c>
      <c r="T939" t="s">
        <v>3570</v>
      </c>
      <c r="U939" t="s">
        <v>322</v>
      </c>
      <c r="V939" t="s">
        <v>82</v>
      </c>
      <c r="W939" t="s">
        <v>3568</v>
      </c>
      <c r="X939" t="s">
        <v>96</v>
      </c>
      <c r="Y939" t="s">
        <v>82</v>
      </c>
      <c r="Z939" t="s">
        <v>78</v>
      </c>
    </row>
    <row r="940" spans="1:26" x14ac:dyDescent="0.25">
      <c r="A940" t="s">
        <v>3571</v>
      </c>
      <c r="B940" t="s">
        <v>3572</v>
      </c>
      <c r="C940" s="4" t="s">
        <v>3564</v>
      </c>
      <c r="D940" t="s">
        <v>3543</v>
      </c>
      <c r="E940" t="s">
        <v>14</v>
      </c>
      <c r="F940" t="s">
        <v>128</v>
      </c>
      <c r="G940" t="s">
        <v>105</v>
      </c>
      <c r="H940" t="s">
        <v>78</v>
      </c>
      <c r="I940" t="s">
        <v>102</v>
      </c>
      <c r="J940" t="s">
        <v>18</v>
      </c>
      <c r="K940" t="s">
        <v>1357</v>
      </c>
      <c r="L940" t="s">
        <v>89</v>
      </c>
      <c r="M940" t="s">
        <v>318</v>
      </c>
      <c r="N940" t="s">
        <v>1186</v>
      </c>
      <c r="O940" t="s">
        <v>3573</v>
      </c>
      <c r="P940" t="s">
        <v>3573</v>
      </c>
      <c r="Q940" t="s">
        <v>102</v>
      </c>
      <c r="R940" t="s">
        <v>102</v>
      </c>
      <c r="S940" t="s">
        <v>636</v>
      </c>
      <c r="T940" t="s">
        <v>3572</v>
      </c>
      <c r="U940" t="s">
        <v>322</v>
      </c>
      <c r="V940" t="s">
        <v>82</v>
      </c>
      <c r="W940" t="s">
        <v>1539</v>
      </c>
      <c r="X940" t="s">
        <v>96</v>
      </c>
      <c r="Y940" t="s">
        <v>82</v>
      </c>
      <c r="Z940" t="s">
        <v>78</v>
      </c>
    </row>
    <row r="941" spans="1:26" x14ac:dyDescent="0.25">
      <c r="A941" t="s">
        <v>3574</v>
      </c>
      <c r="B941" t="s">
        <v>3575</v>
      </c>
      <c r="C941" s="4" t="s">
        <v>3564</v>
      </c>
      <c r="D941" t="s">
        <v>3543</v>
      </c>
      <c r="E941" t="s">
        <v>14</v>
      </c>
      <c r="F941" t="s">
        <v>128</v>
      </c>
      <c r="G941" t="s">
        <v>105</v>
      </c>
      <c r="H941" t="s">
        <v>78</v>
      </c>
      <c r="I941" t="s">
        <v>102</v>
      </c>
      <c r="J941" t="s">
        <v>15</v>
      </c>
      <c r="K941" t="s">
        <v>1357</v>
      </c>
      <c r="L941" t="s">
        <v>89</v>
      </c>
      <c r="M941" t="s">
        <v>318</v>
      </c>
      <c r="N941" t="s">
        <v>1186</v>
      </c>
      <c r="O941" t="s">
        <v>3573</v>
      </c>
      <c r="P941" t="s">
        <v>3573</v>
      </c>
      <c r="Q941" t="s">
        <v>102</v>
      </c>
      <c r="R941" t="s">
        <v>102</v>
      </c>
      <c r="S941" t="s">
        <v>636</v>
      </c>
      <c r="T941" t="s">
        <v>3575</v>
      </c>
      <c r="U941" t="s">
        <v>322</v>
      </c>
      <c r="V941" t="s">
        <v>82</v>
      </c>
      <c r="W941" t="s">
        <v>1539</v>
      </c>
      <c r="X941" t="s">
        <v>96</v>
      </c>
      <c r="Y941" t="s">
        <v>82</v>
      </c>
      <c r="Z941" t="s">
        <v>78</v>
      </c>
    </row>
    <row r="942" spans="1:26" x14ac:dyDescent="0.25">
      <c r="A942" t="s">
        <v>3576</v>
      </c>
      <c r="B942" t="s">
        <v>3577</v>
      </c>
      <c r="C942" s="4" t="s">
        <v>3564</v>
      </c>
      <c r="D942" t="s">
        <v>3543</v>
      </c>
      <c r="E942" t="s">
        <v>14</v>
      </c>
      <c r="F942" t="s">
        <v>143</v>
      </c>
      <c r="G942" t="s">
        <v>106</v>
      </c>
      <c r="H942" t="s">
        <v>78</v>
      </c>
      <c r="I942" t="s">
        <v>102</v>
      </c>
      <c r="J942" t="s">
        <v>15</v>
      </c>
      <c r="K942" t="s">
        <v>1061</v>
      </c>
      <c r="L942" t="s">
        <v>89</v>
      </c>
      <c r="M942" t="s">
        <v>318</v>
      </c>
      <c r="N942" t="s">
        <v>3578</v>
      </c>
      <c r="O942" t="s">
        <v>3579</v>
      </c>
      <c r="P942" t="s">
        <v>3579</v>
      </c>
      <c r="Q942" t="s">
        <v>102</v>
      </c>
      <c r="R942" t="s">
        <v>102</v>
      </c>
      <c r="S942" t="s">
        <v>186</v>
      </c>
      <c r="T942" t="s">
        <v>3577</v>
      </c>
      <c r="U942" t="s">
        <v>322</v>
      </c>
      <c r="V942" t="s">
        <v>82</v>
      </c>
      <c r="W942" t="s">
        <v>1108</v>
      </c>
      <c r="X942" t="s">
        <v>96</v>
      </c>
      <c r="Y942" t="s">
        <v>82</v>
      </c>
      <c r="Z942" t="s">
        <v>78</v>
      </c>
    </row>
    <row r="943" spans="1:26" x14ac:dyDescent="0.25">
      <c r="A943" t="s">
        <v>3580</v>
      </c>
      <c r="B943" t="s">
        <v>3581</v>
      </c>
      <c r="C943" s="4" t="s">
        <v>3564</v>
      </c>
      <c r="D943" t="s">
        <v>3543</v>
      </c>
      <c r="E943" t="s">
        <v>14</v>
      </c>
      <c r="F943" t="s">
        <v>143</v>
      </c>
      <c r="G943" t="s">
        <v>106</v>
      </c>
      <c r="H943" t="s">
        <v>78</v>
      </c>
      <c r="I943" t="s">
        <v>102</v>
      </c>
      <c r="J943" t="s">
        <v>18</v>
      </c>
      <c r="K943" t="s">
        <v>1061</v>
      </c>
      <c r="L943" t="s">
        <v>89</v>
      </c>
      <c r="M943" t="s">
        <v>318</v>
      </c>
      <c r="N943" t="s">
        <v>3578</v>
      </c>
      <c r="O943" t="s">
        <v>3582</v>
      </c>
      <c r="P943" t="s">
        <v>3582</v>
      </c>
      <c r="Q943" t="s">
        <v>102</v>
      </c>
      <c r="R943" t="s">
        <v>102</v>
      </c>
      <c r="S943" t="s">
        <v>186</v>
      </c>
      <c r="T943" t="s">
        <v>3581</v>
      </c>
      <c r="U943" t="s">
        <v>322</v>
      </c>
      <c r="V943" t="s">
        <v>82</v>
      </c>
      <c r="W943" t="s">
        <v>1108</v>
      </c>
      <c r="X943" t="s">
        <v>96</v>
      </c>
      <c r="Y943" t="s">
        <v>82</v>
      </c>
      <c r="Z943" t="s">
        <v>78</v>
      </c>
    </row>
    <row r="944" spans="1:26" x14ac:dyDescent="0.25">
      <c r="A944" t="s">
        <v>3583</v>
      </c>
      <c r="B944" t="s">
        <v>3584</v>
      </c>
      <c r="C944" s="4" t="s">
        <v>3585</v>
      </c>
      <c r="D944" t="s">
        <v>3586</v>
      </c>
      <c r="E944" t="s">
        <v>14</v>
      </c>
      <c r="F944" t="s">
        <v>85</v>
      </c>
      <c r="G944" t="s">
        <v>111</v>
      </c>
      <c r="H944" t="s">
        <v>78</v>
      </c>
      <c r="I944" t="s">
        <v>102</v>
      </c>
      <c r="J944" t="s">
        <v>18</v>
      </c>
      <c r="K944" t="s">
        <v>3587</v>
      </c>
      <c r="L944" t="s">
        <v>89</v>
      </c>
      <c r="M944" t="s">
        <v>318</v>
      </c>
      <c r="N944" t="s">
        <v>691</v>
      </c>
      <c r="O944" t="s">
        <v>3588</v>
      </c>
      <c r="P944" t="s">
        <v>3588</v>
      </c>
      <c r="Q944" t="s">
        <v>102</v>
      </c>
      <c r="R944" t="s">
        <v>102</v>
      </c>
      <c r="S944" t="s">
        <v>585</v>
      </c>
      <c r="T944" t="s">
        <v>3584</v>
      </c>
      <c r="U944" t="s">
        <v>322</v>
      </c>
      <c r="V944" t="s">
        <v>82</v>
      </c>
      <c r="W944" t="s">
        <v>1108</v>
      </c>
      <c r="X944" t="s">
        <v>96</v>
      </c>
      <c r="Y944" t="s">
        <v>82</v>
      </c>
      <c r="Z944" t="s">
        <v>82</v>
      </c>
    </row>
    <row r="945" spans="1:26" x14ac:dyDescent="0.25">
      <c r="A945" t="s">
        <v>3589</v>
      </c>
      <c r="B945" t="s">
        <v>3590</v>
      </c>
      <c r="C945" s="4" t="s">
        <v>3585</v>
      </c>
      <c r="D945" t="s">
        <v>3586</v>
      </c>
      <c r="E945" t="s">
        <v>14</v>
      </c>
      <c r="F945" t="s">
        <v>85</v>
      </c>
      <c r="G945" t="s">
        <v>111</v>
      </c>
      <c r="H945" t="s">
        <v>78</v>
      </c>
      <c r="I945" t="s">
        <v>102</v>
      </c>
      <c r="J945" t="s">
        <v>15</v>
      </c>
      <c r="K945" t="s">
        <v>3587</v>
      </c>
      <c r="L945" t="s">
        <v>89</v>
      </c>
      <c r="M945" t="s">
        <v>318</v>
      </c>
      <c r="N945" t="s">
        <v>691</v>
      </c>
      <c r="O945" t="s">
        <v>3591</v>
      </c>
      <c r="P945" t="s">
        <v>3591</v>
      </c>
      <c r="Q945" t="s">
        <v>102</v>
      </c>
      <c r="R945" t="s">
        <v>102</v>
      </c>
      <c r="S945" t="s">
        <v>585</v>
      </c>
      <c r="T945" t="s">
        <v>3590</v>
      </c>
      <c r="U945" t="s">
        <v>322</v>
      </c>
      <c r="V945" t="s">
        <v>82</v>
      </c>
      <c r="W945" t="s">
        <v>1108</v>
      </c>
      <c r="X945" t="s">
        <v>96</v>
      </c>
      <c r="Y945" t="s">
        <v>82</v>
      </c>
      <c r="Z945" t="s">
        <v>82</v>
      </c>
    </row>
    <row r="946" spans="1:26" x14ac:dyDescent="0.25">
      <c r="A946" t="s">
        <v>3592</v>
      </c>
      <c r="B946" t="s">
        <v>3593</v>
      </c>
      <c r="C946" s="4" t="s">
        <v>3585</v>
      </c>
      <c r="D946" t="s">
        <v>3586</v>
      </c>
      <c r="E946" t="s">
        <v>14</v>
      </c>
      <c r="F946" t="s">
        <v>83</v>
      </c>
      <c r="G946" t="s">
        <v>84</v>
      </c>
      <c r="H946" t="s">
        <v>78</v>
      </c>
      <c r="I946" t="s">
        <v>111</v>
      </c>
      <c r="J946" t="s">
        <v>15</v>
      </c>
      <c r="K946" t="s">
        <v>3594</v>
      </c>
      <c r="L946" t="s">
        <v>89</v>
      </c>
      <c r="M946" t="s">
        <v>318</v>
      </c>
      <c r="N946" t="s">
        <v>1237</v>
      </c>
      <c r="O946" t="s">
        <v>3595</v>
      </c>
      <c r="P946" t="s">
        <v>3595</v>
      </c>
      <c r="Q946" t="s">
        <v>102</v>
      </c>
      <c r="R946" t="s">
        <v>102</v>
      </c>
      <c r="S946" t="s">
        <v>3596</v>
      </c>
      <c r="T946" t="s">
        <v>3593</v>
      </c>
      <c r="U946" t="s">
        <v>322</v>
      </c>
      <c r="V946" t="s">
        <v>82</v>
      </c>
      <c r="W946" t="s">
        <v>3597</v>
      </c>
      <c r="X946" t="s">
        <v>96</v>
      </c>
      <c r="Y946" t="s">
        <v>82</v>
      </c>
      <c r="Z946" t="s">
        <v>82</v>
      </c>
    </row>
    <row r="947" spans="1:26" x14ac:dyDescent="0.25">
      <c r="A947" t="s">
        <v>3598</v>
      </c>
      <c r="B947" t="s">
        <v>3599</v>
      </c>
      <c r="C947" s="4" t="s">
        <v>3585</v>
      </c>
      <c r="D947" t="s">
        <v>3586</v>
      </c>
      <c r="E947" t="s">
        <v>14</v>
      </c>
      <c r="F947" t="s">
        <v>83</v>
      </c>
      <c r="G947" t="s">
        <v>84</v>
      </c>
      <c r="H947" t="s">
        <v>78</v>
      </c>
      <c r="I947" t="s">
        <v>111</v>
      </c>
      <c r="J947" t="s">
        <v>18</v>
      </c>
      <c r="K947" t="s">
        <v>3594</v>
      </c>
      <c r="L947" t="s">
        <v>89</v>
      </c>
      <c r="M947" t="s">
        <v>318</v>
      </c>
      <c r="N947" t="s">
        <v>1237</v>
      </c>
      <c r="O947" t="s">
        <v>3595</v>
      </c>
      <c r="P947" t="s">
        <v>3595</v>
      </c>
      <c r="Q947" t="s">
        <v>102</v>
      </c>
      <c r="R947" t="s">
        <v>102</v>
      </c>
      <c r="S947" t="s">
        <v>3596</v>
      </c>
      <c r="T947" t="s">
        <v>3599</v>
      </c>
      <c r="U947" t="s">
        <v>322</v>
      </c>
      <c r="V947" t="s">
        <v>82</v>
      </c>
      <c r="W947" t="s">
        <v>3597</v>
      </c>
      <c r="X947" t="s">
        <v>96</v>
      </c>
      <c r="Y947" t="s">
        <v>82</v>
      </c>
      <c r="Z947" t="s">
        <v>82</v>
      </c>
    </row>
    <row r="948" spans="1:26" x14ac:dyDescent="0.25">
      <c r="A948" t="s">
        <v>3600</v>
      </c>
      <c r="B948" t="s">
        <v>3601</v>
      </c>
      <c r="C948" s="4" t="s">
        <v>3602</v>
      </c>
      <c r="D948" t="s">
        <v>3603</v>
      </c>
      <c r="E948" t="s">
        <v>14</v>
      </c>
      <c r="F948" t="s">
        <v>85</v>
      </c>
      <c r="G948" t="s">
        <v>111</v>
      </c>
      <c r="H948" t="s">
        <v>78</v>
      </c>
      <c r="I948" t="s">
        <v>102</v>
      </c>
      <c r="J948" t="s">
        <v>3177</v>
      </c>
      <c r="K948" t="s">
        <v>354</v>
      </c>
      <c r="L948" t="s">
        <v>89</v>
      </c>
      <c r="M948" t="s">
        <v>318</v>
      </c>
      <c r="N948" t="s">
        <v>347</v>
      </c>
      <c r="O948" t="s">
        <v>3604</v>
      </c>
      <c r="P948" t="s">
        <v>3604</v>
      </c>
      <c r="Q948" t="s">
        <v>102</v>
      </c>
      <c r="R948" t="s">
        <v>85</v>
      </c>
      <c r="S948" t="s">
        <v>3480</v>
      </c>
      <c r="T948" t="s">
        <v>3601</v>
      </c>
      <c r="U948" t="s">
        <v>322</v>
      </c>
      <c r="V948" t="s">
        <v>82</v>
      </c>
      <c r="W948" t="s">
        <v>718</v>
      </c>
      <c r="X948" t="s">
        <v>96</v>
      </c>
      <c r="Y948" t="s">
        <v>82</v>
      </c>
      <c r="Z948" t="s">
        <v>82</v>
      </c>
    </row>
    <row r="949" spans="1:26" x14ac:dyDescent="0.25">
      <c r="A949" t="s">
        <v>3605</v>
      </c>
      <c r="B949" t="s">
        <v>3606</v>
      </c>
      <c r="C949" s="4" t="s">
        <v>3602</v>
      </c>
      <c r="D949" t="s">
        <v>3603</v>
      </c>
      <c r="E949" t="s">
        <v>14</v>
      </c>
      <c r="F949" t="s">
        <v>85</v>
      </c>
      <c r="G949" t="s">
        <v>111</v>
      </c>
      <c r="H949" t="s">
        <v>78</v>
      </c>
      <c r="I949" t="s">
        <v>102</v>
      </c>
      <c r="J949" t="s">
        <v>340</v>
      </c>
      <c r="K949" t="s">
        <v>354</v>
      </c>
      <c r="L949" t="s">
        <v>89</v>
      </c>
      <c r="M949" t="s">
        <v>318</v>
      </c>
      <c r="N949" t="s">
        <v>347</v>
      </c>
      <c r="O949" t="s">
        <v>3604</v>
      </c>
      <c r="P949" t="s">
        <v>3604</v>
      </c>
      <c r="Q949" t="s">
        <v>102</v>
      </c>
      <c r="R949" t="s">
        <v>85</v>
      </c>
      <c r="S949" t="s">
        <v>3480</v>
      </c>
      <c r="T949" t="s">
        <v>3606</v>
      </c>
      <c r="U949" t="s">
        <v>322</v>
      </c>
      <c r="V949" t="s">
        <v>82</v>
      </c>
      <c r="W949" t="s">
        <v>718</v>
      </c>
      <c r="X949" t="s">
        <v>96</v>
      </c>
      <c r="Y949" t="s">
        <v>82</v>
      </c>
      <c r="Z949" t="s">
        <v>82</v>
      </c>
    </row>
    <row r="950" spans="1:26" x14ac:dyDescent="0.25">
      <c r="A950" t="s">
        <v>3607</v>
      </c>
      <c r="B950" t="s">
        <v>3608</v>
      </c>
      <c r="C950" s="4" t="s">
        <v>3602</v>
      </c>
      <c r="D950" t="s">
        <v>3603</v>
      </c>
      <c r="E950" t="s">
        <v>14</v>
      </c>
      <c r="F950" t="s">
        <v>85</v>
      </c>
      <c r="G950" t="s">
        <v>111</v>
      </c>
      <c r="H950" t="s">
        <v>78</v>
      </c>
      <c r="I950" t="s">
        <v>102</v>
      </c>
      <c r="J950" t="s">
        <v>33</v>
      </c>
      <c r="K950" t="s">
        <v>354</v>
      </c>
      <c r="L950" t="s">
        <v>89</v>
      </c>
      <c r="M950" t="s">
        <v>318</v>
      </c>
      <c r="N950" t="s">
        <v>347</v>
      </c>
      <c r="O950" t="s">
        <v>3609</v>
      </c>
      <c r="P950" t="s">
        <v>3609</v>
      </c>
      <c r="Q950" t="s">
        <v>102</v>
      </c>
      <c r="R950" t="s">
        <v>85</v>
      </c>
      <c r="S950" t="s">
        <v>3480</v>
      </c>
      <c r="T950" t="s">
        <v>3608</v>
      </c>
      <c r="U950" t="s">
        <v>322</v>
      </c>
      <c r="V950" t="s">
        <v>82</v>
      </c>
      <c r="W950" t="s">
        <v>718</v>
      </c>
      <c r="X950" t="s">
        <v>96</v>
      </c>
      <c r="Y950" t="s">
        <v>82</v>
      </c>
      <c r="Z950" t="s">
        <v>82</v>
      </c>
    </row>
    <row r="951" spans="1:26" x14ac:dyDescent="0.25">
      <c r="A951" t="s">
        <v>3610</v>
      </c>
      <c r="B951" t="s">
        <v>3611</v>
      </c>
      <c r="C951" s="4" t="s">
        <v>1369</v>
      </c>
      <c r="D951" t="s">
        <v>3612</v>
      </c>
      <c r="E951" t="s">
        <v>14</v>
      </c>
      <c r="F951" t="s">
        <v>134</v>
      </c>
      <c r="G951" t="s">
        <v>149</v>
      </c>
      <c r="H951" t="s">
        <v>78</v>
      </c>
      <c r="I951" t="s">
        <v>111</v>
      </c>
      <c r="J951" t="s">
        <v>18</v>
      </c>
      <c r="K951" t="s">
        <v>3613</v>
      </c>
      <c r="L951" t="s">
        <v>89</v>
      </c>
      <c r="M951" t="s">
        <v>318</v>
      </c>
      <c r="N951" t="s">
        <v>1251</v>
      </c>
      <c r="O951" t="s">
        <v>3614</v>
      </c>
      <c r="P951" t="s">
        <v>3615</v>
      </c>
      <c r="Q951" t="s">
        <v>102</v>
      </c>
      <c r="R951" t="s">
        <v>86</v>
      </c>
      <c r="S951" t="s">
        <v>3616</v>
      </c>
      <c r="T951" t="s">
        <v>3611</v>
      </c>
      <c r="U951" t="s">
        <v>322</v>
      </c>
      <c r="V951" t="s">
        <v>82</v>
      </c>
      <c r="W951" t="s">
        <v>3617</v>
      </c>
      <c r="X951" t="s">
        <v>96</v>
      </c>
      <c r="Y951" t="s">
        <v>82</v>
      </c>
      <c r="Z951" t="s">
        <v>78</v>
      </c>
    </row>
    <row r="952" spans="1:26" x14ac:dyDescent="0.25">
      <c r="A952" t="s">
        <v>3618</v>
      </c>
      <c r="B952" t="s">
        <v>3619</v>
      </c>
      <c r="C952" s="4" t="s">
        <v>1369</v>
      </c>
      <c r="D952" t="s">
        <v>3612</v>
      </c>
      <c r="E952" t="s">
        <v>14</v>
      </c>
      <c r="F952" t="s">
        <v>134</v>
      </c>
      <c r="G952" t="s">
        <v>149</v>
      </c>
      <c r="H952" t="s">
        <v>78</v>
      </c>
      <c r="I952" t="s">
        <v>111</v>
      </c>
      <c r="J952" t="s">
        <v>15</v>
      </c>
      <c r="K952" t="s">
        <v>3613</v>
      </c>
      <c r="L952" t="s">
        <v>89</v>
      </c>
      <c r="M952" t="s">
        <v>318</v>
      </c>
      <c r="N952" t="s">
        <v>1251</v>
      </c>
      <c r="O952" t="s">
        <v>3620</v>
      </c>
      <c r="P952" t="s">
        <v>3621</v>
      </c>
      <c r="Q952" t="s">
        <v>102</v>
      </c>
      <c r="R952" t="s">
        <v>86</v>
      </c>
      <c r="S952" t="s">
        <v>3616</v>
      </c>
      <c r="T952" t="s">
        <v>3619</v>
      </c>
      <c r="U952" t="s">
        <v>322</v>
      </c>
      <c r="V952" t="s">
        <v>82</v>
      </c>
      <c r="W952" t="s">
        <v>3617</v>
      </c>
      <c r="X952" t="s">
        <v>96</v>
      </c>
      <c r="Y952" t="s">
        <v>82</v>
      </c>
      <c r="Z952" t="s">
        <v>78</v>
      </c>
    </row>
    <row r="953" spans="1:26" x14ac:dyDescent="0.25">
      <c r="A953" t="s">
        <v>3622</v>
      </c>
      <c r="B953" t="s">
        <v>3623</v>
      </c>
      <c r="C953" s="4" t="s">
        <v>1369</v>
      </c>
      <c r="D953" t="s">
        <v>3612</v>
      </c>
      <c r="E953" t="s">
        <v>14</v>
      </c>
      <c r="F953" t="s">
        <v>134</v>
      </c>
      <c r="G953" t="s">
        <v>149</v>
      </c>
      <c r="H953" t="s">
        <v>78</v>
      </c>
      <c r="I953" t="s">
        <v>111</v>
      </c>
      <c r="J953" t="s">
        <v>17</v>
      </c>
      <c r="K953" t="s">
        <v>3613</v>
      </c>
      <c r="L953" t="s">
        <v>89</v>
      </c>
      <c r="M953" t="s">
        <v>318</v>
      </c>
      <c r="N953" t="s">
        <v>1251</v>
      </c>
      <c r="O953" t="s">
        <v>3620</v>
      </c>
      <c r="P953" t="s">
        <v>3620</v>
      </c>
      <c r="Q953" t="s">
        <v>102</v>
      </c>
      <c r="R953" t="s">
        <v>86</v>
      </c>
      <c r="S953" t="s">
        <v>3616</v>
      </c>
      <c r="T953" t="s">
        <v>3623</v>
      </c>
      <c r="U953" t="s">
        <v>322</v>
      </c>
      <c r="V953" t="s">
        <v>82</v>
      </c>
      <c r="W953" t="s">
        <v>3617</v>
      </c>
      <c r="X953" t="s">
        <v>96</v>
      </c>
      <c r="Y953" t="s">
        <v>82</v>
      </c>
      <c r="Z953" t="s">
        <v>82</v>
      </c>
    </row>
    <row r="954" spans="1:26" x14ac:dyDescent="0.25">
      <c r="A954" t="s">
        <v>3624</v>
      </c>
      <c r="B954" t="s">
        <v>3625</v>
      </c>
      <c r="C954" s="4" t="s">
        <v>1369</v>
      </c>
      <c r="D954" t="s">
        <v>3612</v>
      </c>
      <c r="E954" t="s">
        <v>14</v>
      </c>
      <c r="F954" t="s">
        <v>134</v>
      </c>
      <c r="G954" t="s">
        <v>149</v>
      </c>
      <c r="H954" t="s">
        <v>78</v>
      </c>
      <c r="I954" t="s">
        <v>111</v>
      </c>
      <c r="J954" t="s">
        <v>24</v>
      </c>
      <c r="K954" t="s">
        <v>3613</v>
      </c>
      <c r="L954" t="s">
        <v>89</v>
      </c>
      <c r="M954" t="s">
        <v>318</v>
      </c>
      <c r="N954" t="s">
        <v>1251</v>
      </c>
      <c r="O954" t="s">
        <v>3620</v>
      </c>
      <c r="P954" t="s">
        <v>3626</v>
      </c>
      <c r="Q954" t="s">
        <v>102</v>
      </c>
      <c r="R954" t="s">
        <v>86</v>
      </c>
      <c r="S954" t="s">
        <v>3616</v>
      </c>
      <c r="T954" t="s">
        <v>3625</v>
      </c>
      <c r="U954" t="s">
        <v>322</v>
      </c>
      <c r="V954" t="s">
        <v>82</v>
      </c>
      <c r="W954" t="s">
        <v>3617</v>
      </c>
      <c r="X954" t="s">
        <v>96</v>
      </c>
      <c r="Y954" t="s">
        <v>82</v>
      </c>
      <c r="Z954" t="s">
        <v>78</v>
      </c>
    </row>
    <row r="955" spans="1:26" x14ac:dyDescent="0.25">
      <c r="A955" t="s">
        <v>3627</v>
      </c>
      <c r="B955" t="s">
        <v>3628</v>
      </c>
      <c r="C955" s="4" t="s">
        <v>1369</v>
      </c>
      <c r="D955" t="s">
        <v>3612</v>
      </c>
      <c r="E955" t="s">
        <v>14</v>
      </c>
      <c r="F955" t="s">
        <v>83</v>
      </c>
      <c r="G955" t="s">
        <v>84</v>
      </c>
      <c r="H955" t="s">
        <v>78</v>
      </c>
      <c r="I955" t="s">
        <v>111</v>
      </c>
      <c r="J955" t="s">
        <v>18</v>
      </c>
      <c r="K955" t="s">
        <v>3629</v>
      </c>
      <c r="L955" t="s">
        <v>89</v>
      </c>
      <c r="M955" t="s">
        <v>318</v>
      </c>
      <c r="N955" t="s">
        <v>980</v>
      </c>
      <c r="O955" t="s">
        <v>3630</v>
      </c>
      <c r="P955" t="s">
        <v>3631</v>
      </c>
      <c r="Q955" t="s">
        <v>102</v>
      </c>
      <c r="R955" t="s">
        <v>86</v>
      </c>
      <c r="S955" t="s">
        <v>3632</v>
      </c>
      <c r="T955" t="s">
        <v>3628</v>
      </c>
      <c r="U955" t="s">
        <v>322</v>
      </c>
      <c r="V955" t="s">
        <v>82</v>
      </c>
      <c r="W955" t="s">
        <v>3633</v>
      </c>
      <c r="X955" t="s">
        <v>96</v>
      </c>
      <c r="Y955" t="s">
        <v>82</v>
      </c>
      <c r="Z955" t="s">
        <v>78</v>
      </c>
    </row>
    <row r="956" spans="1:26" x14ac:dyDescent="0.25">
      <c r="A956" t="s">
        <v>3634</v>
      </c>
      <c r="B956" t="s">
        <v>3635</v>
      </c>
      <c r="C956" s="4" t="s">
        <v>1369</v>
      </c>
      <c r="D956" t="s">
        <v>3612</v>
      </c>
      <c r="E956" t="s">
        <v>14</v>
      </c>
      <c r="F956" t="s">
        <v>85</v>
      </c>
      <c r="G956" t="s">
        <v>111</v>
      </c>
      <c r="H956" t="s">
        <v>78</v>
      </c>
      <c r="I956" t="s">
        <v>102</v>
      </c>
      <c r="J956" t="s">
        <v>18</v>
      </c>
      <c r="K956" t="s">
        <v>3636</v>
      </c>
      <c r="L956" t="s">
        <v>89</v>
      </c>
      <c r="M956" t="s">
        <v>318</v>
      </c>
      <c r="N956" t="s">
        <v>3637</v>
      </c>
      <c r="O956" t="s">
        <v>3638</v>
      </c>
      <c r="P956" t="s">
        <v>3638</v>
      </c>
      <c r="Q956" t="s">
        <v>102</v>
      </c>
      <c r="R956" t="s">
        <v>86</v>
      </c>
      <c r="S956" t="s">
        <v>3639</v>
      </c>
      <c r="T956" t="s">
        <v>3635</v>
      </c>
      <c r="U956" t="s">
        <v>322</v>
      </c>
      <c r="V956" t="s">
        <v>82</v>
      </c>
      <c r="W956" t="s">
        <v>3640</v>
      </c>
      <c r="X956" t="s">
        <v>96</v>
      </c>
      <c r="Y956" t="s">
        <v>82</v>
      </c>
      <c r="Z956" t="s">
        <v>78</v>
      </c>
    </row>
    <row r="957" spans="1:26" x14ac:dyDescent="0.25">
      <c r="A957" t="s">
        <v>3641</v>
      </c>
      <c r="B957" t="s">
        <v>3642</v>
      </c>
      <c r="C957" s="4" t="s">
        <v>3643</v>
      </c>
      <c r="D957" t="s">
        <v>3644</v>
      </c>
      <c r="E957" t="s">
        <v>14</v>
      </c>
      <c r="F957" t="s">
        <v>102</v>
      </c>
      <c r="G957" t="s">
        <v>116</v>
      </c>
      <c r="H957" t="s">
        <v>78</v>
      </c>
      <c r="I957" t="s">
        <v>102</v>
      </c>
      <c r="J957" t="s">
        <v>2871</v>
      </c>
      <c r="K957" t="s">
        <v>1250</v>
      </c>
      <c r="L957" t="s">
        <v>89</v>
      </c>
      <c r="M957" t="s">
        <v>318</v>
      </c>
      <c r="N957" t="s">
        <v>1062</v>
      </c>
      <c r="O957" t="s">
        <v>3645</v>
      </c>
      <c r="P957" t="s">
        <v>3645</v>
      </c>
      <c r="Q957" t="s">
        <v>102</v>
      </c>
      <c r="R957" t="s">
        <v>111</v>
      </c>
      <c r="S957" t="s">
        <v>88</v>
      </c>
      <c r="T957" t="s">
        <v>3642</v>
      </c>
      <c r="U957" t="s">
        <v>322</v>
      </c>
      <c r="V957" t="s">
        <v>82</v>
      </c>
      <c r="W957" t="s">
        <v>2664</v>
      </c>
      <c r="X957" t="s">
        <v>96</v>
      </c>
      <c r="Y957" t="s">
        <v>82</v>
      </c>
      <c r="Z957" t="s">
        <v>163</v>
      </c>
    </row>
    <row r="958" spans="1:26" x14ac:dyDescent="0.25">
      <c r="A958" t="s">
        <v>3646</v>
      </c>
      <c r="B958" t="s">
        <v>3647</v>
      </c>
      <c r="C958" s="4" t="s">
        <v>3643</v>
      </c>
      <c r="D958" t="s">
        <v>3644</v>
      </c>
      <c r="E958" t="s">
        <v>14</v>
      </c>
      <c r="F958" t="s">
        <v>102</v>
      </c>
      <c r="G958" t="s">
        <v>116</v>
      </c>
      <c r="H958" t="s">
        <v>78</v>
      </c>
      <c r="I958" t="s">
        <v>102</v>
      </c>
      <c r="J958" t="s">
        <v>30</v>
      </c>
      <c r="K958" t="s">
        <v>1250</v>
      </c>
      <c r="L958" t="s">
        <v>89</v>
      </c>
      <c r="M958" t="s">
        <v>318</v>
      </c>
      <c r="N958" t="s">
        <v>1062</v>
      </c>
      <c r="O958" t="s">
        <v>3645</v>
      </c>
      <c r="P958" t="s">
        <v>3645</v>
      </c>
      <c r="Q958" t="s">
        <v>102</v>
      </c>
      <c r="R958" t="s">
        <v>111</v>
      </c>
      <c r="S958" t="s">
        <v>88</v>
      </c>
      <c r="T958" t="s">
        <v>3647</v>
      </c>
      <c r="U958" t="s">
        <v>322</v>
      </c>
      <c r="V958" t="s">
        <v>82</v>
      </c>
      <c r="W958" t="s">
        <v>2664</v>
      </c>
      <c r="X958" t="s">
        <v>96</v>
      </c>
      <c r="Y958" t="s">
        <v>82</v>
      </c>
      <c r="Z958" t="s">
        <v>163</v>
      </c>
    </row>
    <row r="959" spans="1:26" x14ac:dyDescent="0.25">
      <c r="A959" t="s">
        <v>3648</v>
      </c>
      <c r="B959" t="s">
        <v>3649</v>
      </c>
      <c r="C959" s="4" t="s">
        <v>171</v>
      </c>
      <c r="D959" t="s">
        <v>3650</v>
      </c>
      <c r="E959" t="s">
        <v>23</v>
      </c>
      <c r="F959" t="s">
        <v>83</v>
      </c>
      <c r="G959" t="s">
        <v>180</v>
      </c>
      <c r="H959" t="s">
        <v>83</v>
      </c>
      <c r="I959" t="s">
        <v>102</v>
      </c>
      <c r="J959" t="s">
        <v>37</v>
      </c>
      <c r="K959" t="s">
        <v>1236</v>
      </c>
      <c r="L959" t="s">
        <v>89</v>
      </c>
      <c r="M959" t="s">
        <v>318</v>
      </c>
      <c r="N959" t="s">
        <v>326</v>
      </c>
      <c r="O959" t="s">
        <v>3651</v>
      </c>
      <c r="P959" t="s">
        <v>3652</v>
      </c>
      <c r="Q959" t="s">
        <v>102</v>
      </c>
      <c r="R959" t="s">
        <v>111</v>
      </c>
      <c r="S959" t="s">
        <v>532</v>
      </c>
      <c r="T959" t="s">
        <v>3649</v>
      </c>
      <c r="U959" t="s">
        <v>322</v>
      </c>
      <c r="V959" t="s">
        <v>82</v>
      </c>
      <c r="W959" t="s">
        <v>354</v>
      </c>
      <c r="X959" t="s">
        <v>96</v>
      </c>
      <c r="Y959" t="s">
        <v>82</v>
      </c>
      <c r="Z959" t="s">
        <v>163</v>
      </c>
    </row>
    <row r="960" spans="1:26" x14ac:dyDescent="0.25">
      <c r="A960" t="s">
        <v>3653</v>
      </c>
      <c r="B960" t="s">
        <v>3654</v>
      </c>
      <c r="C960" s="4" t="s">
        <v>171</v>
      </c>
      <c r="D960" t="s">
        <v>3650</v>
      </c>
      <c r="E960" t="s">
        <v>23</v>
      </c>
      <c r="F960" t="s">
        <v>83</v>
      </c>
      <c r="G960" t="s">
        <v>180</v>
      </c>
      <c r="H960" t="s">
        <v>83</v>
      </c>
      <c r="I960" t="s">
        <v>102</v>
      </c>
      <c r="J960" t="s">
        <v>29</v>
      </c>
      <c r="K960" t="s">
        <v>1236</v>
      </c>
      <c r="L960" t="s">
        <v>89</v>
      </c>
      <c r="M960" t="s">
        <v>318</v>
      </c>
      <c r="N960" t="s">
        <v>326</v>
      </c>
      <c r="O960" t="s">
        <v>3655</v>
      </c>
      <c r="P960" t="s">
        <v>3656</v>
      </c>
      <c r="Q960" t="s">
        <v>102</v>
      </c>
      <c r="R960" t="s">
        <v>111</v>
      </c>
      <c r="S960" t="s">
        <v>532</v>
      </c>
      <c r="T960" t="s">
        <v>3654</v>
      </c>
      <c r="U960" t="s">
        <v>322</v>
      </c>
      <c r="V960" t="s">
        <v>82</v>
      </c>
      <c r="W960" t="s">
        <v>354</v>
      </c>
      <c r="X960" t="s">
        <v>96</v>
      </c>
      <c r="Y960" t="s">
        <v>82</v>
      </c>
      <c r="Z960" t="s">
        <v>163</v>
      </c>
    </row>
    <row r="961" spans="1:26" x14ac:dyDescent="0.25">
      <c r="A961" t="s">
        <v>3657</v>
      </c>
      <c r="B961" t="s">
        <v>3658</v>
      </c>
      <c r="C961" s="4" t="s">
        <v>3659</v>
      </c>
      <c r="D961" t="s">
        <v>3660</v>
      </c>
      <c r="E961" t="s">
        <v>14</v>
      </c>
      <c r="F961" t="s">
        <v>85</v>
      </c>
      <c r="G961" t="s">
        <v>111</v>
      </c>
      <c r="H961" t="s">
        <v>78</v>
      </c>
      <c r="I961" t="s">
        <v>102</v>
      </c>
      <c r="J961" t="s">
        <v>18</v>
      </c>
      <c r="K961" t="s">
        <v>3636</v>
      </c>
      <c r="L961" t="s">
        <v>89</v>
      </c>
      <c r="M961" t="s">
        <v>318</v>
      </c>
      <c r="N961" t="s">
        <v>3637</v>
      </c>
      <c r="O961" t="s">
        <v>3661</v>
      </c>
      <c r="P961" t="s">
        <v>3662</v>
      </c>
      <c r="Q961" t="s">
        <v>102</v>
      </c>
      <c r="R961" t="s">
        <v>86</v>
      </c>
      <c r="S961" t="s">
        <v>3639</v>
      </c>
      <c r="T961" t="s">
        <v>3658</v>
      </c>
      <c r="U961" t="s">
        <v>322</v>
      </c>
      <c r="V961" t="s">
        <v>82</v>
      </c>
      <c r="W961" t="s">
        <v>3640</v>
      </c>
      <c r="X961" t="s">
        <v>96</v>
      </c>
      <c r="Y961" t="s">
        <v>82</v>
      </c>
      <c r="Z961" t="s">
        <v>78</v>
      </c>
    </row>
    <row r="962" spans="1:26" x14ac:dyDescent="0.25">
      <c r="A962" t="s">
        <v>3663</v>
      </c>
      <c r="B962" t="s">
        <v>3664</v>
      </c>
      <c r="C962" s="4" t="s">
        <v>3659</v>
      </c>
      <c r="D962" t="s">
        <v>3660</v>
      </c>
      <c r="E962" t="s">
        <v>14</v>
      </c>
      <c r="F962" t="s">
        <v>85</v>
      </c>
      <c r="G962" t="s">
        <v>111</v>
      </c>
      <c r="H962" t="s">
        <v>78</v>
      </c>
      <c r="I962" t="s">
        <v>102</v>
      </c>
      <c r="J962" t="s">
        <v>15</v>
      </c>
      <c r="K962" t="s">
        <v>3636</v>
      </c>
      <c r="L962" t="s">
        <v>89</v>
      </c>
      <c r="M962" t="s">
        <v>318</v>
      </c>
      <c r="N962" t="s">
        <v>3637</v>
      </c>
      <c r="O962" t="s">
        <v>3665</v>
      </c>
      <c r="P962" t="s">
        <v>3666</v>
      </c>
      <c r="Q962" t="s">
        <v>102</v>
      </c>
      <c r="R962" t="s">
        <v>86</v>
      </c>
      <c r="S962" t="s">
        <v>3639</v>
      </c>
      <c r="T962" t="s">
        <v>3664</v>
      </c>
      <c r="U962" t="s">
        <v>322</v>
      </c>
      <c r="V962" t="s">
        <v>82</v>
      </c>
      <c r="W962" t="s">
        <v>3640</v>
      </c>
      <c r="X962" t="s">
        <v>96</v>
      </c>
      <c r="Y962" t="s">
        <v>82</v>
      </c>
      <c r="Z962" t="s">
        <v>78</v>
      </c>
    </row>
    <row r="963" spans="1:26" x14ac:dyDescent="0.25">
      <c r="A963" t="s">
        <v>3667</v>
      </c>
      <c r="B963" t="s">
        <v>3668</v>
      </c>
      <c r="C963" s="4" t="s">
        <v>3659</v>
      </c>
      <c r="D963" t="s">
        <v>3660</v>
      </c>
      <c r="E963" t="s">
        <v>14</v>
      </c>
      <c r="F963" t="s">
        <v>83</v>
      </c>
      <c r="G963" t="s">
        <v>84</v>
      </c>
      <c r="H963" t="s">
        <v>78</v>
      </c>
      <c r="I963" t="s">
        <v>111</v>
      </c>
      <c r="J963" t="s">
        <v>15</v>
      </c>
      <c r="K963" t="s">
        <v>3669</v>
      </c>
      <c r="L963" t="s">
        <v>89</v>
      </c>
      <c r="M963" t="s">
        <v>318</v>
      </c>
      <c r="N963" t="s">
        <v>980</v>
      </c>
      <c r="O963" t="s">
        <v>3670</v>
      </c>
      <c r="P963" t="s">
        <v>3670</v>
      </c>
      <c r="Q963" t="s">
        <v>102</v>
      </c>
      <c r="R963" t="s">
        <v>86</v>
      </c>
      <c r="S963" t="s">
        <v>3671</v>
      </c>
      <c r="T963" t="s">
        <v>3668</v>
      </c>
      <c r="U963" t="s">
        <v>322</v>
      </c>
      <c r="V963" t="s">
        <v>82</v>
      </c>
      <c r="W963" t="s">
        <v>3672</v>
      </c>
      <c r="X963" t="s">
        <v>96</v>
      </c>
      <c r="Y963" t="s">
        <v>82</v>
      </c>
      <c r="Z963" t="s">
        <v>78</v>
      </c>
    </row>
    <row r="964" spans="1:26" x14ac:dyDescent="0.25">
      <c r="A964" t="s">
        <v>3673</v>
      </c>
      <c r="B964" t="s">
        <v>3674</v>
      </c>
      <c r="C964" s="4" t="s">
        <v>3659</v>
      </c>
      <c r="D964" t="s">
        <v>3660</v>
      </c>
      <c r="E964" t="s">
        <v>14</v>
      </c>
      <c r="F964" t="s">
        <v>83</v>
      </c>
      <c r="G964" t="s">
        <v>84</v>
      </c>
      <c r="H964" t="s">
        <v>78</v>
      </c>
      <c r="I964" t="s">
        <v>111</v>
      </c>
      <c r="J964" t="s">
        <v>18</v>
      </c>
      <c r="K964" t="s">
        <v>3669</v>
      </c>
      <c r="L964" t="s">
        <v>89</v>
      </c>
      <c r="M964" t="s">
        <v>318</v>
      </c>
      <c r="N964" t="s">
        <v>980</v>
      </c>
      <c r="O964" t="s">
        <v>3675</v>
      </c>
      <c r="P964" t="s">
        <v>3675</v>
      </c>
      <c r="Q964" t="s">
        <v>102</v>
      </c>
      <c r="R964" t="s">
        <v>86</v>
      </c>
      <c r="S964" t="s">
        <v>3671</v>
      </c>
      <c r="T964" t="s">
        <v>3674</v>
      </c>
      <c r="U964" t="s">
        <v>322</v>
      </c>
      <c r="V964" t="s">
        <v>82</v>
      </c>
      <c r="W964" t="s">
        <v>3672</v>
      </c>
      <c r="X964" t="s">
        <v>96</v>
      </c>
      <c r="Y964" t="s">
        <v>82</v>
      </c>
      <c r="Z964" t="s">
        <v>78</v>
      </c>
    </row>
    <row r="965" spans="1:26" x14ac:dyDescent="0.25">
      <c r="A965" t="s">
        <v>3676</v>
      </c>
      <c r="B965" t="s">
        <v>3677</v>
      </c>
      <c r="C965" s="4" t="s">
        <v>3659</v>
      </c>
      <c r="D965" t="s">
        <v>3660</v>
      </c>
      <c r="E965" t="s">
        <v>14</v>
      </c>
      <c r="F965" t="s">
        <v>134</v>
      </c>
      <c r="G965" t="s">
        <v>149</v>
      </c>
      <c r="H965" t="s">
        <v>78</v>
      </c>
      <c r="I965" t="s">
        <v>111</v>
      </c>
      <c r="J965" t="s">
        <v>18</v>
      </c>
      <c r="K965" t="s">
        <v>3052</v>
      </c>
      <c r="L965" t="s">
        <v>89</v>
      </c>
      <c r="M965" t="s">
        <v>318</v>
      </c>
      <c r="N965" t="s">
        <v>1251</v>
      </c>
      <c r="O965" t="s">
        <v>3678</v>
      </c>
      <c r="P965" t="s">
        <v>3678</v>
      </c>
      <c r="Q965" t="s">
        <v>102</v>
      </c>
      <c r="R965" t="s">
        <v>86</v>
      </c>
      <c r="S965" t="s">
        <v>3054</v>
      </c>
      <c r="T965" t="s">
        <v>3677</v>
      </c>
      <c r="U965" t="s">
        <v>322</v>
      </c>
      <c r="V965" t="s">
        <v>82</v>
      </c>
      <c r="W965" t="s">
        <v>3679</v>
      </c>
      <c r="X965" t="s">
        <v>96</v>
      </c>
      <c r="Y965" t="s">
        <v>82</v>
      </c>
      <c r="Z965" t="s">
        <v>78</v>
      </c>
    </row>
    <row r="966" spans="1:26" x14ac:dyDescent="0.25">
      <c r="A966" t="s">
        <v>3680</v>
      </c>
      <c r="B966" t="s">
        <v>3681</v>
      </c>
      <c r="C966" s="4" t="s">
        <v>3659</v>
      </c>
      <c r="D966" t="s">
        <v>3660</v>
      </c>
      <c r="E966" t="s">
        <v>14</v>
      </c>
      <c r="F966" t="s">
        <v>134</v>
      </c>
      <c r="G966" t="s">
        <v>149</v>
      </c>
      <c r="H966" t="s">
        <v>78</v>
      </c>
      <c r="I966" t="s">
        <v>111</v>
      </c>
      <c r="J966" t="s">
        <v>15</v>
      </c>
      <c r="K966" t="s">
        <v>3052</v>
      </c>
      <c r="L966" t="s">
        <v>89</v>
      </c>
      <c r="M966" t="s">
        <v>318</v>
      </c>
      <c r="N966" t="s">
        <v>1251</v>
      </c>
      <c r="O966" t="s">
        <v>3682</v>
      </c>
      <c r="P966" t="s">
        <v>3682</v>
      </c>
      <c r="Q966" t="s">
        <v>102</v>
      </c>
      <c r="R966" t="s">
        <v>86</v>
      </c>
      <c r="S966" t="s">
        <v>3054</v>
      </c>
      <c r="T966" t="s">
        <v>3681</v>
      </c>
      <c r="U966" t="s">
        <v>322</v>
      </c>
      <c r="V966" t="s">
        <v>82</v>
      </c>
      <c r="W966" t="s">
        <v>3679</v>
      </c>
      <c r="X966" t="s">
        <v>96</v>
      </c>
      <c r="Y966" t="s">
        <v>82</v>
      </c>
      <c r="Z966" t="s">
        <v>78</v>
      </c>
    </row>
    <row r="967" spans="1:26" x14ac:dyDescent="0.25">
      <c r="A967" t="s">
        <v>3683</v>
      </c>
      <c r="B967" t="s">
        <v>3684</v>
      </c>
      <c r="C967" s="4" t="s">
        <v>1262</v>
      </c>
      <c r="D967" t="s">
        <v>3543</v>
      </c>
      <c r="E967" t="s">
        <v>14</v>
      </c>
      <c r="F967" t="s">
        <v>111</v>
      </c>
      <c r="G967" t="s">
        <v>124</v>
      </c>
      <c r="H967" t="s">
        <v>78</v>
      </c>
      <c r="I967" t="s">
        <v>102</v>
      </c>
      <c r="J967" t="s">
        <v>18</v>
      </c>
      <c r="K967" t="s">
        <v>1357</v>
      </c>
      <c r="L967" t="s">
        <v>89</v>
      </c>
      <c r="M967" t="s">
        <v>318</v>
      </c>
      <c r="N967" t="s">
        <v>494</v>
      </c>
      <c r="O967" t="s">
        <v>3685</v>
      </c>
      <c r="P967" t="s">
        <v>3685</v>
      </c>
      <c r="Q967" t="s">
        <v>102</v>
      </c>
      <c r="R967" t="s">
        <v>102</v>
      </c>
      <c r="S967" t="s">
        <v>636</v>
      </c>
      <c r="T967" t="s">
        <v>3684</v>
      </c>
      <c r="U967" t="s">
        <v>322</v>
      </c>
      <c r="V967" t="s">
        <v>82</v>
      </c>
      <c r="W967" t="s">
        <v>1108</v>
      </c>
      <c r="X967" t="s">
        <v>96</v>
      </c>
      <c r="Y967" t="s">
        <v>82</v>
      </c>
      <c r="Z967" t="s">
        <v>78</v>
      </c>
    </row>
    <row r="968" spans="1:26" x14ac:dyDescent="0.25">
      <c r="A968" t="s">
        <v>3686</v>
      </c>
      <c r="B968" t="s">
        <v>3687</v>
      </c>
      <c r="C968" s="4" t="s">
        <v>1262</v>
      </c>
      <c r="D968" t="s">
        <v>3543</v>
      </c>
      <c r="E968" t="s">
        <v>14</v>
      </c>
      <c r="F968" t="s">
        <v>128</v>
      </c>
      <c r="G968" t="s">
        <v>105</v>
      </c>
      <c r="H968" t="s">
        <v>78</v>
      </c>
      <c r="I968" t="s">
        <v>102</v>
      </c>
      <c r="J968" t="s">
        <v>18</v>
      </c>
      <c r="K968" t="s">
        <v>3688</v>
      </c>
      <c r="L968" t="s">
        <v>89</v>
      </c>
      <c r="M968" t="s">
        <v>318</v>
      </c>
      <c r="N968" t="s">
        <v>3689</v>
      </c>
      <c r="O968" t="s">
        <v>3690</v>
      </c>
      <c r="P968" t="s">
        <v>3690</v>
      </c>
      <c r="Q968" t="s">
        <v>102</v>
      </c>
      <c r="R968" t="s">
        <v>102</v>
      </c>
      <c r="S968" t="s">
        <v>3691</v>
      </c>
      <c r="T968" t="s">
        <v>3687</v>
      </c>
      <c r="U968" t="s">
        <v>322</v>
      </c>
      <c r="V968" t="s">
        <v>82</v>
      </c>
      <c r="W968" t="s">
        <v>3692</v>
      </c>
      <c r="X968" t="s">
        <v>96</v>
      </c>
      <c r="Y968" t="s">
        <v>82</v>
      </c>
      <c r="Z968" t="s">
        <v>78</v>
      </c>
    </row>
    <row r="969" spans="1:26" x14ac:dyDescent="0.25">
      <c r="A969" t="s">
        <v>3693</v>
      </c>
      <c r="B969" t="s">
        <v>3694</v>
      </c>
      <c r="C969" s="4" t="s">
        <v>3695</v>
      </c>
      <c r="D969" t="s">
        <v>1199</v>
      </c>
      <c r="E969" t="s">
        <v>23</v>
      </c>
      <c r="F969" t="s">
        <v>83</v>
      </c>
      <c r="G969" t="s">
        <v>180</v>
      </c>
      <c r="H969" t="s">
        <v>83</v>
      </c>
      <c r="I969" t="s">
        <v>102</v>
      </c>
      <c r="J969" t="s">
        <v>18</v>
      </c>
      <c r="K969" t="s">
        <v>3491</v>
      </c>
      <c r="L969" t="s">
        <v>89</v>
      </c>
      <c r="M969" t="s">
        <v>318</v>
      </c>
      <c r="N969" t="s">
        <v>493</v>
      </c>
      <c r="O969" t="s">
        <v>3696</v>
      </c>
      <c r="P969" t="s">
        <v>3697</v>
      </c>
      <c r="Q969" t="s">
        <v>102</v>
      </c>
      <c r="R969" t="s">
        <v>86</v>
      </c>
      <c r="S969" t="s">
        <v>3494</v>
      </c>
      <c r="T969" t="s">
        <v>3694</v>
      </c>
      <c r="U969" t="s">
        <v>322</v>
      </c>
      <c r="V969" t="s">
        <v>82</v>
      </c>
      <c r="W969" t="s">
        <v>1523</v>
      </c>
      <c r="X969" t="s">
        <v>96</v>
      </c>
      <c r="Y969" t="s">
        <v>82</v>
      </c>
      <c r="Z969" t="s">
        <v>78</v>
      </c>
    </row>
    <row r="970" spans="1:26" x14ac:dyDescent="0.25">
      <c r="A970" t="s">
        <v>3698</v>
      </c>
      <c r="B970" t="s">
        <v>3699</v>
      </c>
      <c r="C970" s="4" t="s">
        <v>3695</v>
      </c>
      <c r="D970" t="s">
        <v>1199</v>
      </c>
      <c r="E970" t="s">
        <v>23</v>
      </c>
      <c r="F970" t="s">
        <v>83</v>
      </c>
      <c r="G970" t="s">
        <v>180</v>
      </c>
      <c r="H970" t="s">
        <v>78</v>
      </c>
      <c r="I970" t="s">
        <v>102</v>
      </c>
      <c r="J970" t="s">
        <v>15</v>
      </c>
      <c r="K970" t="s">
        <v>3491</v>
      </c>
      <c r="L970" t="s">
        <v>89</v>
      </c>
      <c r="M970" t="s">
        <v>318</v>
      </c>
      <c r="N970" t="s">
        <v>493</v>
      </c>
      <c r="O970" t="s">
        <v>3696</v>
      </c>
      <c r="P970" t="s">
        <v>3696</v>
      </c>
      <c r="Q970" t="s">
        <v>102</v>
      </c>
      <c r="R970" t="s">
        <v>86</v>
      </c>
      <c r="S970" t="s">
        <v>3494</v>
      </c>
      <c r="T970" t="s">
        <v>3699</v>
      </c>
      <c r="U970" t="s">
        <v>322</v>
      </c>
      <c r="V970" t="s">
        <v>82</v>
      </c>
      <c r="W970" t="s">
        <v>1523</v>
      </c>
      <c r="X970" t="s">
        <v>96</v>
      </c>
      <c r="Y970" t="s">
        <v>82</v>
      </c>
      <c r="Z970" t="s">
        <v>78</v>
      </c>
    </row>
    <row r="971" spans="1:26" x14ac:dyDescent="0.25">
      <c r="A971" t="s">
        <v>3700</v>
      </c>
      <c r="B971" t="s">
        <v>3701</v>
      </c>
      <c r="C971" s="4" t="s">
        <v>3695</v>
      </c>
      <c r="D971" t="s">
        <v>1199</v>
      </c>
      <c r="E971" t="s">
        <v>23</v>
      </c>
      <c r="F971" t="s">
        <v>83</v>
      </c>
      <c r="G971" t="s">
        <v>180</v>
      </c>
      <c r="H971" t="s">
        <v>83</v>
      </c>
      <c r="I971" t="s">
        <v>102</v>
      </c>
      <c r="J971" t="s">
        <v>17</v>
      </c>
      <c r="K971" t="s">
        <v>3491</v>
      </c>
      <c r="L971" t="s">
        <v>89</v>
      </c>
      <c r="M971" t="s">
        <v>318</v>
      </c>
      <c r="N971" t="s">
        <v>493</v>
      </c>
      <c r="O971" t="s">
        <v>3702</v>
      </c>
      <c r="P971" t="s">
        <v>3703</v>
      </c>
      <c r="Q971" t="s">
        <v>102</v>
      </c>
      <c r="R971" t="s">
        <v>86</v>
      </c>
      <c r="S971" t="s">
        <v>3494</v>
      </c>
      <c r="T971" t="s">
        <v>3701</v>
      </c>
      <c r="U971" t="s">
        <v>322</v>
      </c>
      <c r="V971" t="s">
        <v>82</v>
      </c>
      <c r="W971" t="s">
        <v>1523</v>
      </c>
      <c r="X971" t="s">
        <v>96</v>
      </c>
      <c r="Y971" t="s">
        <v>82</v>
      </c>
      <c r="Z971" t="s">
        <v>78</v>
      </c>
    </row>
    <row r="972" spans="1:26" x14ac:dyDescent="0.25">
      <c r="A972" t="s">
        <v>3489</v>
      </c>
      <c r="B972" t="s">
        <v>3704</v>
      </c>
      <c r="C972" s="4" t="s">
        <v>3695</v>
      </c>
      <c r="D972" t="s">
        <v>1199</v>
      </c>
      <c r="E972" t="s">
        <v>23</v>
      </c>
      <c r="F972" t="s">
        <v>83</v>
      </c>
      <c r="G972" t="s">
        <v>180</v>
      </c>
      <c r="H972" t="s">
        <v>83</v>
      </c>
      <c r="I972" t="s">
        <v>102</v>
      </c>
      <c r="J972" t="s">
        <v>24</v>
      </c>
      <c r="K972" t="s">
        <v>3491</v>
      </c>
      <c r="L972" t="s">
        <v>89</v>
      </c>
      <c r="M972" t="s">
        <v>318</v>
      </c>
      <c r="N972" t="s">
        <v>493</v>
      </c>
      <c r="O972" t="s">
        <v>3705</v>
      </c>
      <c r="P972" t="s">
        <v>3706</v>
      </c>
      <c r="Q972" t="s">
        <v>102</v>
      </c>
      <c r="R972" t="s">
        <v>86</v>
      </c>
      <c r="S972" t="s">
        <v>3494</v>
      </c>
      <c r="T972" t="s">
        <v>3704</v>
      </c>
      <c r="U972" t="s">
        <v>322</v>
      </c>
      <c r="V972" t="s">
        <v>82</v>
      </c>
      <c r="W972" t="s">
        <v>1523</v>
      </c>
      <c r="X972" t="s">
        <v>96</v>
      </c>
      <c r="Y972" t="s">
        <v>82</v>
      </c>
      <c r="Z972" t="s">
        <v>78</v>
      </c>
    </row>
    <row r="973" spans="1:26" x14ac:dyDescent="0.25">
      <c r="A973" t="s">
        <v>3707</v>
      </c>
      <c r="B973" t="s">
        <v>3708</v>
      </c>
      <c r="C973" s="4" t="s">
        <v>3695</v>
      </c>
      <c r="D973" t="s">
        <v>1199</v>
      </c>
      <c r="E973" t="s">
        <v>14</v>
      </c>
      <c r="F973" t="s">
        <v>85</v>
      </c>
      <c r="G973" t="s">
        <v>111</v>
      </c>
      <c r="H973" t="s">
        <v>78</v>
      </c>
      <c r="I973" t="s">
        <v>102</v>
      </c>
      <c r="J973" t="s">
        <v>24</v>
      </c>
      <c r="K973" t="s">
        <v>3636</v>
      </c>
      <c r="L973" t="s">
        <v>89</v>
      </c>
      <c r="M973" t="s">
        <v>318</v>
      </c>
      <c r="N973" t="s">
        <v>3637</v>
      </c>
      <c r="O973" t="s">
        <v>3709</v>
      </c>
      <c r="P973" t="s">
        <v>3709</v>
      </c>
      <c r="Q973" t="s">
        <v>102</v>
      </c>
      <c r="R973" t="s">
        <v>86</v>
      </c>
      <c r="S973" t="s">
        <v>3639</v>
      </c>
      <c r="T973" t="s">
        <v>3708</v>
      </c>
      <c r="U973" t="s">
        <v>322</v>
      </c>
      <c r="V973" t="s">
        <v>82</v>
      </c>
      <c r="W973" t="s">
        <v>3640</v>
      </c>
      <c r="X973" t="s">
        <v>96</v>
      </c>
      <c r="Y973" t="s">
        <v>82</v>
      </c>
      <c r="Z973" t="s">
        <v>78</v>
      </c>
    </row>
    <row r="974" spans="1:26" x14ac:dyDescent="0.25">
      <c r="A974" t="s">
        <v>3710</v>
      </c>
      <c r="B974" t="s">
        <v>3711</v>
      </c>
      <c r="C974" s="4" t="s">
        <v>3695</v>
      </c>
      <c r="D974" t="s">
        <v>1199</v>
      </c>
      <c r="E974" t="s">
        <v>14</v>
      </c>
      <c r="F974" t="s">
        <v>85</v>
      </c>
      <c r="G974" t="s">
        <v>111</v>
      </c>
      <c r="H974" t="s">
        <v>78</v>
      </c>
      <c r="I974" t="s">
        <v>102</v>
      </c>
      <c r="J974" t="s">
        <v>18</v>
      </c>
      <c r="K974" t="s">
        <v>3636</v>
      </c>
      <c r="L974" t="s">
        <v>89</v>
      </c>
      <c r="M974" t="s">
        <v>318</v>
      </c>
      <c r="N974" t="s">
        <v>3637</v>
      </c>
      <c r="O974" t="s">
        <v>3709</v>
      </c>
      <c r="P974" t="s">
        <v>3709</v>
      </c>
      <c r="Q974" t="s">
        <v>102</v>
      </c>
      <c r="R974" t="s">
        <v>86</v>
      </c>
      <c r="S974" t="s">
        <v>3639</v>
      </c>
      <c r="T974" t="s">
        <v>3711</v>
      </c>
      <c r="U974" t="s">
        <v>322</v>
      </c>
      <c r="V974" t="s">
        <v>82</v>
      </c>
      <c r="W974" t="s">
        <v>3640</v>
      </c>
      <c r="X974" t="s">
        <v>96</v>
      </c>
      <c r="Y974" t="s">
        <v>82</v>
      </c>
      <c r="Z974" t="s">
        <v>78</v>
      </c>
    </row>
    <row r="975" spans="1:26" x14ac:dyDescent="0.25">
      <c r="A975" t="s">
        <v>3712</v>
      </c>
      <c r="B975" t="s">
        <v>3713</v>
      </c>
      <c r="C975" s="4" t="s">
        <v>3695</v>
      </c>
      <c r="D975" t="s">
        <v>1199</v>
      </c>
      <c r="E975" t="s">
        <v>14</v>
      </c>
      <c r="F975" t="s">
        <v>85</v>
      </c>
      <c r="G975" t="s">
        <v>111</v>
      </c>
      <c r="H975" t="s">
        <v>78</v>
      </c>
      <c r="I975" t="s">
        <v>102</v>
      </c>
      <c r="J975" t="s">
        <v>15</v>
      </c>
      <c r="K975" t="s">
        <v>3636</v>
      </c>
      <c r="L975" t="s">
        <v>89</v>
      </c>
      <c r="M975" t="s">
        <v>318</v>
      </c>
      <c r="N975" t="s">
        <v>3637</v>
      </c>
      <c r="O975" t="s">
        <v>3714</v>
      </c>
      <c r="P975" t="s">
        <v>3714</v>
      </c>
      <c r="Q975" t="s">
        <v>102</v>
      </c>
      <c r="R975" t="s">
        <v>86</v>
      </c>
      <c r="S975" t="s">
        <v>3639</v>
      </c>
      <c r="T975" t="s">
        <v>3713</v>
      </c>
      <c r="U975" t="s">
        <v>322</v>
      </c>
      <c r="V975" t="s">
        <v>82</v>
      </c>
      <c r="W975" t="s">
        <v>3640</v>
      </c>
      <c r="X975" t="s">
        <v>96</v>
      </c>
      <c r="Y975" t="s">
        <v>82</v>
      </c>
      <c r="Z975" t="s">
        <v>78</v>
      </c>
    </row>
    <row r="976" spans="1:26" x14ac:dyDescent="0.25">
      <c r="A976" t="s">
        <v>3715</v>
      </c>
      <c r="B976" t="s">
        <v>3716</v>
      </c>
      <c r="C976" s="4" t="s">
        <v>3695</v>
      </c>
      <c r="D976" t="s">
        <v>1199</v>
      </c>
      <c r="E976" t="s">
        <v>14</v>
      </c>
      <c r="F976" t="s">
        <v>85</v>
      </c>
      <c r="G976" t="s">
        <v>111</v>
      </c>
      <c r="H976" t="s">
        <v>78</v>
      </c>
      <c r="I976" t="s">
        <v>102</v>
      </c>
      <c r="J976" t="s">
        <v>17</v>
      </c>
      <c r="K976" t="s">
        <v>3636</v>
      </c>
      <c r="L976" t="s">
        <v>89</v>
      </c>
      <c r="M976" t="s">
        <v>318</v>
      </c>
      <c r="N976" t="s">
        <v>3637</v>
      </c>
      <c r="O976" t="s">
        <v>3717</v>
      </c>
      <c r="P976" t="s">
        <v>3717</v>
      </c>
      <c r="Q976" t="s">
        <v>102</v>
      </c>
      <c r="R976" t="s">
        <v>86</v>
      </c>
      <c r="S976" t="s">
        <v>3639</v>
      </c>
      <c r="T976" t="s">
        <v>3716</v>
      </c>
      <c r="U976" t="s">
        <v>322</v>
      </c>
      <c r="V976" t="s">
        <v>82</v>
      </c>
      <c r="W976" t="s">
        <v>3640</v>
      </c>
      <c r="X976" t="s">
        <v>96</v>
      </c>
      <c r="Y976" t="s">
        <v>82</v>
      </c>
      <c r="Z976" t="s">
        <v>78</v>
      </c>
    </row>
    <row r="977" spans="1:26" x14ac:dyDescent="0.25">
      <c r="A977" t="s">
        <v>3718</v>
      </c>
      <c r="B977" t="s">
        <v>3719</v>
      </c>
      <c r="C977" s="4" t="s">
        <v>3695</v>
      </c>
      <c r="D977" t="s">
        <v>1199</v>
      </c>
      <c r="E977" t="s">
        <v>14</v>
      </c>
      <c r="F977" t="s">
        <v>83</v>
      </c>
      <c r="G977" t="s">
        <v>84</v>
      </c>
      <c r="H977" t="s">
        <v>78</v>
      </c>
      <c r="I977" t="s">
        <v>111</v>
      </c>
      <c r="J977" t="s">
        <v>17</v>
      </c>
      <c r="K977" t="s">
        <v>3052</v>
      </c>
      <c r="L977" t="s">
        <v>89</v>
      </c>
      <c r="M977" t="s">
        <v>318</v>
      </c>
      <c r="N977" t="s">
        <v>1251</v>
      </c>
      <c r="O977" t="s">
        <v>3720</v>
      </c>
      <c r="P977" t="s">
        <v>3720</v>
      </c>
      <c r="Q977" t="s">
        <v>102</v>
      </c>
      <c r="R977" t="s">
        <v>86</v>
      </c>
      <c r="S977" t="s">
        <v>3054</v>
      </c>
      <c r="T977" t="s">
        <v>3719</v>
      </c>
      <c r="U977" t="s">
        <v>322</v>
      </c>
      <c r="V977" t="s">
        <v>82</v>
      </c>
      <c r="W977" t="s">
        <v>3679</v>
      </c>
      <c r="X977" t="s">
        <v>96</v>
      </c>
      <c r="Y977" t="s">
        <v>82</v>
      </c>
      <c r="Z977" t="s">
        <v>78</v>
      </c>
    </row>
    <row r="978" spans="1:26" x14ac:dyDescent="0.25">
      <c r="A978" t="s">
        <v>3721</v>
      </c>
      <c r="B978" t="s">
        <v>3722</v>
      </c>
      <c r="C978" s="4" t="s">
        <v>3695</v>
      </c>
      <c r="D978" t="s">
        <v>1199</v>
      </c>
      <c r="E978" t="s">
        <v>14</v>
      </c>
      <c r="F978" t="s">
        <v>83</v>
      </c>
      <c r="G978" t="s">
        <v>84</v>
      </c>
      <c r="H978" t="s">
        <v>78</v>
      </c>
      <c r="I978" t="s">
        <v>111</v>
      </c>
      <c r="J978" t="s">
        <v>18</v>
      </c>
      <c r="K978" t="s">
        <v>3052</v>
      </c>
      <c r="L978" t="s">
        <v>89</v>
      </c>
      <c r="M978" t="s">
        <v>318</v>
      </c>
      <c r="N978" t="s">
        <v>1251</v>
      </c>
      <c r="O978" t="s">
        <v>3723</v>
      </c>
      <c r="P978" t="s">
        <v>3723</v>
      </c>
      <c r="Q978" t="s">
        <v>102</v>
      </c>
      <c r="R978" t="s">
        <v>86</v>
      </c>
      <c r="S978" t="s">
        <v>3054</v>
      </c>
      <c r="T978" t="s">
        <v>3722</v>
      </c>
      <c r="U978" t="s">
        <v>322</v>
      </c>
      <c r="V978" t="s">
        <v>82</v>
      </c>
      <c r="W978" t="s">
        <v>3679</v>
      </c>
      <c r="X978" t="s">
        <v>96</v>
      </c>
      <c r="Y978" t="s">
        <v>82</v>
      </c>
      <c r="Z978" t="s">
        <v>78</v>
      </c>
    </row>
    <row r="979" spans="1:26" x14ac:dyDescent="0.25">
      <c r="A979" t="s">
        <v>3724</v>
      </c>
      <c r="B979" t="s">
        <v>3725</v>
      </c>
      <c r="C979" s="4" t="s">
        <v>3695</v>
      </c>
      <c r="D979" t="s">
        <v>1199</v>
      </c>
      <c r="E979" t="s">
        <v>14</v>
      </c>
      <c r="F979" t="s">
        <v>83</v>
      </c>
      <c r="G979" t="s">
        <v>84</v>
      </c>
      <c r="H979" t="s">
        <v>78</v>
      </c>
      <c r="I979" t="s">
        <v>111</v>
      </c>
      <c r="J979" t="s">
        <v>15</v>
      </c>
      <c r="K979" t="s">
        <v>3052</v>
      </c>
      <c r="L979" t="s">
        <v>89</v>
      </c>
      <c r="M979" t="s">
        <v>318</v>
      </c>
      <c r="N979" t="s">
        <v>1251</v>
      </c>
      <c r="O979" t="s">
        <v>3726</v>
      </c>
      <c r="P979" t="s">
        <v>3726</v>
      </c>
      <c r="Q979" t="s">
        <v>102</v>
      </c>
      <c r="R979" t="s">
        <v>86</v>
      </c>
      <c r="S979" t="s">
        <v>3054</v>
      </c>
      <c r="T979" t="s">
        <v>3725</v>
      </c>
      <c r="U979" t="s">
        <v>322</v>
      </c>
      <c r="V979" t="s">
        <v>82</v>
      </c>
      <c r="W979" t="s">
        <v>3679</v>
      </c>
      <c r="X979" t="s">
        <v>96</v>
      </c>
      <c r="Y979" t="s">
        <v>82</v>
      </c>
      <c r="Z979" t="s">
        <v>78</v>
      </c>
    </row>
    <row r="980" spans="1:26" x14ac:dyDescent="0.25">
      <c r="A980" t="s">
        <v>1369</v>
      </c>
      <c r="B980" t="s">
        <v>3727</v>
      </c>
      <c r="C980" s="4" t="s">
        <v>3695</v>
      </c>
      <c r="D980" t="s">
        <v>1199</v>
      </c>
      <c r="E980" t="s">
        <v>14</v>
      </c>
      <c r="F980" t="s">
        <v>83</v>
      </c>
      <c r="G980" t="s">
        <v>84</v>
      </c>
      <c r="H980" t="s">
        <v>78</v>
      </c>
      <c r="I980" t="s">
        <v>111</v>
      </c>
      <c r="J980" t="s">
        <v>24</v>
      </c>
      <c r="K980" t="s">
        <v>3052</v>
      </c>
      <c r="L980" t="s">
        <v>89</v>
      </c>
      <c r="M980" t="s">
        <v>318</v>
      </c>
      <c r="N980" t="s">
        <v>1251</v>
      </c>
      <c r="O980" t="s">
        <v>3726</v>
      </c>
      <c r="P980" t="s">
        <v>3726</v>
      </c>
      <c r="Q980" t="s">
        <v>102</v>
      </c>
      <c r="R980" t="s">
        <v>86</v>
      </c>
      <c r="S980" t="s">
        <v>3054</v>
      </c>
      <c r="T980" t="s">
        <v>3727</v>
      </c>
      <c r="U980" t="s">
        <v>322</v>
      </c>
      <c r="V980" t="s">
        <v>82</v>
      </c>
      <c r="W980" t="s">
        <v>3679</v>
      </c>
      <c r="X980" t="s">
        <v>96</v>
      </c>
      <c r="Y980" t="s">
        <v>82</v>
      </c>
      <c r="Z980" t="s">
        <v>78</v>
      </c>
    </row>
    <row r="981" spans="1:26" x14ac:dyDescent="0.25">
      <c r="A981" t="s">
        <v>3728</v>
      </c>
      <c r="B981" t="s">
        <v>3729</v>
      </c>
      <c r="C981" s="4" t="s">
        <v>3730</v>
      </c>
      <c r="D981" t="s">
        <v>3731</v>
      </c>
      <c r="E981" t="s">
        <v>14</v>
      </c>
      <c r="F981" t="s">
        <v>85</v>
      </c>
      <c r="G981" t="s">
        <v>111</v>
      </c>
      <c r="H981" t="s">
        <v>78</v>
      </c>
      <c r="I981" t="s">
        <v>102</v>
      </c>
      <c r="J981" t="s">
        <v>15</v>
      </c>
      <c r="K981" t="s">
        <v>3636</v>
      </c>
      <c r="L981" t="s">
        <v>89</v>
      </c>
      <c r="M981" t="s">
        <v>318</v>
      </c>
      <c r="N981" t="s">
        <v>3637</v>
      </c>
      <c r="O981" t="s">
        <v>3732</v>
      </c>
      <c r="P981" t="s">
        <v>3732</v>
      </c>
      <c r="Q981" t="s">
        <v>102</v>
      </c>
      <c r="R981" t="s">
        <v>102</v>
      </c>
      <c r="S981" t="s">
        <v>3639</v>
      </c>
      <c r="T981" t="s">
        <v>3729</v>
      </c>
      <c r="U981" t="s">
        <v>322</v>
      </c>
      <c r="V981" t="s">
        <v>82</v>
      </c>
      <c r="W981" t="s">
        <v>3640</v>
      </c>
      <c r="X981" t="s">
        <v>96</v>
      </c>
      <c r="Y981" t="s">
        <v>82</v>
      </c>
      <c r="Z981" t="s">
        <v>78</v>
      </c>
    </row>
    <row r="982" spans="1:26" x14ac:dyDescent="0.25">
      <c r="A982" t="s">
        <v>3733</v>
      </c>
      <c r="B982" t="s">
        <v>3734</v>
      </c>
      <c r="C982" s="4" t="s">
        <v>3730</v>
      </c>
      <c r="D982" t="s">
        <v>3731</v>
      </c>
      <c r="E982" t="s">
        <v>14</v>
      </c>
      <c r="F982" t="s">
        <v>85</v>
      </c>
      <c r="G982" t="s">
        <v>111</v>
      </c>
      <c r="H982" t="s">
        <v>78</v>
      </c>
      <c r="I982" t="s">
        <v>102</v>
      </c>
      <c r="J982" t="s">
        <v>20</v>
      </c>
      <c r="K982" t="s">
        <v>3636</v>
      </c>
      <c r="L982" t="s">
        <v>89</v>
      </c>
      <c r="M982" t="s">
        <v>318</v>
      </c>
      <c r="N982" t="s">
        <v>3637</v>
      </c>
      <c r="O982" t="s">
        <v>3735</v>
      </c>
      <c r="P982" t="s">
        <v>3735</v>
      </c>
      <c r="Q982" t="s">
        <v>102</v>
      </c>
      <c r="R982" t="s">
        <v>102</v>
      </c>
      <c r="S982" t="s">
        <v>3639</v>
      </c>
      <c r="T982" t="s">
        <v>3734</v>
      </c>
      <c r="U982" t="s">
        <v>322</v>
      </c>
      <c r="V982" t="s">
        <v>82</v>
      </c>
      <c r="W982" t="s">
        <v>3640</v>
      </c>
      <c r="X982" t="s">
        <v>96</v>
      </c>
      <c r="Y982" t="s">
        <v>82</v>
      </c>
      <c r="Z982" t="s">
        <v>78</v>
      </c>
    </row>
    <row r="983" spans="1:26" x14ac:dyDescent="0.25">
      <c r="A983" t="s">
        <v>3736</v>
      </c>
      <c r="B983" t="s">
        <v>3737</v>
      </c>
      <c r="C983" s="4" t="s">
        <v>3730</v>
      </c>
      <c r="D983" t="s">
        <v>3731</v>
      </c>
      <c r="E983" t="s">
        <v>14</v>
      </c>
      <c r="F983" t="s">
        <v>83</v>
      </c>
      <c r="G983" t="s">
        <v>84</v>
      </c>
      <c r="H983" t="s">
        <v>78</v>
      </c>
      <c r="I983" t="s">
        <v>111</v>
      </c>
      <c r="J983" t="s">
        <v>20</v>
      </c>
      <c r="K983" t="s">
        <v>492</v>
      </c>
      <c r="L983" t="s">
        <v>89</v>
      </c>
      <c r="M983" t="s">
        <v>318</v>
      </c>
      <c r="N983" t="s">
        <v>3738</v>
      </c>
      <c r="O983" t="s">
        <v>3739</v>
      </c>
      <c r="P983" t="s">
        <v>3739</v>
      </c>
      <c r="Q983" t="s">
        <v>102</v>
      </c>
      <c r="R983" t="s">
        <v>102</v>
      </c>
      <c r="S983" t="s">
        <v>3740</v>
      </c>
      <c r="T983" t="s">
        <v>3737</v>
      </c>
      <c r="U983" t="s">
        <v>322</v>
      </c>
      <c r="V983" t="s">
        <v>82</v>
      </c>
      <c r="W983" t="s">
        <v>3741</v>
      </c>
      <c r="X983" t="s">
        <v>96</v>
      </c>
      <c r="Y983" t="s">
        <v>82</v>
      </c>
      <c r="Z983" t="s">
        <v>78</v>
      </c>
    </row>
    <row r="984" spans="1:26" x14ac:dyDescent="0.25">
      <c r="A984" t="s">
        <v>3283</v>
      </c>
      <c r="B984" t="s">
        <v>3742</v>
      </c>
      <c r="C984" s="4" t="s">
        <v>3730</v>
      </c>
      <c r="D984" t="s">
        <v>3731</v>
      </c>
      <c r="E984" t="s">
        <v>14</v>
      </c>
      <c r="F984" t="s">
        <v>83</v>
      </c>
      <c r="G984" t="s">
        <v>84</v>
      </c>
      <c r="H984" t="s">
        <v>78</v>
      </c>
      <c r="I984" t="s">
        <v>111</v>
      </c>
      <c r="J984" t="s">
        <v>15</v>
      </c>
      <c r="K984" t="s">
        <v>492</v>
      </c>
      <c r="L984" t="s">
        <v>89</v>
      </c>
      <c r="M984" t="s">
        <v>318</v>
      </c>
      <c r="N984" t="s">
        <v>3738</v>
      </c>
      <c r="O984" t="s">
        <v>3739</v>
      </c>
      <c r="P984" t="s">
        <v>3739</v>
      </c>
      <c r="Q984" t="s">
        <v>102</v>
      </c>
      <c r="R984" t="s">
        <v>102</v>
      </c>
      <c r="S984" t="s">
        <v>3740</v>
      </c>
      <c r="T984" t="s">
        <v>3742</v>
      </c>
      <c r="U984" t="s">
        <v>322</v>
      </c>
      <c r="V984" t="s">
        <v>82</v>
      </c>
      <c r="W984" t="s">
        <v>3741</v>
      </c>
      <c r="X984" t="s">
        <v>96</v>
      </c>
      <c r="Y984" t="s">
        <v>82</v>
      </c>
      <c r="Z984" t="s">
        <v>78</v>
      </c>
    </row>
    <row r="985" spans="1:26" x14ac:dyDescent="0.25">
      <c r="A985" t="s">
        <v>3743</v>
      </c>
      <c r="B985" t="s">
        <v>3744</v>
      </c>
      <c r="C985" s="4" t="s">
        <v>3730</v>
      </c>
      <c r="D985" t="s">
        <v>3731</v>
      </c>
      <c r="E985" t="s">
        <v>14</v>
      </c>
      <c r="F985" t="s">
        <v>134</v>
      </c>
      <c r="G985" t="s">
        <v>149</v>
      </c>
      <c r="H985" t="s">
        <v>78</v>
      </c>
      <c r="I985" t="s">
        <v>111</v>
      </c>
      <c r="J985" t="s">
        <v>15</v>
      </c>
      <c r="K985" t="s">
        <v>1250</v>
      </c>
      <c r="L985" t="s">
        <v>89</v>
      </c>
      <c r="M985" t="s">
        <v>318</v>
      </c>
      <c r="N985" t="s">
        <v>3745</v>
      </c>
      <c r="O985" t="s">
        <v>3746</v>
      </c>
      <c r="P985" t="s">
        <v>3746</v>
      </c>
      <c r="Q985" t="s">
        <v>102</v>
      </c>
      <c r="R985" t="s">
        <v>102</v>
      </c>
      <c r="S985" t="s">
        <v>3747</v>
      </c>
      <c r="T985" t="s">
        <v>3744</v>
      </c>
      <c r="U985" t="s">
        <v>322</v>
      </c>
      <c r="V985" t="s">
        <v>82</v>
      </c>
      <c r="W985" t="s">
        <v>3748</v>
      </c>
      <c r="X985" t="s">
        <v>96</v>
      </c>
      <c r="Y985" t="s">
        <v>82</v>
      </c>
      <c r="Z985" t="s">
        <v>78</v>
      </c>
    </row>
    <row r="986" spans="1:26" x14ac:dyDescent="0.25">
      <c r="A986" t="s">
        <v>3749</v>
      </c>
      <c r="B986" t="s">
        <v>3750</v>
      </c>
      <c r="C986" s="4" t="s">
        <v>3730</v>
      </c>
      <c r="D986" t="s">
        <v>3731</v>
      </c>
      <c r="E986" t="s">
        <v>14</v>
      </c>
      <c r="F986" t="s">
        <v>134</v>
      </c>
      <c r="G986" t="s">
        <v>149</v>
      </c>
      <c r="H986" t="s">
        <v>78</v>
      </c>
      <c r="I986" t="s">
        <v>111</v>
      </c>
      <c r="J986" t="s">
        <v>20</v>
      </c>
      <c r="K986" t="s">
        <v>1250</v>
      </c>
      <c r="L986" t="s">
        <v>89</v>
      </c>
      <c r="M986" t="s">
        <v>318</v>
      </c>
      <c r="N986" t="s">
        <v>3745</v>
      </c>
      <c r="O986" t="s">
        <v>3751</v>
      </c>
      <c r="P986" t="s">
        <v>3751</v>
      </c>
      <c r="Q986" t="s">
        <v>102</v>
      </c>
      <c r="R986" t="s">
        <v>102</v>
      </c>
      <c r="S986" t="s">
        <v>3747</v>
      </c>
      <c r="T986" t="s">
        <v>3750</v>
      </c>
      <c r="U986" t="s">
        <v>322</v>
      </c>
      <c r="V986" t="s">
        <v>82</v>
      </c>
      <c r="W986" t="s">
        <v>3748</v>
      </c>
      <c r="X986" t="s">
        <v>96</v>
      </c>
      <c r="Y986" t="s">
        <v>82</v>
      </c>
      <c r="Z986" t="s">
        <v>78</v>
      </c>
    </row>
    <row r="987" spans="1:26" x14ac:dyDescent="0.25">
      <c r="A987" t="s">
        <v>3752</v>
      </c>
      <c r="B987" t="s">
        <v>3753</v>
      </c>
      <c r="C987" s="4" t="s">
        <v>1121</v>
      </c>
      <c r="D987" t="s">
        <v>3754</v>
      </c>
      <c r="E987" t="s">
        <v>14</v>
      </c>
      <c r="F987" t="s">
        <v>78</v>
      </c>
      <c r="G987" t="s">
        <v>111</v>
      </c>
      <c r="H987" t="s">
        <v>78</v>
      </c>
      <c r="I987" t="s">
        <v>111</v>
      </c>
      <c r="J987" t="s">
        <v>15</v>
      </c>
      <c r="K987" t="s">
        <v>676</v>
      </c>
      <c r="L987" t="s">
        <v>89</v>
      </c>
      <c r="M987" t="s">
        <v>318</v>
      </c>
      <c r="N987" t="s">
        <v>420</v>
      </c>
      <c r="O987" t="s">
        <v>3755</v>
      </c>
      <c r="P987" t="s">
        <v>3755</v>
      </c>
      <c r="Q987" t="s">
        <v>102</v>
      </c>
      <c r="R987" t="s">
        <v>149</v>
      </c>
      <c r="S987" t="s">
        <v>3756</v>
      </c>
      <c r="T987" t="s">
        <v>3753</v>
      </c>
      <c r="U987" t="s">
        <v>322</v>
      </c>
      <c r="V987" t="s">
        <v>82</v>
      </c>
      <c r="W987" t="s">
        <v>96</v>
      </c>
      <c r="X987" t="s">
        <v>96</v>
      </c>
      <c r="Y987" t="s">
        <v>82</v>
      </c>
      <c r="Z987" t="s">
        <v>85</v>
      </c>
    </row>
    <row r="988" spans="1:26" x14ac:dyDescent="0.25">
      <c r="A988" t="s">
        <v>3757</v>
      </c>
      <c r="B988" t="s">
        <v>3758</v>
      </c>
      <c r="C988" s="4" t="s">
        <v>3759</v>
      </c>
      <c r="D988" t="s">
        <v>3760</v>
      </c>
      <c r="E988" t="s">
        <v>14</v>
      </c>
      <c r="F988" t="s">
        <v>83</v>
      </c>
      <c r="G988" t="s">
        <v>105</v>
      </c>
      <c r="H988" t="s">
        <v>78</v>
      </c>
      <c r="I988" t="s">
        <v>102</v>
      </c>
      <c r="J988" t="s">
        <v>1002</v>
      </c>
      <c r="K988" t="s">
        <v>588</v>
      </c>
      <c r="L988" t="s">
        <v>89</v>
      </c>
      <c r="M988" t="s">
        <v>318</v>
      </c>
      <c r="N988" t="s">
        <v>347</v>
      </c>
      <c r="O988" t="s">
        <v>3761</v>
      </c>
      <c r="P988" t="s">
        <v>3761</v>
      </c>
      <c r="Q988" t="s">
        <v>102</v>
      </c>
      <c r="R988" t="s">
        <v>83</v>
      </c>
      <c r="S988" t="s">
        <v>2061</v>
      </c>
      <c r="T988" t="s">
        <v>3758</v>
      </c>
      <c r="U988" t="s">
        <v>322</v>
      </c>
      <c r="V988" t="s">
        <v>82</v>
      </c>
      <c r="W988" t="s">
        <v>2400</v>
      </c>
      <c r="X988" t="s">
        <v>96</v>
      </c>
      <c r="Y988" t="s">
        <v>82</v>
      </c>
      <c r="Z988" t="s">
        <v>134</v>
      </c>
    </row>
    <row r="989" spans="1:26" x14ac:dyDescent="0.25">
      <c r="A989" t="s">
        <v>3762</v>
      </c>
      <c r="B989" t="s">
        <v>3763</v>
      </c>
      <c r="C989" s="4" t="s">
        <v>3764</v>
      </c>
      <c r="D989" t="s">
        <v>381</v>
      </c>
      <c r="E989" t="s">
        <v>14</v>
      </c>
      <c r="F989" t="s">
        <v>78</v>
      </c>
      <c r="G989" t="s">
        <v>102</v>
      </c>
      <c r="H989" t="s">
        <v>78</v>
      </c>
      <c r="I989" t="s">
        <v>102</v>
      </c>
      <c r="J989" t="s">
        <v>18</v>
      </c>
      <c r="K989" t="s">
        <v>3765</v>
      </c>
      <c r="L989" t="s">
        <v>89</v>
      </c>
      <c r="M989" t="s">
        <v>318</v>
      </c>
      <c r="N989" t="s">
        <v>1314</v>
      </c>
      <c r="O989" t="s">
        <v>3766</v>
      </c>
      <c r="P989" t="s">
        <v>3766</v>
      </c>
      <c r="Q989" t="s">
        <v>102</v>
      </c>
      <c r="R989" t="s">
        <v>86</v>
      </c>
      <c r="S989" t="s">
        <v>3767</v>
      </c>
      <c r="T989" t="s">
        <v>3763</v>
      </c>
      <c r="U989" t="s">
        <v>322</v>
      </c>
      <c r="V989" t="s">
        <v>82</v>
      </c>
      <c r="W989" t="s">
        <v>3768</v>
      </c>
      <c r="X989" t="s">
        <v>96</v>
      </c>
      <c r="Y989" t="s">
        <v>82</v>
      </c>
      <c r="Z989" t="s">
        <v>78</v>
      </c>
    </row>
    <row r="990" spans="1:26" x14ac:dyDescent="0.25">
      <c r="A990" t="s">
        <v>3769</v>
      </c>
      <c r="B990" t="s">
        <v>3770</v>
      </c>
      <c r="C990" s="4" t="s">
        <v>3764</v>
      </c>
      <c r="D990" t="s">
        <v>381</v>
      </c>
      <c r="E990" t="s">
        <v>14</v>
      </c>
      <c r="F990" t="s">
        <v>78</v>
      </c>
      <c r="G990" t="s">
        <v>102</v>
      </c>
      <c r="H990" t="s">
        <v>78</v>
      </c>
      <c r="I990" t="s">
        <v>102</v>
      </c>
      <c r="J990" t="s">
        <v>15</v>
      </c>
      <c r="K990" t="s">
        <v>3765</v>
      </c>
      <c r="L990" t="s">
        <v>89</v>
      </c>
      <c r="M990" t="s">
        <v>318</v>
      </c>
      <c r="N990" t="s">
        <v>1314</v>
      </c>
      <c r="O990" t="s">
        <v>3771</v>
      </c>
      <c r="P990" t="s">
        <v>3771</v>
      </c>
      <c r="Q990" t="s">
        <v>102</v>
      </c>
      <c r="R990" t="s">
        <v>86</v>
      </c>
      <c r="S990" t="s">
        <v>3767</v>
      </c>
      <c r="T990" t="s">
        <v>3770</v>
      </c>
      <c r="U990" t="s">
        <v>322</v>
      </c>
      <c r="V990" t="s">
        <v>82</v>
      </c>
      <c r="W990" t="s">
        <v>3768</v>
      </c>
      <c r="X990" t="s">
        <v>96</v>
      </c>
      <c r="Y990" t="s">
        <v>82</v>
      </c>
      <c r="Z990" t="s">
        <v>78</v>
      </c>
    </row>
    <row r="991" spans="1:26" x14ac:dyDescent="0.25">
      <c r="A991" t="s">
        <v>3772</v>
      </c>
      <c r="B991" t="s">
        <v>3773</v>
      </c>
      <c r="C991" s="4" t="s">
        <v>3764</v>
      </c>
      <c r="D991" t="s">
        <v>381</v>
      </c>
      <c r="E991" t="s">
        <v>14</v>
      </c>
      <c r="F991" t="s">
        <v>78</v>
      </c>
      <c r="G991" t="s">
        <v>102</v>
      </c>
      <c r="H991" t="s">
        <v>78</v>
      </c>
      <c r="I991" t="s">
        <v>102</v>
      </c>
      <c r="J991" t="s">
        <v>17</v>
      </c>
      <c r="K991" t="s">
        <v>3765</v>
      </c>
      <c r="L991" t="s">
        <v>89</v>
      </c>
      <c r="M991" t="s">
        <v>318</v>
      </c>
      <c r="N991" t="s">
        <v>1314</v>
      </c>
      <c r="O991" t="s">
        <v>3774</v>
      </c>
      <c r="P991" t="s">
        <v>3774</v>
      </c>
      <c r="Q991" t="s">
        <v>102</v>
      </c>
      <c r="R991" t="s">
        <v>86</v>
      </c>
      <c r="S991" t="s">
        <v>3767</v>
      </c>
      <c r="T991" t="s">
        <v>3773</v>
      </c>
      <c r="U991" t="s">
        <v>322</v>
      </c>
      <c r="V991" t="s">
        <v>82</v>
      </c>
      <c r="W991" t="s">
        <v>3768</v>
      </c>
      <c r="X991" t="s">
        <v>96</v>
      </c>
      <c r="Y991" t="s">
        <v>82</v>
      </c>
      <c r="Z991" t="s">
        <v>78</v>
      </c>
    </row>
    <row r="992" spans="1:26" x14ac:dyDescent="0.25">
      <c r="A992" t="s">
        <v>3775</v>
      </c>
      <c r="B992" t="s">
        <v>3776</v>
      </c>
      <c r="C992" s="4" t="s">
        <v>3764</v>
      </c>
      <c r="D992" t="s">
        <v>381</v>
      </c>
      <c r="E992" t="s">
        <v>14</v>
      </c>
      <c r="F992" t="s">
        <v>111</v>
      </c>
      <c r="G992" t="s">
        <v>124</v>
      </c>
      <c r="H992" t="s">
        <v>78</v>
      </c>
      <c r="I992" t="s">
        <v>102</v>
      </c>
      <c r="J992" t="s">
        <v>17</v>
      </c>
      <c r="K992" t="s">
        <v>799</v>
      </c>
      <c r="L992" t="s">
        <v>89</v>
      </c>
      <c r="M992" t="s">
        <v>318</v>
      </c>
      <c r="N992" t="s">
        <v>1432</v>
      </c>
      <c r="O992" t="s">
        <v>3777</v>
      </c>
      <c r="P992" t="s">
        <v>3777</v>
      </c>
      <c r="Q992" t="s">
        <v>102</v>
      </c>
      <c r="R992" t="s">
        <v>86</v>
      </c>
      <c r="S992" t="s">
        <v>802</v>
      </c>
      <c r="T992" t="s">
        <v>3776</v>
      </c>
      <c r="U992" t="s">
        <v>322</v>
      </c>
      <c r="V992" t="s">
        <v>82</v>
      </c>
      <c r="W992" t="s">
        <v>706</v>
      </c>
      <c r="X992" t="s">
        <v>96</v>
      </c>
      <c r="Y992" t="s">
        <v>82</v>
      </c>
      <c r="Z992" t="s">
        <v>78</v>
      </c>
    </row>
    <row r="993" spans="1:26" x14ac:dyDescent="0.25">
      <c r="A993" t="s">
        <v>762</v>
      </c>
      <c r="B993" t="s">
        <v>3778</v>
      </c>
      <c r="C993" s="4" t="s">
        <v>3764</v>
      </c>
      <c r="D993" t="s">
        <v>381</v>
      </c>
      <c r="E993" t="s">
        <v>14</v>
      </c>
      <c r="F993" t="s">
        <v>111</v>
      </c>
      <c r="G993" t="s">
        <v>124</v>
      </c>
      <c r="H993" t="s">
        <v>78</v>
      </c>
      <c r="I993" t="s">
        <v>102</v>
      </c>
      <c r="J993" t="s">
        <v>18</v>
      </c>
      <c r="K993" t="s">
        <v>799</v>
      </c>
      <c r="L993" t="s">
        <v>89</v>
      </c>
      <c r="M993" t="s">
        <v>318</v>
      </c>
      <c r="N993" t="s">
        <v>1432</v>
      </c>
      <c r="O993" t="s">
        <v>3777</v>
      </c>
      <c r="P993" t="s">
        <v>3777</v>
      </c>
      <c r="Q993" t="s">
        <v>102</v>
      </c>
      <c r="R993" t="s">
        <v>86</v>
      </c>
      <c r="S993" t="s">
        <v>802</v>
      </c>
      <c r="T993" t="s">
        <v>3778</v>
      </c>
      <c r="U993" t="s">
        <v>322</v>
      </c>
      <c r="V993" t="s">
        <v>82</v>
      </c>
      <c r="W993" t="s">
        <v>706</v>
      </c>
      <c r="X993" t="s">
        <v>96</v>
      </c>
      <c r="Y993" t="s">
        <v>82</v>
      </c>
      <c r="Z993" t="s">
        <v>78</v>
      </c>
    </row>
    <row r="994" spans="1:26" x14ac:dyDescent="0.25">
      <c r="A994" t="s">
        <v>3779</v>
      </c>
      <c r="B994" t="s">
        <v>3780</v>
      </c>
      <c r="C994" s="4" t="s">
        <v>3764</v>
      </c>
      <c r="D994" t="s">
        <v>381</v>
      </c>
      <c r="E994" t="s">
        <v>14</v>
      </c>
      <c r="F994" t="s">
        <v>111</v>
      </c>
      <c r="G994" t="s">
        <v>124</v>
      </c>
      <c r="H994" t="s">
        <v>78</v>
      </c>
      <c r="I994" t="s">
        <v>102</v>
      </c>
      <c r="J994" t="s">
        <v>15</v>
      </c>
      <c r="K994" t="s">
        <v>799</v>
      </c>
      <c r="L994" t="s">
        <v>89</v>
      </c>
      <c r="M994" t="s">
        <v>318</v>
      </c>
      <c r="N994" t="s">
        <v>1432</v>
      </c>
      <c r="O994" t="s">
        <v>3781</v>
      </c>
      <c r="P994" t="s">
        <v>3781</v>
      </c>
      <c r="Q994" t="s">
        <v>102</v>
      </c>
      <c r="R994" t="s">
        <v>86</v>
      </c>
      <c r="S994" t="s">
        <v>802</v>
      </c>
      <c r="T994" t="s">
        <v>3780</v>
      </c>
      <c r="U994" t="s">
        <v>322</v>
      </c>
      <c r="V994" t="s">
        <v>82</v>
      </c>
      <c r="W994" t="s">
        <v>706</v>
      </c>
      <c r="X994" t="s">
        <v>96</v>
      </c>
      <c r="Y994" t="s">
        <v>82</v>
      </c>
      <c r="Z994" t="s">
        <v>78</v>
      </c>
    </row>
    <row r="995" spans="1:26" x14ac:dyDescent="0.25">
      <c r="A995" t="s">
        <v>3024</v>
      </c>
      <c r="B995" t="s">
        <v>3782</v>
      </c>
      <c r="C995" s="4" t="s">
        <v>3764</v>
      </c>
      <c r="D995" t="s">
        <v>381</v>
      </c>
      <c r="E995" t="s">
        <v>14</v>
      </c>
      <c r="F995" t="s">
        <v>128</v>
      </c>
      <c r="G995" t="s">
        <v>105</v>
      </c>
      <c r="H995" t="s">
        <v>78</v>
      </c>
      <c r="I995" t="s">
        <v>102</v>
      </c>
      <c r="J995" t="s">
        <v>15</v>
      </c>
      <c r="K995" t="s">
        <v>3783</v>
      </c>
      <c r="L995" t="s">
        <v>89</v>
      </c>
      <c r="M995" t="s">
        <v>318</v>
      </c>
      <c r="N995" t="s">
        <v>1340</v>
      </c>
      <c r="O995" t="s">
        <v>3784</v>
      </c>
      <c r="P995" t="s">
        <v>3784</v>
      </c>
      <c r="Q995" t="s">
        <v>102</v>
      </c>
      <c r="R995" t="s">
        <v>86</v>
      </c>
      <c r="S995" t="s">
        <v>3785</v>
      </c>
      <c r="T995" t="s">
        <v>3782</v>
      </c>
      <c r="U995" t="s">
        <v>322</v>
      </c>
      <c r="V995" t="s">
        <v>82</v>
      </c>
      <c r="W995" t="s">
        <v>3786</v>
      </c>
      <c r="X995" t="s">
        <v>96</v>
      </c>
      <c r="Y995" t="s">
        <v>82</v>
      </c>
      <c r="Z995" t="s">
        <v>78</v>
      </c>
    </row>
    <row r="996" spans="1:26" x14ac:dyDescent="0.25">
      <c r="A996" t="s">
        <v>3787</v>
      </c>
      <c r="B996" t="s">
        <v>3788</v>
      </c>
      <c r="C996" s="4" t="s">
        <v>3764</v>
      </c>
      <c r="D996" t="s">
        <v>381</v>
      </c>
      <c r="E996" t="s">
        <v>14</v>
      </c>
      <c r="F996" t="s">
        <v>128</v>
      </c>
      <c r="G996" t="s">
        <v>105</v>
      </c>
      <c r="H996" t="s">
        <v>78</v>
      </c>
      <c r="I996" t="s">
        <v>102</v>
      </c>
      <c r="J996" t="s">
        <v>18</v>
      </c>
      <c r="K996" t="s">
        <v>3783</v>
      </c>
      <c r="L996" t="s">
        <v>89</v>
      </c>
      <c r="M996" t="s">
        <v>318</v>
      </c>
      <c r="N996" t="s">
        <v>1340</v>
      </c>
      <c r="O996" t="s">
        <v>3784</v>
      </c>
      <c r="P996" t="s">
        <v>3784</v>
      </c>
      <c r="Q996" t="s">
        <v>102</v>
      </c>
      <c r="R996" t="s">
        <v>86</v>
      </c>
      <c r="S996" t="s">
        <v>3785</v>
      </c>
      <c r="T996" t="s">
        <v>3788</v>
      </c>
      <c r="U996" t="s">
        <v>322</v>
      </c>
      <c r="V996" t="s">
        <v>82</v>
      </c>
      <c r="W996" t="s">
        <v>3786</v>
      </c>
      <c r="X996" t="s">
        <v>96</v>
      </c>
      <c r="Y996" t="s">
        <v>82</v>
      </c>
      <c r="Z996" t="s">
        <v>78</v>
      </c>
    </row>
    <row r="997" spans="1:26" x14ac:dyDescent="0.25">
      <c r="A997" t="s">
        <v>1900</v>
      </c>
      <c r="B997" t="s">
        <v>3789</v>
      </c>
      <c r="C997" s="4" t="s">
        <v>3764</v>
      </c>
      <c r="D997" t="s">
        <v>381</v>
      </c>
      <c r="E997" t="s">
        <v>14</v>
      </c>
      <c r="F997" t="s">
        <v>128</v>
      </c>
      <c r="G997" t="s">
        <v>105</v>
      </c>
      <c r="H997" t="s">
        <v>78</v>
      </c>
      <c r="I997" t="s">
        <v>102</v>
      </c>
      <c r="J997" t="s">
        <v>17</v>
      </c>
      <c r="K997" t="s">
        <v>3783</v>
      </c>
      <c r="L997" t="s">
        <v>89</v>
      </c>
      <c r="M997" t="s">
        <v>318</v>
      </c>
      <c r="N997" t="s">
        <v>1340</v>
      </c>
      <c r="O997" t="s">
        <v>3790</v>
      </c>
      <c r="P997" t="s">
        <v>3790</v>
      </c>
      <c r="Q997" t="s">
        <v>102</v>
      </c>
      <c r="R997" t="s">
        <v>86</v>
      </c>
      <c r="S997" t="s">
        <v>3785</v>
      </c>
      <c r="T997" t="s">
        <v>3789</v>
      </c>
      <c r="U997" t="s">
        <v>322</v>
      </c>
      <c r="V997" t="s">
        <v>82</v>
      </c>
      <c r="W997" t="s">
        <v>3786</v>
      </c>
      <c r="X997" t="s">
        <v>96</v>
      </c>
      <c r="Y997" t="s">
        <v>82</v>
      </c>
      <c r="Z997" t="s">
        <v>78</v>
      </c>
    </row>
    <row r="998" spans="1:26" x14ac:dyDescent="0.25">
      <c r="A998" t="s">
        <v>3791</v>
      </c>
      <c r="B998" t="s">
        <v>3792</v>
      </c>
      <c r="C998" s="4" t="s">
        <v>3764</v>
      </c>
      <c r="D998" t="s">
        <v>381</v>
      </c>
      <c r="E998" t="s">
        <v>14</v>
      </c>
      <c r="F998" t="s">
        <v>143</v>
      </c>
      <c r="G998" t="s">
        <v>106</v>
      </c>
      <c r="H998" t="s">
        <v>78</v>
      </c>
      <c r="I998" t="s">
        <v>102</v>
      </c>
      <c r="J998" t="s">
        <v>17</v>
      </c>
      <c r="K998" t="s">
        <v>3533</v>
      </c>
      <c r="L998" t="s">
        <v>89</v>
      </c>
      <c r="M998" t="s">
        <v>318</v>
      </c>
      <c r="N998" t="s">
        <v>1358</v>
      </c>
      <c r="O998" t="s">
        <v>3793</v>
      </c>
      <c r="P998" t="s">
        <v>3793</v>
      </c>
      <c r="Q998" t="s">
        <v>102</v>
      </c>
      <c r="R998" t="s">
        <v>86</v>
      </c>
      <c r="S998" t="s">
        <v>3535</v>
      </c>
      <c r="T998" t="s">
        <v>3792</v>
      </c>
      <c r="U998" t="s">
        <v>322</v>
      </c>
      <c r="V998" t="s">
        <v>82</v>
      </c>
      <c r="W998" t="s">
        <v>1523</v>
      </c>
      <c r="X998" t="s">
        <v>96</v>
      </c>
      <c r="Y998" t="s">
        <v>82</v>
      </c>
      <c r="Z998" t="s">
        <v>78</v>
      </c>
    </row>
    <row r="999" spans="1:26" x14ac:dyDescent="0.25">
      <c r="A999" t="s">
        <v>3794</v>
      </c>
      <c r="B999" t="s">
        <v>3795</v>
      </c>
      <c r="C999" s="4" t="s">
        <v>3764</v>
      </c>
      <c r="D999" t="s">
        <v>381</v>
      </c>
      <c r="E999" t="s">
        <v>14</v>
      </c>
      <c r="F999" t="s">
        <v>143</v>
      </c>
      <c r="G999" t="s">
        <v>106</v>
      </c>
      <c r="H999" t="s">
        <v>78</v>
      </c>
      <c r="I999" t="s">
        <v>102</v>
      </c>
      <c r="J999" t="s">
        <v>18</v>
      </c>
      <c r="K999" t="s">
        <v>3533</v>
      </c>
      <c r="L999" t="s">
        <v>89</v>
      </c>
      <c r="M999" t="s">
        <v>318</v>
      </c>
      <c r="N999" t="s">
        <v>1358</v>
      </c>
      <c r="O999" t="s">
        <v>3796</v>
      </c>
      <c r="P999" t="s">
        <v>3796</v>
      </c>
      <c r="Q999" t="s">
        <v>102</v>
      </c>
      <c r="R999" t="s">
        <v>86</v>
      </c>
      <c r="S999" t="s">
        <v>3535</v>
      </c>
      <c r="T999" t="s">
        <v>3795</v>
      </c>
      <c r="U999" t="s">
        <v>322</v>
      </c>
      <c r="V999" t="s">
        <v>82</v>
      </c>
      <c r="W999" t="s">
        <v>1523</v>
      </c>
      <c r="X999" t="s">
        <v>96</v>
      </c>
      <c r="Y999" t="s">
        <v>82</v>
      </c>
      <c r="Z999" t="s">
        <v>78</v>
      </c>
    </row>
    <row r="1000" spans="1:26" x14ac:dyDescent="0.25">
      <c r="A1000" t="s">
        <v>3797</v>
      </c>
      <c r="B1000" t="s">
        <v>3798</v>
      </c>
      <c r="C1000" s="4" t="s">
        <v>3764</v>
      </c>
      <c r="D1000" t="s">
        <v>381</v>
      </c>
      <c r="E1000" t="s">
        <v>14</v>
      </c>
      <c r="F1000" t="s">
        <v>143</v>
      </c>
      <c r="G1000" t="s">
        <v>106</v>
      </c>
      <c r="H1000" t="s">
        <v>78</v>
      </c>
      <c r="I1000" t="s">
        <v>102</v>
      </c>
      <c r="J1000" t="s">
        <v>15</v>
      </c>
      <c r="K1000" t="s">
        <v>3533</v>
      </c>
      <c r="L1000" t="s">
        <v>89</v>
      </c>
      <c r="M1000" t="s">
        <v>318</v>
      </c>
      <c r="N1000" t="s">
        <v>1358</v>
      </c>
      <c r="O1000" t="s">
        <v>3799</v>
      </c>
      <c r="P1000" t="s">
        <v>3799</v>
      </c>
      <c r="Q1000" t="s">
        <v>102</v>
      </c>
      <c r="R1000" t="s">
        <v>86</v>
      </c>
      <c r="S1000" t="s">
        <v>3535</v>
      </c>
      <c r="T1000" t="s">
        <v>3798</v>
      </c>
      <c r="U1000" t="s">
        <v>322</v>
      </c>
      <c r="V1000" t="s">
        <v>82</v>
      </c>
      <c r="W1000" t="s">
        <v>1523</v>
      </c>
      <c r="X1000" t="s">
        <v>96</v>
      </c>
      <c r="Y1000" t="s">
        <v>82</v>
      </c>
      <c r="Z1000" t="s">
        <v>78</v>
      </c>
    </row>
    <row r="1001" spans="1:26" x14ac:dyDescent="0.25">
      <c r="A1001" t="s">
        <v>3800</v>
      </c>
      <c r="B1001" t="s">
        <v>3801</v>
      </c>
      <c r="C1001" s="4" t="s">
        <v>3802</v>
      </c>
      <c r="D1001" t="s">
        <v>3543</v>
      </c>
      <c r="E1001" t="s">
        <v>14</v>
      </c>
      <c r="F1001" t="s">
        <v>111</v>
      </c>
      <c r="G1001" t="s">
        <v>124</v>
      </c>
      <c r="H1001" t="s">
        <v>78</v>
      </c>
      <c r="I1001" t="s">
        <v>102</v>
      </c>
      <c r="J1001" t="s">
        <v>18</v>
      </c>
      <c r="K1001" t="s">
        <v>1236</v>
      </c>
      <c r="L1001" t="s">
        <v>89</v>
      </c>
      <c r="M1001" t="s">
        <v>318</v>
      </c>
      <c r="N1001" t="s">
        <v>1926</v>
      </c>
      <c r="O1001" t="s">
        <v>3803</v>
      </c>
      <c r="P1001" t="s">
        <v>3803</v>
      </c>
      <c r="Q1001" t="s">
        <v>102</v>
      </c>
      <c r="R1001" t="s">
        <v>102</v>
      </c>
      <c r="S1001" t="s">
        <v>532</v>
      </c>
      <c r="T1001" t="s">
        <v>3801</v>
      </c>
      <c r="U1001" t="s">
        <v>322</v>
      </c>
      <c r="V1001" t="s">
        <v>82</v>
      </c>
      <c r="W1001" t="s">
        <v>3804</v>
      </c>
      <c r="X1001" t="s">
        <v>96</v>
      </c>
      <c r="Y1001" t="s">
        <v>82</v>
      </c>
      <c r="Z1001" t="s">
        <v>78</v>
      </c>
    </row>
    <row r="1002" spans="1:26" x14ac:dyDescent="0.25">
      <c r="A1002" t="s">
        <v>3805</v>
      </c>
      <c r="B1002" t="s">
        <v>3806</v>
      </c>
      <c r="C1002" s="4" t="s">
        <v>3802</v>
      </c>
      <c r="D1002" t="s">
        <v>3543</v>
      </c>
      <c r="E1002" t="s">
        <v>14</v>
      </c>
      <c r="F1002" t="s">
        <v>111</v>
      </c>
      <c r="G1002" t="s">
        <v>124</v>
      </c>
      <c r="H1002" t="s">
        <v>78</v>
      </c>
      <c r="I1002" t="s">
        <v>102</v>
      </c>
      <c r="J1002" t="s">
        <v>15</v>
      </c>
      <c r="K1002" t="s">
        <v>1236</v>
      </c>
      <c r="L1002" t="s">
        <v>89</v>
      </c>
      <c r="M1002" t="s">
        <v>318</v>
      </c>
      <c r="N1002" t="s">
        <v>1926</v>
      </c>
      <c r="O1002" t="s">
        <v>3807</v>
      </c>
      <c r="P1002" t="s">
        <v>3807</v>
      </c>
      <c r="Q1002" t="s">
        <v>102</v>
      </c>
      <c r="R1002" t="s">
        <v>102</v>
      </c>
      <c r="S1002" t="s">
        <v>532</v>
      </c>
      <c r="T1002" t="s">
        <v>3806</v>
      </c>
      <c r="U1002" t="s">
        <v>322</v>
      </c>
      <c r="V1002" t="s">
        <v>82</v>
      </c>
      <c r="W1002" t="s">
        <v>3804</v>
      </c>
      <c r="X1002" t="s">
        <v>96</v>
      </c>
      <c r="Y1002" t="s">
        <v>82</v>
      </c>
      <c r="Z1002" t="s">
        <v>78</v>
      </c>
    </row>
    <row r="1003" spans="1:26" x14ac:dyDescent="0.25">
      <c r="A1003" t="s">
        <v>3808</v>
      </c>
      <c r="B1003" t="s">
        <v>3809</v>
      </c>
      <c r="C1003" s="4" t="s">
        <v>3802</v>
      </c>
      <c r="D1003" t="s">
        <v>3543</v>
      </c>
      <c r="E1003" t="s">
        <v>14</v>
      </c>
      <c r="F1003" t="s">
        <v>128</v>
      </c>
      <c r="G1003" t="s">
        <v>105</v>
      </c>
      <c r="H1003" t="s">
        <v>78</v>
      </c>
      <c r="I1003" t="s">
        <v>102</v>
      </c>
      <c r="J1003" t="s">
        <v>15</v>
      </c>
      <c r="K1003" t="s">
        <v>1357</v>
      </c>
      <c r="L1003" t="s">
        <v>89</v>
      </c>
      <c r="M1003" t="s">
        <v>318</v>
      </c>
      <c r="N1003" t="s">
        <v>3810</v>
      </c>
      <c r="O1003" t="s">
        <v>3811</v>
      </c>
      <c r="P1003" t="s">
        <v>3811</v>
      </c>
      <c r="Q1003" t="s">
        <v>102</v>
      </c>
      <c r="R1003" t="s">
        <v>102</v>
      </c>
      <c r="S1003" t="s">
        <v>636</v>
      </c>
      <c r="T1003" t="s">
        <v>3809</v>
      </c>
      <c r="U1003" t="s">
        <v>322</v>
      </c>
      <c r="V1003" t="s">
        <v>82</v>
      </c>
      <c r="W1003" t="s">
        <v>3812</v>
      </c>
      <c r="X1003" t="s">
        <v>96</v>
      </c>
      <c r="Y1003" t="s">
        <v>82</v>
      </c>
      <c r="Z1003" t="s">
        <v>78</v>
      </c>
    </row>
    <row r="1004" spans="1:26" x14ac:dyDescent="0.25">
      <c r="A1004" t="s">
        <v>3813</v>
      </c>
      <c r="B1004" t="s">
        <v>3814</v>
      </c>
      <c r="C1004" s="4" t="s">
        <v>3802</v>
      </c>
      <c r="D1004" t="s">
        <v>3543</v>
      </c>
      <c r="E1004" t="s">
        <v>14</v>
      </c>
      <c r="F1004" t="s">
        <v>128</v>
      </c>
      <c r="G1004" t="s">
        <v>105</v>
      </c>
      <c r="H1004" t="s">
        <v>78</v>
      </c>
      <c r="I1004" t="s">
        <v>102</v>
      </c>
      <c r="J1004" t="s">
        <v>18</v>
      </c>
      <c r="K1004" t="s">
        <v>1357</v>
      </c>
      <c r="L1004" t="s">
        <v>89</v>
      </c>
      <c r="M1004" t="s">
        <v>318</v>
      </c>
      <c r="N1004" t="s">
        <v>3810</v>
      </c>
      <c r="O1004" t="s">
        <v>3815</v>
      </c>
      <c r="P1004" t="s">
        <v>3815</v>
      </c>
      <c r="Q1004" t="s">
        <v>102</v>
      </c>
      <c r="R1004" t="s">
        <v>102</v>
      </c>
      <c r="S1004" t="s">
        <v>636</v>
      </c>
      <c r="T1004" t="s">
        <v>3814</v>
      </c>
      <c r="U1004" t="s">
        <v>322</v>
      </c>
      <c r="V1004" t="s">
        <v>82</v>
      </c>
      <c r="W1004" t="s">
        <v>3812</v>
      </c>
      <c r="X1004" t="s">
        <v>96</v>
      </c>
      <c r="Y1004" t="s">
        <v>82</v>
      </c>
      <c r="Z1004" t="s">
        <v>78</v>
      </c>
    </row>
    <row r="1005" spans="1:26" x14ac:dyDescent="0.25">
      <c r="A1005" t="s">
        <v>3816</v>
      </c>
      <c r="B1005" t="s">
        <v>3817</v>
      </c>
      <c r="C1005" s="4" t="s">
        <v>3818</v>
      </c>
      <c r="D1005" t="s">
        <v>3819</v>
      </c>
      <c r="E1005" t="s">
        <v>14</v>
      </c>
      <c r="F1005" t="s">
        <v>105</v>
      </c>
      <c r="G1005" t="s">
        <v>106</v>
      </c>
      <c r="H1005" t="s">
        <v>78</v>
      </c>
      <c r="I1005" t="s">
        <v>86</v>
      </c>
      <c r="J1005" t="s">
        <v>130</v>
      </c>
      <c r="K1005" t="s">
        <v>354</v>
      </c>
      <c r="L1005" t="s">
        <v>89</v>
      </c>
      <c r="M1005" t="s">
        <v>318</v>
      </c>
      <c r="N1005" t="s">
        <v>1284</v>
      </c>
      <c r="O1005" t="s">
        <v>3820</v>
      </c>
      <c r="P1005" t="s">
        <v>3820</v>
      </c>
      <c r="Q1005" t="s">
        <v>102</v>
      </c>
      <c r="R1005" t="s">
        <v>83</v>
      </c>
      <c r="S1005" t="s">
        <v>198</v>
      </c>
      <c r="T1005" t="s">
        <v>3817</v>
      </c>
      <c r="U1005" t="s">
        <v>322</v>
      </c>
      <c r="V1005" t="s">
        <v>82</v>
      </c>
      <c r="W1005" t="s">
        <v>3821</v>
      </c>
      <c r="X1005" t="s">
        <v>96</v>
      </c>
      <c r="Y1005" t="s">
        <v>82</v>
      </c>
      <c r="Z1005" t="s">
        <v>149</v>
      </c>
    </row>
    <row r="1006" spans="1:26" x14ac:dyDescent="0.25">
      <c r="A1006" t="s">
        <v>3822</v>
      </c>
      <c r="B1006" t="s">
        <v>3823</v>
      </c>
      <c r="C1006" s="4" t="s">
        <v>3818</v>
      </c>
      <c r="D1006" t="s">
        <v>3819</v>
      </c>
      <c r="E1006" t="s">
        <v>14</v>
      </c>
      <c r="F1006" t="s">
        <v>105</v>
      </c>
      <c r="G1006" t="s">
        <v>106</v>
      </c>
      <c r="H1006" t="s">
        <v>78</v>
      </c>
      <c r="I1006" t="s">
        <v>86</v>
      </c>
      <c r="J1006" t="s">
        <v>1472</v>
      </c>
      <c r="K1006" t="s">
        <v>354</v>
      </c>
      <c r="L1006" t="s">
        <v>89</v>
      </c>
      <c r="M1006" t="s">
        <v>318</v>
      </c>
      <c r="N1006" t="s">
        <v>1284</v>
      </c>
      <c r="O1006" t="s">
        <v>3824</v>
      </c>
      <c r="P1006" t="s">
        <v>3824</v>
      </c>
      <c r="Q1006" t="s">
        <v>102</v>
      </c>
      <c r="R1006" t="s">
        <v>83</v>
      </c>
      <c r="S1006" t="s">
        <v>198</v>
      </c>
      <c r="T1006" t="s">
        <v>3823</v>
      </c>
      <c r="U1006" t="s">
        <v>322</v>
      </c>
      <c r="V1006" t="s">
        <v>82</v>
      </c>
      <c r="W1006" t="s">
        <v>3821</v>
      </c>
      <c r="X1006" t="s">
        <v>96</v>
      </c>
      <c r="Y1006" t="s">
        <v>82</v>
      </c>
      <c r="Z1006" t="s">
        <v>149</v>
      </c>
    </row>
    <row r="1007" spans="1:26" x14ac:dyDescent="0.25">
      <c r="A1007" t="s">
        <v>3825</v>
      </c>
      <c r="B1007" t="s">
        <v>3826</v>
      </c>
      <c r="C1007" s="4" t="s">
        <v>3818</v>
      </c>
      <c r="D1007" t="s">
        <v>3819</v>
      </c>
      <c r="E1007" t="s">
        <v>14</v>
      </c>
      <c r="F1007" t="s">
        <v>105</v>
      </c>
      <c r="G1007" t="s">
        <v>106</v>
      </c>
      <c r="H1007" t="s">
        <v>78</v>
      </c>
      <c r="I1007" t="s">
        <v>86</v>
      </c>
      <c r="J1007" t="s">
        <v>87</v>
      </c>
      <c r="K1007" t="s">
        <v>354</v>
      </c>
      <c r="L1007" t="s">
        <v>89</v>
      </c>
      <c r="M1007" t="s">
        <v>318</v>
      </c>
      <c r="N1007" t="s">
        <v>1284</v>
      </c>
      <c r="O1007" t="s">
        <v>3827</v>
      </c>
      <c r="P1007" t="s">
        <v>3827</v>
      </c>
      <c r="Q1007" t="s">
        <v>102</v>
      </c>
      <c r="R1007" t="s">
        <v>83</v>
      </c>
      <c r="S1007" t="s">
        <v>198</v>
      </c>
      <c r="T1007" t="s">
        <v>3826</v>
      </c>
      <c r="U1007" t="s">
        <v>322</v>
      </c>
      <c r="V1007" t="s">
        <v>82</v>
      </c>
      <c r="W1007" t="s">
        <v>3821</v>
      </c>
      <c r="X1007" t="s">
        <v>96</v>
      </c>
      <c r="Y1007" t="s">
        <v>82</v>
      </c>
      <c r="Z1007" t="s">
        <v>149</v>
      </c>
    </row>
    <row r="1008" spans="1:26" x14ac:dyDescent="0.25">
      <c r="A1008" t="s">
        <v>3828</v>
      </c>
      <c r="B1008" t="s">
        <v>3829</v>
      </c>
      <c r="C1008" s="4" t="s">
        <v>3818</v>
      </c>
      <c r="D1008" t="s">
        <v>3819</v>
      </c>
      <c r="E1008" t="s">
        <v>14</v>
      </c>
      <c r="F1008" t="s">
        <v>105</v>
      </c>
      <c r="G1008" t="s">
        <v>106</v>
      </c>
      <c r="H1008" t="s">
        <v>78</v>
      </c>
      <c r="I1008" t="s">
        <v>86</v>
      </c>
      <c r="J1008" t="s">
        <v>32</v>
      </c>
      <c r="K1008" t="s">
        <v>354</v>
      </c>
      <c r="L1008" t="s">
        <v>89</v>
      </c>
      <c r="M1008" t="s">
        <v>318</v>
      </c>
      <c r="N1008" t="s">
        <v>1284</v>
      </c>
      <c r="O1008" t="s">
        <v>3827</v>
      </c>
      <c r="P1008" t="s">
        <v>3827</v>
      </c>
      <c r="Q1008" t="s">
        <v>102</v>
      </c>
      <c r="R1008" t="s">
        <v>83</v>
      </c>
      <c r="S1008" t="s">
        <v>198</v>
      </c>
      <c r="T1008" t="s">
        <v>3829</v>
      </c>
      <c r="U1008" t="s">
        <v>322</v>
      </c>
      <c r="V1008" t="s">
        <v>82</v>
      </c>
      <c r="W1008" t="s">
        <v>3821</v>
      </c>
      <c r="X1008" t="s">
        <v>96</v>
      </c>
      <c r="Y1008" t="s">
        <v>82</v>
      </c>
      <c r="Z1008" t="s">
        <v>149</v>
      </c>
    </row>
    <row r="1009" spans="1:26" x14ac:dyDescent="0.25">
      <c r="A1009" t="s">
        <v>3830</v>
      </c>
      <c r="B1009" t="s">
        <v>3831</v>
      </c>
      <c r="C1009" s="4" t="s">
        <v>3832</v>
      </c>
      <c r="D1009" t="s">
        <v>3284</v>
      </c>
      <c r="E1009" t="s">
        <v>14</v>
      </c>
      <c r="F1009" t="s">
        <v>85</v>
      </c>
      <c r="G1009" t="s">
        <v>111</v>
      </c>
      <c r="H1009" t="s">
        <v>78</v>
      </c>
      <c r="I1009" t="s">
        <v>102</v>
      </c>
      <c r="J1009" t="s">
        <v>18</v>
      </c>
      <c r="K1009" t="s">
        <v>3833</v>
      </c>
      <c r="L1009" t="s">
        <v>89</v>
      </c>
      <c r="M1009" t="s">
        <v>318</v>
      </c>
      <c r="N1009" t="s">
        <v>3637</v>
      </c>
      <c r="O1009" t="s">
        <v>3834</v>
      </c>
      <c r="P1009" t="s">
        <v>3834</v>
      </c>
      <c r="Q1009" t="s">
        <v>102</v>
      </c>
      <c r="R1009" t="s">
        <v>86</v>
      </c>
      <c r="S1009" t="s">
        <v>3835</v>
      </c>
      <c r="T1009" t="s">
        <v>3831</v>
      </c>
      <c r="U1009" t="s">
        <v>322</v>
      </c>
      <c r="V1009" t="s">
        <v>82</v>
      </c>
      <c r="W1009" t="s">
        <v>3836</v>
      </c>
      <c r="X1009" t="s">
        <v>96</v>
      </c>
      <c r="Y1009" t="s">
        <v>82</v>
      </c>
      <c r="Z1009" t="s">
        <v>78</v>
      </c>
    </row>
    <row r="1010" spans="1:26" x14ac:dyDescent="0.25">
      <c r="A1010" t="s">
        <v>3837</v>
      </c>
      <c r="B1010" t="s">
        <v>3838</v>
      </c>
      <c r="C1010" s="4" t="s">
        <v>3832</v>
      </c>
      <c r="D1010" t="s">
        <v>3284</v>
      </c>
      <c r="E1010" t="s">
        <v>14</v>
      </c>
      <c r="F1010" t="s">
        <v>85</v>
      </c>
      <c r="G1010" t="s">
        <v>111</v>
      </c>
      <c r="H1010" t="s">
        <v>78</v>
      </c>
      <c r="I1010" t="s">
        <v>102</v>
      </c>
      <c r="J1010" t="s">
        <v>15</v>
      </c>
      <c r="K1010" t="s">
        <v>3833</v>
      </c>
      <c r="L1010" t="s">
        <v>89</v>
      </c>
      <c r="M1010" t="s">
        <v>318</v>
      </c>
      <c r="N1010" t="s">
        <v>3637</v>
      </c>
      <c r="O1010" t="s">
        <v>3834</v>
      </c>
      <c r="P1010" t="s">
        <v>3834</v>
      </c>
      <c r="Q1010" t="s">
        <v>102</v>
      </c>
      <c r="R1010" t="s">
        <v>86</v>
      </c>
      <c r="S1010" t="s">
        <v>3835</v>
      </c>
      <c r="T1010" t="s">
        <v>3838</v>
      </c>
      <c r="U1010" t="s">
        <v>322</v>
      </c>
      <c r="V1010" t="s">
        <v>82</v>
      </c>
      <c r="W1010" t="s">
        <v>3836</v>
      </c>
      <c r="X1010" t="s">
        <v>96</v>
      </c>
      <c r="Y1010" t="s">
        <v>82</v>
      </c>
      <c r="Z1010" t="s">
        <v>78</v>
      </c>
    </row>
    <row r="1011" spans="1:26" x14ac:dyDescent="0.25">
      <c r="A1011" t="s">
        <v>3695</v>
      </c>
      <c r="B1011" t="s">
        <v>3839</v>
      </c>
      <c r="C1011" s="4" t="s">
        <v>3832</v>
      </c>
      <c r="D1011" t="s">
        <v>3284</v>
      </c>
      <c r="E1011" t="s">
        <v>14</v>
      </c>
      <c r="F1011" t="s">
        <v>85</v>
      </c>
      <c r="G1011" t="s">
        <v>111</v>
      </c>
      <c r="H1011" t="s">
        <v>78</v>
      </c>
      <c r="I1011" t="s">
        <v>102</v>
      </c>
      <c r="J1011" t="s">
        <v>17</v>
      </c>
      <c r="K1011" t="s">
        <v>3833</v>
      </c>
      <c r="L1011" t="s">
        <v>89</v>
      </c>
      <c r="M1011" t="s">
        <v>318</v>
      </c>
      <c r="N1011" t="s">
        <v>3637</v>
      </c>
      <c r="O1011" t="s">
        <v>3840</v>
      </c>
      <c r="P1011" t="s">
        <v>3840</v>
      </c>
      <c r="Q1011" t="s">
        <v>102</v>
      </c>
      <c r="R1011" t="s">
        <v>86</v>
      </c>
      <c r="S1011" t="s">
        <v>3835</v>
      </c>
      <c r="T1011" t="s">
        <v>3839</v>
      </c>
      <c r="U1011" t="s">
        <v>322</v>
      </c>
      <c r="V1011" t="s">
        <v>82</v>
      </c>
      <c r="W1011" t="s">
        <v>3836</v>
      </c>
      <c r="X1011" t="s">
        <v>96</v>
      </c>
      <c r="Y1011" t="s">
        <v>82</v>
      </c>
      <c r="Z1011" t="s">
        <v>78</v>
      </c>
    </row>
    <row r="1012" spans="1:26" x14ac:dyDescent="0.25">
      <c r="A1012" t="s">
        <v>3841</v>
      </c>
      <c r="B1012" t="s">
        <v>3842</v>
      </c>
      <c r="C1012" s="4" t="s">
        <v>3832</v>
      </c>
      <c r="D1012" t="s">
        <v>3284</v>
      </c>
      <c r="E1012" t="s">
        <v>14</v>
      </c>
      <c r="F1012" t="s">
        <v>83</v>
      </c>
      <c r="G1012" t="s">
        <v>84</v>
      </c>
      <c r="H1012" t="s">
        <v>78</v>
      </c>
      <c r="I1012" t="s">
        <v>111</v>
      </c>
      <c r="J1012" t="s">
        <v>17</v>
      </c>
      <c r="K1012" t="s">
        <v>3669</v>
      </c>
      <c r="L1012" t="s">
        <v>89</v>
      </c>
      <c r="M1012" t="s">
        <v>318</v>
      </c>
      <c r="N1012" t="s">
        <v>980</v>
      </c>
      <c r="O1012" t="s">
        <v>3843</v>
      </c>
      <c r="P1012" t="s">
        <v>3843</v>
      </c>
      <c r="Q1012" t="s">
        <v>102</v>
      </c>
      <c r="R1012" t="s">
        <v>86</v>
      </c>
      <c r="S1012" t="s">
        <v>3671</v>
      </c>
      <c r="T1012" t="s">
        <v>3842</v>
      </c>
      <c r="U1012" t="s">
        <v>322</v>
      </c>
      <c r="V1012" t="s">
        <v>82</v>
      </c>
      <c r="W1012" t="s">
        <v>3672</v>
      </c>
      <c r="X1012" t="s">
        <v>96</v>
      </c>
      <c r="Y1012" t="s">
        <v>82</v>
      </c>
      <c r="Z1012" t="s">
        <v>78</v>
      </c>
    </row>
    <row r="1013" spans="1:26" x14ac:dyDescent="0.25">
      <c r="A1013" t="s">
        <v>3844</v>
      </c>
      <c r="B1013" t="s">
        <v>3845</v>
      </c>
      <c r="C1013" s="4" t="s">
        <v>3832</v>
      </c>
      <c r="D1013" t="s">
        <v>3284</v>
      </c>
      <c r="E1013" t="s">
        <v>14</v>
      </c>
      <c r="F1013" t="s">
        <v>83</v>
      </c>
      <c r="G1013" t="s">
        <v>84</v>
      </c>
      <c r="H1013" t="s">
        <v>78</v>
      </c>
      <c r="I1013" t="s">
        <v>111</v>
      </c>
      <c r="J1013" t="s">
        <v>18</v>
      </c>
      <c r="K1013" t="s">
        <v>3669</v>
      </c>
      <c r="L1013" t="s">
        <v>89</v>
      </c>
      <c r="M1013" t="s">
        <v>318</v>
      </c>
      <c r="N1013" t="s">
        <v>980</v>
      </c>
      <c r="O1013" t="s">
        <v>3846</v>
      </c>
      <c r="P1013" t="s">
        <v>3846</v>
      </c>
      <c r="Q1013" t="s">
        <v>102</v>
      </c>
      <c r="R1013" t="s">
        <v>86</v>
      </c>
      <c r="S1013" t="s">
        <v>3671</v>
      </c>
      <c r="T1013" t="s">
        <v>3845</v>
      </c>
      <c r="U1013" t="s">
        <v>322</v>
      </c>
      <c r="V1013" t="s">
        <v>82</v>
      </c>
      <c r="W1013" t="s">
        <v>3672</v>
      </c>
      <c r="X1013" t="s">
        <v>96</v>
      </c>
      <c r="Y1013" t="s">
        <v>82</v>
      </c>
      <c r="Z1013" t="s">
        <v>78</v>
      </c>
    </row>
    <row r="1014" spans="1:26" x14ac:dyDescent="0.25">
      <c r="A1014" t="s">
        <v>3847</v>
      </c>
      <c r="B1014" t="s">
        <v>3848</v>
      </c>
      <c r="C1014" s="4" t="s">
        <v>3832</v>
      </c>
      <c r="D1014" t="s">
        <v>3284</v>
      </c>
      <c r="E1014" t="s">
        <v>14</v>
      </c>
      <c r="F1014" t="s">
        <v>83</v>
      </c>
      <c r="G1014" t="s">
        <v>84</v>
      </c>
      <c r="H1014" t="s">
        <v>78</v>
      </c>
      <c r="I1014" t="s">
        <v>111</v>
      </c>
      <c r="J1014" t="s">
        <v>15</v>
      </c>
      <c r="K1014" t="s">
        <v>3669</v>
      </c>
      <c r="L1014" t="s">
        <v>89</v>
      </c>
      <c r="M1014" t="s">
        <v>318</v>
      </c>
      <c r="N1014" t="s">
        <v>980</v>
      </c>
      <c r="O1014" t="s">
        <v>3849</v>
      </c>
      <c r="P1014" t="s">
        <v>3849</v>
      </c>
      <c r="Q1014" t="s">
        <v>102</v>
      </c>
      <c r="R1014" t="s">
        <v>86</v>
      </c>
      <c r="S1014" t="s">
        <v>3671</v>
      </c>
      <c r="T1014" t="s">
        <v>3848</v>
      </c>
      <c r="U1014" t="s">
        <v>322</v>
      </c>
      <c r="V1014" t="s">
        <v>82</v>
      </c>
      <c r="W1014" t="s">
        <v>3672</v>
      </c>
      <c r="X1014" t="s">
        <v>96</v>
      </c>
      <c r="Y1014" t="s">
        <v>82</v>
      </c>
      <c r="Z1014" t="s">
        <v>78</v>
      </c>
    </row>
    <row r="1015" spans="1:26" x14ac:dyDescent="0.25">
      <c r="A1015" t="s">
        <v>3850</v>
      </c>
      <c r="B1015" t="s">
        <v>3851</v>
      </c>
      <c r="C1015" s="4" t="s">
        <v>3832</v>
      </c>
      <c r="D1015" t="s">
        <v>3284</v>
      </c>
      <c r="E1015" t="s">
        <v>14</v>
      </c>
      <c r="F1015" t="s">
        <v>134</v>
      </c>
      <c r="G1015" t="s">
        <v>149</v>
      </c>
      <c r="H1015" t="s">
        <v>78</v>
      </c>
      <c r="I1015" t="s">
        <v>111</v>
      </c>
      <c r="J1015" t="s">
        <v>15</v>
      </c>
      <c r="K1015" t="s">
        <v>3613</v>
      </c>
      <c r="L1015" t="s">
        <v>89</v>
      </c>
      <c r="M1015" t="s">
        <v>318</v>
      </c>
      <c r="N1015" t="s">
        <v>1251</v>
      </c>
      <c r="O1015" t="s">
        <v>3852</v>
      </c>
      <c r="P1015" t="s">
        <v>3852</v>
      </c>
      <c r="Q1015" t="s">
        <v>102</v>
      </c>
      <c r="R1015" t="s">
        <v>86</v>
      </c>
      <c r="S1015" t="s">
        <v>3616</v>
      </c>
      <c r="T1015" t="s">
        <v>3851</v>
      </c>
      <c r="U1015" t="s">
        <v>322</v>
      </c>
      <c r="V1015" t="s">
        <v>82</v>
      </c>
      <c r="W1015" t="s">
        <v>3617</v>
      </c>
      <c r="X1015" t="s">
        <v>96</v>
      </c>
      <c r="Y1015" t="s">
        <v>82</v>
      </c>
      <c r="Z1015" t="s">
        <v>78</v>
      </c>
    </row>
    <row r="1016" spans="1:26" x14ac:dyDescent="0.25">
      <c r="A1016" t="s">
        <v>1198</v>
      </c>
      <c r="B1016" t="s">
        <v>3853</v>
      </c>
      <c r="C1016" s="4" t="s">
        <v>3832</v>
      </c>
      <c r="D1016" t="s">
        <v>3284</v>
      </c>
      <c r="E1016" t="s">
        <v>14</v>
      </c>
      <c r="F1016" t="s">
        <v>134</v>
      </c>
      <c r="G1016" t="s">
        <v>149</v>
      </c>
      <c r="H1016" t="s">
        <v>78</v>
      </c>
      <c r="I1016" t="s">
        <v>111</v>
      </c>
      <c r="J1016" t="s">
        <v>18</v>
      </c>
      <c r="K1016" t="s">
        <v>3613</v>
      </c>
      <c r="L1016" t="s">
        <v>89</v>
      </c>
      <c r="M1016" t="s">
        <v>318</v>
      </c>
      <c r="N1016" t="s">
        <v>1251</v>
      </c>
      <c r="O1016" t="s">
        <v>3854</v>
      </c>
      <c r="P1016" t="s">
        <v>3854</v>
      </c>
      <c r="Q1016" t="s">
        <v>102</v>
      </c>
      <c r="R1016" t="s">
        <v>86</v>
      </c>
      <c r="S1016" t="s">
        <v>3616</v>
      </c>
      <c r="T1016" t="s">
        <v>3853</v>
      </c>
      <c r="U1016" t="s">
        <v>322</v>
      </c>
      <c r="V1016" t="s">
        <v>82</v>
      </c>
      <c r="W1016" t="s">
        <v>3617</v>
      </c>
      <c r="X1016" t="s">
        <v>96</v>
      </c>
      <c r="Y1016" t="s">
        <v>82</v>
      </c>
      <c r="Z1016" t="s">
        <v>78</v>
      </c>
    </row>
    <row r="1017" spans="1:26" x14ac:dyDescent="0.25">
      <c r="A1017" t="s">
        <v>3855</v>
      </c>
      <c r="B1017" t="s">
        <v>3856</v>
      </c>
      <c r="C1017" s="4" t="s">
        <v>3832</v>
      </c>
      <c r="D1017" t="s">
        <v>3284</v>
      </c>
      <c r="E1017" t="s">
        <v>14</v>
      </c>
      <c r="F1017" t="s">
        <v>134</v>
      </c>
      <c r="G1017" t="s">
        <v>149</v>
      </c>
      <c r="H1017" t="s">
        <v>78</v>
      </c>
      <c r="I1017" t="s">
        <v>111</v>
      </c>
      <c r="J1017" t="s">
        <v>17</v>
      </c>
      <c r="K1017" t="s">
        <v>3613</v>
      </c>
      <c r="L1017" t="s">
        <v>89</v>
      </c>
      <c r="M1017" t="s">
        <v>318</v>
      </c>
      <c r="N1017" t="s">
        <v>1251</v>
      </c>
      <c r="O1017" t="s">
        <v>3857</v>
      </c>
      <c r="P1017" t="s">
        <v>3857</v>
      </c>
      <c r="Q1017" t="s">
        <v>102</v>
      </c>
      <c r="R1017" t="s">
        <v>86</v>
      </c>
      <c r="S1017" t="s">
        <v>3616</v>
      </c>
      <c r="T1017" t="s">
        <v>3856</v>
      </c>
      <c r="U1017" t="s">
        <v>322</v>
      </c>
      <c r="V1017" t="s">
        <v>82</v>
      </c>
      <c r="W1017" t="s">
        <v>3617</v>
      </c>
      <c r="X1017" t="s">
        <v>96</v>
      </c>
      <c r="Y1017" t="s">
        <v>82</v>
      </c>
      <c r="Z1017" t="s">
        <v>78</v>
      </c>
    </row>
    <row r="1018" spans="1:26" x14ac:dyDescent="0.25">
      <c r="A1018" t="s">
        <v>3858</v>
      </c>
      <c r="B1018" t="s">
        <v>3859</v>
      </c>
      <c r="C1018" s="4" t="s">
        <v>3860</v>
      </c>
      <c r="D1018" t="s">
        <v>3861</v>
      </c>
      <c r="E1018" t="s">
        <v>14</v>
      </c>
      <c r="F1018" t="s">
        <v>85</v>
      </c>
      <c r="G1018" t="s">
        <v>111</v>
      </c>
      <c r="H1018" t="s">
        <v>78</v>
      </c>
      <c r="I1018" t="s">
        <v>102</v>
      </c>
      <c r="J1018" t="s">
        <v>546</v>
      </c>
      <c r="K1018" t="s">
        <v>1878</v>
      </c>
      <c r="L1018" t="s">
        <v>89</v>
      </c>
      <c r="M1018" t="s">
        <v>318</v>
      </c>
      <c r="N1018" t="s">
        <v>375</v>
      </c>
      <c r="O1018" t="s">
        <v>3862</v>
      </c>
      <c r="P1018" t="s">
        <v>3862</v>
      </c>
      <c r="Q1018" t="s">
        <v>102</v>
      </c>
      <c r="R1018" t="s">
        <v>83</v>
      </c>
      <c r="S1018" t="s">
        <v>1880</v>
      </c>
      <c r="T1018" t="s">
        <v>3859</v>
      </c>
      <c r="U1018" t="s">
        <v>322</v>
      </c>
      <c r="V1018" t="s">
        <v>82</v>
      </c>
      <c r="W1018" t="s">
        <v>1466</v>
      </c>
      <c r="X1018" t="s">
        <v>96</v>
      </c>
      <c r="Y1018" t="s">
        <v>82</v>
      </c>
      <c r="Z1018" t="s">
        <v>134</v>
      </c>
    </row>
    <row r="1019" spans="1:26" x14ac:dyDescent="0.25">
      <c r="A1019" t="s">
        <v>3863</v>
      </c>
      <c r="B1019" t="s">
        <v>3864</v>
      </c>
      <c r="C1019" s="4" t="s">
        <v>3860</v>
      </c>
      <c r="D1019" t="s">
        <v>3861</v>
      </c>
      <c r="E1019" t="s">
        <v>14</v>
      </c>
      <c r="F1019" t="s">
        <v>85</v>
      </c>
      <c r="G1019" t="s">
        <v>111</v>
      </c>
      <c r="H1019" t="s">
        <v>78</v>
      </c>
      <c r="I1019" t="s">
        <v>102</v>
      </c>
      <c r="J1019" t="s">
        <v>1759</v>
      </c>
      <c r="K1019" t="s">
        <v>1878</v>
      </c>
      <c r="L1019" t="s">
        <v>89</v>
      </c>
      <c r="M1019" t="s">
        <v>318</v>
      </c>
      <c r="N1019" t="s">
        <v>375</v>
      </c>
      <c r="O1019" t="s">
        <v>3865</v>
      </c>
      <c r="P1019" t="s">
        <v>3865</v>
      </c>
      <c r="Q1019" t="s">
        <v>102</v>
      </c>
      <c r="R1019" t="s">
        <v>83</v>
      </c>
      <c r="S1019" t="s">
        <v>1880</v>
      </c>
      <c r="T1019" t="s">
        <v>3864</v>
      </c>
      <c r="U1019" t="s">
        <v>322</v>
      </c>
      <c r="V1019" t="s">
        <v>82</v>
      </c>
      <c r="W1019" t="s">
        <v>1466</v>
      </c>
      <c r="X1019" t="s">
        <v>96</v>
      </c>
      <c r="Y1019" t="s">
        <v>82</v>
      </c>
      <c r="Z1019" t="s">
        <v>134</v>
      </c>
    </row>
    <row r="1020" spans="1:26" x14ac:dyDescent="0.25">
      <c r="A1020" t="s">
        <v>934</v>
      </c>
      <c r="B1020" t="s">
        <v>3866</v>
      </c>
      <c r="C1020" s="4" t="s">
        <v>3860</v>
      </c>
      <c r="D1020" t="s">
        <v>3861</v>
      </c>
      <c r="E1020" t="s">
        <v>14</v>
      </c>
      <c r="F1020" t="s">
        <v>85</v>
      </c>
      <c r="G1020" t="s">
        <v>111</v>
      </c>
      <c r="H1020" t="s">
        <v>78</v>
      </c>
      <c r="I1020" t="s">
        <v>102</v>
      </c>
      <c r="J1020" t="s">
        <v>87</v>
      </c>
      <c r="K1020" t="s">
        <v>1878</v>
      </c>
      <c r="L1020" t="s">
        <v>89</v>
      </c>
      <c r="M1020" t="s">
        <v>318</v>
      </c>
      <c r="N1020" t="s">
        <v>375</v>
      </c>
      <c r="O1020" t="s">
        <v>3867</v>
      </c>
      <c r="P1020" t="s">
        <v>3867</v>
      </c>
      <c r="Q1020" t="s">
        <v>102</v>
      </c>
      <c r="R1020" t="s">
        <v>83</v>
      </c>
      <c r="S1020" t="s">
        <v>1880</v>
      </c>
      <c r="T1020" t="s">
        <v>3866</v>
      </c>
      <c r="U1020" t="s">
        <v>322</v>
      </c>
      <c r="V1020" t="s">
        <v>82</v>
      </c>
      <c r="W1020" t="s">
        <v>1466</v>
      </c>
      <c r="X1020" t="s">
        <v>96</v>
      </c>
      <c r="Y1020" t="s">
        <v>82</v>
      </c>
      <c r="Z1020" t="s">
        <v>134</v>
      </c>
    </row>
    <row r="1021" spans="1:26" x14ac:dyDescent="0.25">
      <c r="A1021" t="s">
        <v>1311</v>
      </c>
      <c r="B1021" t="s">
        <v>3868</v>
      </c>
      <c r="C1021" s="4" t="s">
        <v>3860</v>
      </c>
      <c r="D1021" t="s">
        <v>3861</v>
      </c>
      <c r="E1021" t="s">
        <v>14</v>
      </c>
      <c r="F1021" t="s">
        <v>85</v>
      </c>
      <c r="G1021" t="s">
        <v>111</v>
      </c>
      <c r="H1021" t="s">
        <v>78</v>
      </c>
      <c r="I1021" t="s">
        <v>102</v>
      </c>
      <c r="J1021" t="s">
        <v>29</v>
      </c>
      <c r="K1021" t="s">
        <v>1878</v>
      </c>
      <c r="L1021" t="s">
        <v>89</v>
      </c>
      <c r="M1021" t="s">
        <v>318</v>
      </c>
      <c r="N1021" t="s">
        <v>375</v>
      </c>
      <c r="O1021" t="s">
        <v>3867</v>
      </c>
      <c r="P1021" t="s">
        <v>3867</v>
      </c>
      <c r="Q1021" t="s">
        <v>102</v>
      </c>
      <c r="R1021" t="s">
        <v>83</v>
      </c>
      <c r="S1021" t="s">
        <v>1880</v>
      </c>
      <c r="T1021" t="s">
        <v>3868</v>
      </c>
      <c r="U1021" t="s">
        <v>322</v>
      </c>
      <c r="V1021" t="s">
        <v>82</v>
      </c>
      <c r="W1021" t="s">
        <v>1466</v>
      </c>
      <c r="X1021" t="s">
        <v>96</v>
      </c>
      <c r="Y1021" t="s">
        <v>82</v>
      </c>
      <c r="Z1021" t="s">
        <v>134</v>
      </c>
    </row>
    <row r="1022" spans="1:26" x14ac:dyDescent="0.25">
      <c r="A1022" t="s">
        <v>3869</v>
      </c>
      <c r="B1022" t="s">
        <v>3870</v>
      </c>
      <c r="C1022" s="4" t="s">
        <v>3871</v>
      </c>
      <c r="D1022" t="s">
        <v>3872</v>
      </c>
      <c r="E1022" t="s">
        <v>14</v>
      </c>
      <c r="F1022" t="s">
        <v>85</v>
      </c>
      <c r="G1022" t="s">
        <v>111</v>
      </c>
      <c r="H1022" t="s">
        <v>78</v>
      </c>
      <c r="I1022" t="s">
        <v>102</v>
      </c>
      <c r="J1022" t="s">
        <v>1682</v>
      </c>
      <c r="K1022" t="s">
        <v>1091</v>
      </c>
      <c r="L1022" t="s">
        <v>89</v>
      </c>
      <c r="M1022" t="s">
        <v>318</v>
      </c>
      <c r="N1022" t="s">
        <v>3873</v>
      </c>
      <c r="O1022" t="s">
        <v>3874</v>
      </c>
      <c r="P1022" t="s">
        <v>3875</v>
      </c>
      <c r="Q1022" t="s">
        <v>102</v>
      </c>
      <c r="R1022" t="s">
        <v>83</v>
      </c>
      <c r="S1022" t="s">
        <v>1384</v>
      </c>
      <c r="T1022" t="s">
        <v>3870</v>
      </c>
      <c r="U1022" t="s">
        <v>322</v>
      </c>
      <c r="V1022" t="s">
        <v>82</v>
      </c>
      <c r="W1022" t="s">
        <v>604</v>
      </c>
      <c r="X1022" t="s">
        <v>96</v>
      </c>
      <c r="Y1022" t="s">
        <v>82</v>
      </c>
      <c r="Z1022" t="s">
        <v>134</v>
      </c>
    </row>
    <row r="1023" spans="1:26" x14ac:dyDescent="0.25">
      <c r="A1023" t="s">
        <v>3876</v>
      </c>
      <c r="B1023" t="s">
        <v>3877</v>
      </c>
      <c r="C1023" s="4" t="s">
        <v>3871</v>
      </c>
      <c r="D1023" t="s">
        <v>3872</v>
      </c>
      <c r="E1023" t="s">
        <v>14</v>
      </c>
      <c r="F1023" t="s">
        <v>85</v>
      </c>
      <c r="G1023" t="s">
        <v>111</v>
      </c>
      <c r="H1023" t="s">
        <v>78</v>
      </c>
      <c r="I1023" t="s">
        <v>102</v>
      </c>
      <c r="J1023" t="s">
        <v>33</v>
      </c>
      <c r="K1023" t="s">
        <v>1091</v>
      </c>
      <c r="L1023" t="s">
        <v>89</v>
      </c>
      <c r="M1023" t="s">
        <v>318</v>
      </c>
      <c r="N1023" t="s">
        <v>3873</v>
      </c>
      <c r="O1023" t="s">
        <v>3874</v>
      </c>
      <c r="P1023" t="s">
        <v>3878</v>
      </c>
      <c r="Q1023" t="s">
        <v>102</v>
      </c>
      <c r="R1023" t="s">
        <v>83</v>
      </c>
      <c r="S1023" t="s">
        <v>1384</v>
      </c>
      <c r="T1023" t="s">
        <v>3877</v>
      </c>
      <c r="U1023" t="s">
        <v>322</v>
      </c>
      <c r="V1023" t="s">
        <v>82</v>
      </c>
      <c r="W1023" t="s">
        <v>604</v>
      </c>
      <c r="X1023" t="s">
        <v>96</v>
      </c>
      <c r="Y1023" t="s">
        <v>82</v>
      </c>
      <c r="Z1023" t="s">
        <v>134</v>
      </c>
    </row>
    <row r="1024" spans="1:26" x14ac:dyDescent="0.25">
      <c r="A1024" t="s">
        <v>3879</v>
      </c>
      <c r="B1024" t="s">
        <v>3880</v>
      </c>
      <c r="C1024" s="4" t="s">
        <v>3871</v>
      </c>
      <c r="D1024" t="s">
        <v>3872</v>
      </c>
      <c r="E1024" t="s">
        <v>14</v>
      </c>
      <c r="F1024" t="s">
        <v>85</v>
      </c>
      <c r="G1024" t="s">
        <v>111</v>
      </c>
      <c r="H1024" t="s">
        <v>78</v>
      </c>
      <c r="I1024" t="s">
        <v>102</v>
      </c>
      <c r="J1024" t="s">
        <v>29</v>
      </c>
      <c r="K1024" t="s">
        <v>1091</v>
      </c>
      <c r="L1024" t="s">
        <v>89</v>
      </c>
      <c r="M1024" t="s">
        <v>318</v>
      </c>
      <c r="N1024" t="s">
        <v>3873</v>
      </c>
      <c r="O1024" t="s">
        <v>3881</v>
      </c>
      <c r="P1024" t="s">
        <v>3881</v>
      </c>
      <c r="Q1024" t="s">
        <v>102</v>
      </c>
      <c r="R1024" t="s">
        <v>83</v>
      </c>
      <c r="S1024" t="s">
        <v>1384</v>
      </c>
      <c r="T1024" t="s">
        <v>3880</v>
      </c>
      <c r="U1024" t="s">
        <v>322</v>
      </c>
      <c r="V1024" t="s">
        <v>82</v>
      </c>
      <c r="W1024" t="s">
        <v>604</v>
      </c>
      <c r="X1024" t="s">
        <v>96</v>
      </c>
      <c r="Y1024" t="s">
        <v>82</v>
      </c>
      <c r="Z1024" t="s">
        <v>134</v>
      </c>
    </row>
    <row r="1025" spans="1:26" x14ac:dyDescent="0.25">
      <c r="A1025" t="s">
        <v>3882</v>
      </c>
      <c r="B1025" t="s">
        <v>3883</v>
      </c>
      <c r="C1025" s="4" t="s">
        <v>3871</v>
      </c>
      <c r="D1025" t="s">
        <v>3872</v>
      </c>
      <c r="E1025" t="s">
        <v>14</v>
      </c>
      <c r="F1025" t="s">
        <v>85</v>
      </c>
      <c r="G1025" t="s">
        <v>111</v>
      </c>
      <c r="H1025" t="s">
        <v>78</v>
      </c>
      <c r="I1025" t="s">
        <v>102</v>
      </c>
      <c r="J1025" t="s">
        <v>87</v>
      </c>
      <c r="K1025" t="s">
        <v>1091</v>
      </c>
      <c r="L1025" t="s">
        <v>89</v>
      </c>
      <c r="M1025" t="s">
        <v>318</v>
      </c>
      <c r="N1025" t="s">
        <v>3873</v>
      </c>
      <c r="O1025" t="s">
        <v>3881</v>
      </c>
      <c r="P1025" t="s">
        <v>3881</v>
      </c>
      <c r="Q1025" t="s">
        <v>102</v>
      </c>
      <c r="R1025" t="s">
        <v>83</v>
      </c>
      <c r="S1025" t="s">
        <v>1384</v>
      </c>
      <c r="T1025" t="s">
        <v>3883</v>
      </c>
      <c r="U1025" t="s">
        <v>322</v>
      </c>
      <c r="V1025" t="s">
        <v>82</v>
      </c>
      <c r="W1025" t="s">
        <v>604</v>
      </c>
      <c r="X1025" t="s">
        <v>96</v>
      </c>
      <c r="Y1025" t="s">
        <v>82</v>
      </c>
      <c r="Z1025" t="s">
        <v>134</v>
      </c>
    </row>
    <row r="1026" spans="1:26" x14ac:dyDescent="0.25">
      <c r="A1026" t="s">
        <v>3884</v>
      </c>
      <c r="B1026" t="s">
        <v>3885</v>
      </c>
      <c r="C1026" s="4" t="s">
        <v>3076</v>
      </c>
      <c r="D1026" t="s">
        <v>1869</v>
      </c>
      <c r="E1026" t="s">
        <v>14</v>
      </c>
      <c r="F1026" t="s">
        <v>83</v>
      </c>
      <c r="G1026" t="s">
        <v>84</v>
      </c>
      <c r="H1026" t="s">
        <v>78</v>
      </c>
      <c r="I1026" t="s">
        <v>86</v>
      </c>
      <c r="J1026" t="s">
        <v>32</v>
      </c>
      <c r="K1026" t="s">
        <v>2009</v>
      </c>
      <c r="L1026" t="s">
        <v>89</v>
      </c>
      <c r="M1026" t="s">
        <v>318</v>
      </c>
      <c r="N1026" t="s">
        <v>1136</v>
      </c>
      <c r="O1026" t="s">
        <v>3886</v>
      </c>
      <c r="P1026" t="s">
        <v>3886</v>
      </c>
      <c r="Q1026" t="s">
        <v>102</v>
      </c>
      <c r="R1026" t="s">
        <v>78</v>
      </c>
      <c r="S1026" t="s">
        <v>636</v>
      </c>
      <c r="T1026" t="s">
        <v>3885</v>
      </c>
      <c r="U1026" t="s">
        <v>322</v>
      </c>
      <c r="V1026" t="s">
        <v>82</v>
      </c>
      <c r="W1026" t="s">
        <v>1539</v>
      </c>
      <c r="X1026" t="s">
        <v>96</v>
      </c>
      <c r="Y1026" t="s">
        <v>82</v>
      </c>
      <c r="Z1026" t="s">
        <v>149</v>
      </c>
    </row>
    <row r="1027" spans="1:26" x14ac:dyDescent="0.25">
      <c r="A1027" t="s">
        <v>3887</v>
      </c>
      <c r="B1027" t="s">
        <v>3888</v>
      </c>
      <c r="C1027" s="4" t="s">
        <v>3889</v>
      </c>
      <c r="D1027" t="s">
        <v>3890</v>
      </c>
      <c r="E1027" t="s">
        <v>14</v>
      </c>
      <c r="F1027" t="s">
        <v>85</v>
      </c>
      <c r="G1027" t="s">
        <v>111</v>
      </c>
      <c r="H1027" t="s">
        <v>78</v>
      </c>
      <c r="I1027" t="s">
        <v>102</v>
      </c>
      <c r="J1027" t="s">
        <v>32</v>
      </c>
      <c r="K1027" t="s">
        <v>1091</v>
      </c>
      <c r="L1027" t="s">
        <v>89</v>
      </c>
      <c r="M1027" t="s">
        <v>318</v>
      </c>
      <c r="N1027" t="s">
        <v>1062</v>
      </c>
      <c r="O1027" t="s">
        <v>3891</v>
      </c>
      <c r="P1027" t="s">
        <v>3891</v>
      </c>
      <c r="Q1027" t="s">
        <v>102</v>
      </c>
      <c r="R1027" t="s">
        <v>111</v>
      </c>
      <c r="S1027" t="s">
        <v>1384</v>
      </c>
      <c r="T1027" t="s">
        <v>3888</v>
      </c>
      <c r="U1027" t="s">
        <v>322</v>
      </c>
      <c r="V1027" t="s">
        <v>82</v>
      </c>
      <c r="W1027" t="s">
        <v>2400</v>
      </c>
      <c r="X1027" t="s">
        <v>96</v>
      </c>
      <c r="Y1027" t="s">
        <v>82</v>
      </c>
      <c r="Z1027" t="s">
        <v>149</v>
      </c>
    </row>
    <row r="1028" spans="1:26" x14ac:dyDescent="0.25">
      <c r="A1028" t="s">
        <v>3892</v>
      </c>
      <c r="B1028" t="s">
        <v>3893</v>
      </c>
      <c r="C1028" s="4" t="s">
        <v>3889</v>
      </c>
      <c r="D1028" t="s">
        <v>3890</v>
      </c>
      <c r="E1028" t="s">
        <v>14</v>
      </c>
      <c r="F1028" t="s">
        <v>85</v>
      </c>
      <c r="G1028" t="s">
        <v>111</v>
      </c>
      <c r="H1028" t="s">
        <v>78</v>
      </c>
      <c r="I1028" t="s">
        <v>102</v>
      </c>
      <c r="J1028" t="s">
        <v>20</v>
      </c>
      <c r="K1028" t="s">
        <v>1091</v>
      </c>
      <c r="L1028" t="s">
        <v>89</v>
      </c>
      <c r="M1028" t="s">
        <v>318</v>
      </c>
      <c r="N1028" t="s">
        <v>1062</v>
      </c>
      <c r="O1028" t="s">
        <v>3894</v>
      </c>
      <c r="P1028" t="s">
        <v>3894</v>
      </c>
      <c r="Q1028" t="s">
        <v>102</v>
      </c>
      <c r="R1028" t="s">
        <v>111</v>
      </c>
      <c r="S1028" t="s">
        <v>1384</v>
      </c>
      <c r="T1028" t="s">
        <v>3893</v>
      </c>
      <c r="U1028" t="s">
        <v>322</v>
      </c>
      <c r="V1028" t="s">
        <v>82</v>
      </c>
      <c r="W1028" t="s">
        <v>2400</v>
      </c>
      <c r="X1028" t="s">
        <v>96</v>
      </c>
      <c r="Y1028" t="s">
        <v>82</v>
      </c>
      <c r="Z1028" t="s">
        <v>149</v>
      </c>
    </row>
    <row r="1029" spans="1:26" x14ac:dyDescent="0.25">
      <c r="A1029" t="s">
        <v>1214</v>
      </c>
      <c r="B1029" t="s">
        <v>3895</v>
      </c>
      <c r="C1029" s="4" t="s">
        <v>3889</v>
      </c>
      <c r="D1029" t="s">
        <v>3890</v>
      </c>
      <c r="E1029" t="s">
        <v>14</v>
      </c>
      <c r="F1029" t="s">
        <v>85</v>
      </c>
      <c r="G1029" t="s">
        <v>111</v>
      </c>
      <c r="H1029" t="s">
        <v>78</v>
      </c>
      <c r="I1029" t="s">
        <v>102</v>
      </c>
      <c r="J1029" t="s">
        <v>1114</v>
      </c>
      <c r="K1029" t="s">
        <v>1091</v>
      </c>
      <c r="L1029" t="s">
        <v>89</v>
      </c>
      <c r="M1029" t="s">
        <v>318</v>
      </c>
      <c r="N1029" t="s">
        <v>1062</v>
      </c>
      <c r="O1029" t="s">
        <v>3896</v>
      </c>
      <c r="P1029" t="s">
        <v>3896</v>
      </c>
      <c r="Q1029" t="s">
        <v>102</v>
      </c>
      <c r="R1029" t="s">
        <v>111</v>
      </c>
      <c r="S1029" t="s">
        <v>1384</v>
      </c>
      <c r="T1029" t="s">
        <v>3895</v>
      </c>
      <c r="U1029" t="s">
        <v>322</v>
      </c>
      <c r="V1029" t="s">
        <v>82</v>
      </c>
      <c r="W1029" t="s">
        <v>2400</v>
      </c>
      <c r="X1029" t="s">
        <v>96</v>
      </c>
      <c r="Y1029" t="s">
        <v>82</v>
      </c>
      <c r="Z1029" t="s">
        <v>149</v>
      </c>
    </row>
    <row r="1030" spans="1:26" x14ac:dyDescent="0.25">
      <c r="A1030" t="s">
        <v>1421</v>
      </c>
      <c r="B1030" t="s">
        <v>3897</v>
      </c>
      <c r="C1030" s="4" t="s">
        <v>3898</v>
      </c>
      <c r="D1030" t="s">
        <v>3899</v>
      </c>
      <c r="E1030" t="s">
        <v>14</v>
      </c>
      <c r="F1030" t="s">
        <v>111</v>
      </c>
      <c r="G1030" t="s">
        <v>124</v>
      </c>
      <c r="H1030" t="s">
        <v>78</v>
      </c>
      <c r="I1030" t="s">
        <v>102</v>
      </c>
      <c r="J1030" t="s">
        <v>18</v>
      </c>
      <c r="K1030" t="s">
        <v>3900</v>
      </c>
      <c r="L1030" t="s">
        <v>89</v>
      </c>
      <c r="M1030" t="s">
        <v>318</v>
      </c>
      <c r="N1030" t="s">
        <v>1174</v>
      </c>
      <c r="O1030" t="s">
        <v>3901</v>
      </c>
      <c r="P1030" t="s">
        <v>3901</v>
      </c>
      <c r="Q1030" t="s">
        <v>102</v>
      </c>
      <c r="R1030" t="s">
        <v>102</v>
      </c>
      <c r="S1030" t="s">
        <v>3902</v>
      </c>
      <c r="T1030" t="s">
        <v>3897</v>
      </c>
      <c r="U1030" t="s">
        <v>322</v>
      </c>
      <c r="V1030" t="s">
        <v>82</v>
      </c>
      <c r="W1030" t="s">
        <v>3903</v>
      </c>
      <c r="X1030" t="s">
        <v>96</v>
      </c>
      <c r="Y1030" t="s">
        <v>82</v>
      </c>
      <c r="Z1030" t="s">
        <v>78</v>
      </c>
    </row>
    <row r="1031" spans="1:26" x14ac:dyDescent="0.25">
      <c r="A1031" t="s">
        <v>3904</v>
      </c>
      <c r="B1031" t="s">
        <v>3905</v>
      </c>
      <c r="C1031" s="4" t="s">
        <v>3898</v>
      </c>
      <c r="D1031" t="s">
        <v>3899</v>
      </c>
      <c r="E1031" t="s">
        <v>14</v>
      </c>
      <c r="F1031" t="s">
        <v>111</v>
      </c>
      <c r="G1031" t="s">
        <v>124</v>
      </c>
      <c r="H1031" t="s">
        <v>78</v>
      </c>
      <c r="I1031" t="s">
        <v>102</v>
      </c>
      <c r="J1031" t="s">
        <v>15</v>
      </c>
      <c r="K1031" t="s">
        <v>3900</v>
      </c>
      <c r="L1031" t="s">
        <v>89</v>
      </c>
      <c r="M1031" t="s">
        <v>318</v>
      </c>
      <c r="N1031" t="s">
        <v>1174</v>
      </c>
      <c r="O1031" t="s">
        <v>3906</v>
      </c>
      <c r="P1031" t="s">
        <v>3906</v>
      </c>
      <c r="Q1031" t="s">
        <v>102</v>
      </c>
      <c r="R1031" t="s">
        <v>102</v>
      </c>
      <c r="S1031" t="s">
        <v>3902</v>
      </c>
      <c r="T1031" t="s">
        <v>3905</v>
      </c>
      <c r="U1031" t="s">
        <v>322</v>
      </c>
      <c r="V1031" t="s">
        <v>82</v>
      </c>
      <c r="W1031" t="s">
        <v>3903</v>
      </c>
      <c r="X1031" t="s">
        <v>96</v>
      </c>
      <c r="Y1031" t="s">
        <v>82</v>
      </c>
      <c r="Z1031" t="s">
        <v>78</v>
      </c>
    </row>
    <row r="1032" spans="1:26" x14ac:dyDescent="0.25">
      <c r="A1032" t="s">
        <v>2909</v>
      </c>
      <c r="B1032" t="s">
        <v>3907</v>
      </c>
      <c r="C1032" s="4" t="s">
        <v>3898</v>
      </c>
      <c r="D1032" t="s">
        <v>3899</v>
      </c>
      <c r="E1032" t="s">
        <v>14</v>
      </c>
      <c r="F1032" t="s">
        <v>128</v>
      </c>
      <c r="G1032" t="s">
        <v>105</v>
      </c>
      <c r="H1032" t="s">
        <v>78</v>
      </c>
      <c r="I1032" t="s">
        <v>102</v>
      </c>
      <c r="J1032" t="s">
        <v>15</v>
      </c>
      <c r="K1032" t="s">
        <v>3908</v>
      </c>
      <c r="L1032" t="s">
        <v>89</v>
      </c>
      <c r="M1032" t="s">
        <v>318</v>
      </c>
      <c r="N1032" t="s">
        <v>3909</v>
      </c>
      <c r="O1032" t="s">
        <v>3910</v>
      </c>
      <c r="P1032" t="s">
        <v>3910</v>
      </c>
      <c r="Q1032" t="s">
        <v>102</v>
      </c>
      <c r="R1032" t="s">
        <v>102</v>
      </c>
      <c r="S1032" t="s">
        <v>3911</v>
      </c>
      <c r="T1032" t="s">
        <v>3907</v>
      </c>
      <c r="U1032" t="s">
        <v>322</v>
      </c>
      <c r="V1032" t="s">
        <v>82</v>
      </c>
      <c r="W1032" t="s">
        <v>3912</v>
      </c>
      <c r="X1032" t="s">
        <v>96</v>
      </c>
      <c r="Y1032" t="s">
        <v>82</v>
      </c>
      <c r="Z1032" t="s">
        <v>78</v>
      </c>
    </row>
    <row r="1033" spans="1:26" x14ac:dyDescent="0.25">
      <c r="A1033" t="s">
        <v>2219</v>
      </c>
      <c r="B1033" t="s">
        <v>3913</v>
      </c>
      <c r="C1033" s="4" t="s">
        <v>3898</v>
      </c>
      <c r="D1033" t="s">
        <v>3899</v>
      </c>
      <c r="E1033" t="s">
        <v>14</v>
      </c>
      <c r="F1033" t="s">
        <v>128</v>
      </c>
      <c r="G1033" t="s">
        <v>105</v>
      </c>
      <c r="H1033" t="s">
        <v>78</v>
      </c>
      <c r="I1033" t="s">
        <v>102</v>
      </c>
      <c r="J1033" t="s">
        <v>18</v>
      </c>
      <c r="K1033" t="s">
        <v>3908</v>
      </c>
      <c r="L1033" t="s">
        <v>89</v>
      </c>
      <c r="M1033" t="s">
        <v>318</v>
      </c>
      <c r="N1033" t="s">
        <v>3909</v>
      </c>
      <c r="O1033" t="s">
        <v>3914</v>
      </c>
      <c r="P1033" t="s">
        <v>3914</v>
      </c>
      <c r="Q1033" t="s">
        <v>102</v>
      </c>
      <c r="R1033" t="s">
        <v>102</v>
      </c>
      <c r="S1033" t="s">
        <v>3911</v>
      </c>
      <c r="T1033" t="s">
        <v>3913</v>
      </c>
      <c r="U1033" t="s">
        <v>322</v>
      </c>
      <c r="V1033" t="s">
        <v>82</v>
      </c>
      <c r="W1033" t="s">
        <v>3912</v>
      </c>
      <c r="X1033" t="s">
        <v>96</v>
      </c>
      <c r="Y1033" t="s">
        <v>82</v>
      </c>
      <c r="Z1033" t="s">
        <v>78</v>
      </c>
    </row>
    <row r="1034" spans="1:26" x14ac:dyDescent="0.25">
      <c r="A1034" t="s">
        <v>3764</v>
      </c>
      <c r="B1034" t="s">
        <v>3915</v>
      </c>
      <c r="C1034" s="4" t="s">
        <v>3898</v>
      </c>
      <c r="D1034" t="s">
        <v>3899</v>
      </c>
      <c r="E1034" t="s">
        <v>14</v>
      </c>
      <c r="F1034" t="s">
        <v>143</v>
      </c>
      <c r="G1034" t="s">
        <v>106</v>
      </c>
      <c r="H1034" t="s">
        <v>78</v>
      </c>
      <c r="I1034" t="s">
        <v>102</v>
      </c>
      <c r="J1034" t="s">
        <v>18</v>
      </c>
      <c r="K1034" t="s">
        <v>1091</v>
      </c>
      <c r="L1034" t="s">
        <v>89</v>
      </c>
      <c r="M1034" t="s">
        <v>318</v>
      </c>
      <c r="N1034" t="s">
        <v>3916</v>
      </c>
      <c r="O1034" t="s">
        <v>3917</v>
      </c>
      <c r="P1034" t="s">
        <v>3918</v>
      </c>
      <c r="Q1034" t="s">
        <v>102</v>
      </c>
      <c r="R1034" t="s">
        <v>102</v>
      </c>
      <c r="S1034" t="s">
        <v>1384</v>
      </c>
      <c r="T1034" t="s">
        <v>3915</v>
      </c>
      <c r="U1034" t="s">
        <v>322</v>
      </c>
      <c r="V1034" t="s">
        <v>82</v>
      </c>
      <c r="W1034" t="s">
        <v>3919</v>
      </c>
      <c r="X1034" t="s">
        <v>96</v>
      </c>
      <c r="Y1034" t="s">
        <v>82</v>
      </c>
      <c r="Z1034" t="s">
        <v>78</v>
      </c>
    </row>
    <row r="1035" spans="1:26" x14ac:dyDescent="0.25">
      <c r="A1035" t="s">
        <v>3920</v>
      </c>
      <c r="B1035" t="s">
        <v>3921</v>
      </c>
      <c r="C1035" s="4" t="s">
        <v>3898</v>
      </c>
      <c r="D1035" t="s">
        <v>3899</v>
      </c>
      <c r="E1035" t="s">
        <v>14</v>
      </c>
      <c r="F1035" t="s">
        <v>143</v>
      </c>
      <c r="G1035" t="s">
        <v>106</v>
      </c>
      <c r="H1035" t="s">
        <v>78</v>
      </c>
      <c r="I1035" t="s">
        <v>102</v>
      </c>
      <c r="J1035" t="s">
        <v>15</v>
      </c>
      <c r="K1035" t="s">
        <v>1091</v>
      </c>
      <c r="L1035" t="s">
        <v>89</v>
      </c>
      <c r="M1035" t="s">
        <v>318</v>
      </c>
      <c r="N1035" t="s">
        <v>3916</v>
      </c>
      <c r="O1035" t="s">
        <v>3917</v>
      </c>
      <c r="P1035" t="s">
        <v>3922</v>
      </c>
      <c r="Q1035" t="s">
        <v>102</v>
      </c>
      <c r="R1035" t="s">
        <v>102</v>
      </c>
      <c r="S1035" t="s">
        <v>1384</v>
      </c>
      <c r="T1035" t="s">
        <v>3921</v>
      </c>
      <c r="U1035" t="s">
        <v>322</v>
      </c>
      <c r="V1035" t="s">
        <v>82</v>
      </c>
      <c r="W1035" t="s">
        <v>3919</v>
      </c>
      <c r="X1035" t="s">
        <v>96</v>
      </c>
      <c r="Y1035" t="s">
        <v>82</v>
      </c>
      <c r="Z1035" t="s">
        <v>78</v>
      </c>
    </row>
    <row r="1036" spans="1:26" x14ac:dyDescent="0.25">
      <c r="A1036" t="s">
        <v>3514</v>
      </c>
      <c r="B1036" t="s">
        <v>3923</v>
      </c>
      <c r="C1036" s="4" t="s">
        <v>3924</v>
      </c>
      <c r="D1036" t="s">
        <v>3925</v>
      </c>
      <c r="E1036" t="s">
        <v>14</v>
      </c>
      <c r="F1036" t="s">
        <v>111</v>
      </c>
      <c r="G1036" t="s">
        <v>124</v>
      </c>
      <c r="H1036" t="s">
        <v>78</v>
      </c>
      <c r="I1036" t="s">
        <v>102</v>
      </c>
      <c r="J1036" t="s">
        <v>18</v>
      </c>
      <c r="K1036" t="s">
        <v>3292</v>
      </c>
      <c r="L1036" t="s">
        <v>89</v>
      </c>
      <c r="M1036" t="s">
        <v>318</v>
      </c>
      <c r="N1036" t="s">
        <v>3810</v>
      </c>
      <c r="O1036" t="s">
        <v>3926</v>
      </c>
      <c r="P1036" t="s">
        <v>3926</v>
      </c>
      <c r="Q1036" t="s">
        <v>102</v>
      </c>
      <c r="R1036" t="s">
        <v>102</v>
      </c>
      <c r="S1036" t="s">
        <v>3927</v>
      </c>
      <c r="T1036" t="s">
        <v>3923</v>
      </c>
      <c r="U1036" t="s">
        <v>322</v>
      </c>
      <c r="V1036" t="s">
        <v>82</v>
      </c>
      <c r="W1036" t="s">
        <v>3928</v>
      </c>
      <c r="X1036" t="s">
        <v>96</v>
      </c>
      <c r="Y1036" t="s">
        <v>82</v>
      </c>
      <c r="Z1036" t="s">
        <v>78</v>
      </c>
    </row>
    <row r="1037" spans="1:26" x14ac:dyDescent="0.25">
      <c r="A1037" t="s">
        <v>3929</v>
      </c>
      <c r="B1037" t="s">
        <v>3930</v>
      </c>
      <c r="C1037" s="4" t="s">
        <v>3924</v>
      </c>
      <c r="D1037" t="s">
        <v>3925</v>
      </c>
      <c r="E1037" t="s">
        <v>14</v>
      </c>
      <c r="F1037" t="s">
        <v>111</v>
      </c>
      <c r="G1037" t="s">
        <v>124</v>
      </c>
      <c r="H1037" t="s">
        <v>78</v>
      </c>
      <c r="I1037" t="s">
        <v>102</v>
      </c>
      <c r="J1037" t="s">
        <v>15</v>
      </c>
      <c r="K1037" t="s">
        <v>3292</v>
      </c>
      <c r="L1037" t="s">
        <v>89</v>
      </c>
      <c r="M1037" t="s">
        <v>318</v>
      </c>
      <c r="N1037" t="s">
        <v>3810</v>
      </c>
      <c r="O1037" t="s">
        <v>3926</v>
      </c>
      <c r="P1037" t="s">
        <v>3926</v>
      </c>
      <c r="Q1037" t="s">
        <v>102</v>
      </c>
      <c r="R1037" t="s">
        <v>102</v>
      </c>
      <c r="S1037" t="s">
        <v>3927</v>
      </c>
      <c r="T1037" t="s">
        <v>3930</v>
      </c>
      <c r="U1037" t="s">
        <v>322</v>
      </c>
      <c r="V1037" t="s">
        <v>82</v>
      </c>
      <c r="W1037" t="s">
        <v>3928</v>
      </c>
      <c r="X1037" t="s">
        <v>96</v>
      </c>
      <c r="Y1037" t="s">
        <v>82</v>
      </c>
      <c r="Z1037" t="s">
        <v>78</v>
      </c>
    </row>
    <row r="1038" spans="1:26" x14ac:dyDescent="0.25">
      <c r="A1038" t="s">
        <v>3931</v>
      </c>
      <c r="B1038" t="s">
        <v>3932</v>
      </c>
      <c r="C1038" s="4" t="s">
        <v>3924</v>
      </c>
      <c r="D1038" t="s">
        <v>3925</v>
      </c>
      <c r="E1038" t="s">
        <v>14</v>
      </c>
      <c r="F1038" t="s">
        <v>128</v>
      </c>
      <c r="G1038" t="s">
        <v>105</v>
      </c>
      <c r="H1038" t="s">
        <v>78</v>
      </c>
      <c r="I1038" t="s">
        <v>102</v>
      </c>
      <c r="J1038" t="s">
        <v>15</v>
      </c>
      <c r="K1038" t="s">
        <v>1091</v>
      </c>
      <c r="L1038" t="s">
        <v>89</v>
      </c>
      <c r="M1038" t="s">
        <v>318</v>
      </c>
      <c r="N1038" t="s">
        <v>3933</v>
      </c>
      <c r="O1038" t="s">
        <v>3934</v>
      </c>
      <c r="P1038" t="s">
        <v>3934</v>
      </c>
      <c r="Q1038" t="s">
        <v>102</v>
      </c>
      <c r="R1038" t="s">
        <v>102</v>
      </c>
      <c r="S1038" t="s">
        <v>1384</v>
      </c>
      <c r="T1038" t="s">
        <v>3932</v>
      </c>
      <c r="U1038" t="s">
        <v>322</v>
      </c>
      <c r="V1038" t="s">
        <v>82</v>
      </c>
      <c r="W1038" t="s">
        <v>3935</v>
      </c>
      <c r="X1038" t="s">
        <v>96</v>
      </c>
      <c r="Y1038" t="s">
        <v>82</v>
      </c>
      <c r="Z1038" t="s">
        <v>78</v>
      </c>
    </row>
    <row r="1039" spans="1:26" x14ac:dyDescent="0.25">
      <c r="A1039" t="s">
        <v>3936</v>
      </c>
      <c r="B1039" t="s">
        <v>3937</v>
      </c>
      <c r="C1039" s="4" t="s">
        <v>3924</v>
      </c>
      <c r="D1039" t="s">
        <v>3925</v>
      </c>
      <c r="E1039" t="s">
        <v>14</v>
      </c>
      <c r="F1039" t="s">
        <v>128</v>
      </c>
      <c r="G1039" t="s">
        <v>105</v>
      </c>
      <c r="H1039" t="s">
        <v>78</v>
      </c>
      <c r="I1039" t="s">
        <v>102</v>
      </c>
      <c r="J1039" t="s">
        <v>18</v>
      </c>
      <c r="K1039" t="s">
        <v>1091</v>
      </c>
      <c r="L1039" t="s">
        <v>89</v>
      </c>
      <c r="M1039" t="s">
        <v>318</v>
      </c>
      <c r="N1039" t="s">
        <v>3933</v>
      </c>
      <c r="O1039" t="s">
        <v>3934</v>
      </c>
      <c r="P1039" t="s">
        <v>3934</v>
      </c>
      <c r="Q1039" t="s">
        <v>102</v>
      </c>
      <c r="R1039" t="s">
        <v>102</v>
      </c>
      <c r="S1039" t="s">
        <v>1384</v>
      </c>
      <c r="T1039" t="s">
        <v>3937</v>
      </c>
      <c r="U1039" t="s">
        <v>322</v>
      </c>
      <c r="V1039" t="s">
        <v>82</v>
      </c>
      <c r="W1039" t="s">
        <v>3935</v>
      </c>
      <c r="X1039" t="s">
        <v>96</v>
      </c>
      <c r="Y1039" t="s">
        <v>82</v>
      </c>
      <c r="Z1039" t="s">
        <v>78</v>
      </c>
    </row>
    <row r="1040" spans="1:26" x14ac:dyDescent="0.25">
      <c r="A1040" t="s">
        <v>3938</v>
      </c>
      <c r="B1040" t="s">
        <v>3939</v>
      </c>
      <c r="C1040" s="4" t="s">
        <v>3924</v>
      </c>
      <c r="D1040" t="s">
        <v>3925</v>
      </c>
      <c r="E1040" t="s">
        <v>14</v>
      </c>
      <c r="F1040" t="s">
        <v>143</v>
      </c>
      <c r="G1040" t="s">
        <v>106</v>
      </c>
      <c r="H1040" t="s">
        <v>78</v>
      </c>
      <c r="I1040" t="s">
        <v>102</v>
      </c>
      <c r="J1040" t="s">
        <v>18</v>
      </c>
      <c r="K1040" t="s">
        <v>3940</v>
      </c>
      <c r="L1040" t="s">
        <v>89</v>
      </c>
      <c r="M1040" t="s">
        <v>318</v>
      </c>
      <c r="N1040" t="s">
        <v>3941</v>
      </c>
      <c r="O1040" t="s">
        <v>3942</v>
      </c>
      <c r="P1040" t="s">
        <v>3942</v>
      </c>
      <c r="Q1040" t="s">
        <v>102</v>
      </c>
      <c r="R1040" t="s">
        <v>102</v>
      </c>
      <c r="S1040" t="s">
        <v>3943</v>
      </c>
      <c r="T1040" t="s">
        <v>3939</v>
      </c>
      <c r="U1040" t="s">
        <v>322</v>
      </c>
      <c r="V1040" t="s">
        <v>82</v>
      </c>
      <c r="W1040" t="s">
        <v>3944</v>
      </c>
      <c r="X1040" t="s">
        <v>96</v>
      </c>
      <c r="Y1040" t="s">
        <v>82</v>
      </c>
      <c r="Z1040" t="s">
        <v>78</v>
      </c>
    </row>
    <row r="1041" spans="1:26" x14ac:dyDescent="0.25">
      <c r="A1041" t="s">
        <v>3659</v>
      </c>
      <c r="B1041" t="s">
        <v>3945</v>
      </c>
      <c r="C1041" s="4" t="s">
        <v>3924</v>
      </c>
      <c r="D1041" t="s">
        <v>3925</v>
      </c>
      <c r="E1041" t="s">
        <v>14</v>
      </c>
      <c r="F1041" t="s">
        <v>143</v>
      </c>
      <c r="G1041" t="s">
        <v>106</v>
      </c>
      <c r="H1041" t="s">
        <v>78</v>
      </c>
      <c r="I1041" t="s">
        <v>102</v>
      </c>
      <c r="J1041" t="s">
        <v>15</v>
      </c>
      <c r="K1041" t="s">
        <v>3940</v>
      </c>
      <c r="L1041" t="s">
        <v>89</v>
      </c>
      <c r="M1041" t="s">
        <v>318</v>
      </c>
      <c r="N1041" t="s">
        <v>3941</v>
      </c>
      <c r="O1041" t="s">
        <v>3942</v>
      </c>
      <c r="P1041" t="s">
        <v>3942</v>
      </c>
      <c r="Q1041" t="s">
        <v>102</v>
      </c>
      <c r="R1041" t="s">
        <v>102</v>
      </c>
      <c r="S1041" t="s">
        <v>3943</v>
      </c>
      <c r="T1041" t="s">
        <v>3945</v>
      </c>
      <c r="U1041" t="s">
        <v>322</v>
      </c>
      <c r="V1041" t="s">
        <v>82</v>
      </c>
      <c r="W1041" t="s">
        <v>3944</v>
      </c>
      <c r="X1041" t="s">
        <v>96</v>
      </c>
      <c r="Y1041" t="s">
        <v>82</v>
      </c>
      <c r="Z1041" t="s">
        <v>78</v>
      </c>
    </row>
    <row r="1042" spans="1:26" x14ac:dyDescent="0.25">
      <c r="A1042" t="s">
        <v>3946</v>
      </c>
      <c r="B1042" t="s">
        <v>3947</v>
      </c>
      <c r="C1042" s="4" t="s">
        <v>3948</v>
      </c>
      <c r="D1042" t="s">
        <v>3949</v>
      </c>
      <c r="E1042" t="s">
        <v>14</v>
      </c>
      <c r="F1042" t="s">
        <v>111</v>
      </c>
      <c r="G1042" t="s">
        <v>124</v>
      </c>
      <c r="H1042" t="s">
        <v>78</v>
      </c>
      <c r="I1042" t="s">
        <v>102</v>
      </c>
      <c r="J1042" t="s">
        <v>18</v>
      </c>
      <c r="K1042" t="s">
        <v>1236</v>
      </c>
      <c r="L1042" t="s">
        <v>89</v>
      </c>
      <c r="M1042" t="s">
        <v>318</v>
      </c>
      <c r="N1042" t="s">
        <v>3950</v>
      </c>
      <c r="O1042" t="s">
        <v>3951</v>
      </c>
      <c r="P1042" t="s">
        <v>3952</v>
      </c>
      <c r="Q1042" t="s">
        <v>102</v>
      </c>
      <c r="R1042" t="s">
        <v>102</v>
      </c>
      <c r="S1042" t="s">
        <v>532</v>
      </c>
      <c r="T1042" t="s">
        <v>3947</v>
      </c>
      <c r="U1042" t="s">
        <v>322</v>
      </c>
      <c r="V1042" t="s">
        <v>82</v>
      </c>
      <c r="W1042" t="s">
        <v>873</v>
      </c>
      <c r="X1042" t="s">
        <v>96</v>
      </c>
      <c r="Y1042" t="s">
        <v>82</v>
      </c>
      <c r="Z1042" t="s">
        <v>78</v>
      </c>
    </row>
    <row r="1043" spans="1:26" x14ac:dyDescent="0.25">
      <c r="A1043" t="s">
        <v>3953</v>
      </c>
      <c r="B1043" t="s">
        <v>3954</v>
      </c>
      <c r="C1043" s="4" t="s">
        <v>3948</v>
      </c>
      <c r="D1043" t="s">
        <v>3949</v>
      </c>
      <c r="E1043" t="s">
        <v>14</v>
      </c>
      <c r="F1043" t="s">
        <v>111</v>
      </c>
      <c r="G1043" t="s">
        <v>124</v>
      </c>
      <c r="H1043" t="s">
        <v>78</v>
      </c>
      <c r="I1043" t="s">
        <v>102</v>
      </c>
      <c r="J1043" t="s">
        <v>18</v>
      </c>
      <c r="K1043" t="s">
        <v>1236</v>
      </c>
      <c r="L1043" t="s">
        <v>89</v>
      </c>
      <c r="M1043" t="s">
        <v>318</v>
      </c>
      <c r="N1043" t="s">
        <v>3950</v>
      </c>
      <c r="O1043" t="s">
        <v>3951</v>
      </c>
      <c r="P1043" t="s">
        <v>3951</v>
      </c>
      <c r="Q1043" t="s">
        <v>102</v>
      </c>
      <c r="R1043" t="s">
        <v>102</v>
      </c>
      <c r="S1043" t="s">
        <v>532</v>
      </c>
      <c r="T1043" t="s">
        <v>3954</v>
      </c>
      <c r="U1043" t="s">
        <v>322</v>
      </c>
      <c r="V1043" t="s">
        <v>82</v>
      </c>
      <c r="W1043" t="s">
        <v>873</v>
      </c>
      <c r="X1043" t="s">
        <v>96</v>
      </c>
      <c r="Y1043" t="s">
        <v>82</v>
      </c>
      <c r="Z1043" t="s">
        <v>78</v>
      </c>
    </row>
    <row r="1044" spans="1:26" x14ac:dyDescent="0.25">
      <c r="A1044" t="s">
        <v>3955</v>
      </c>
      <c r="B1044" t="s">
        <v>3956</v>
      </c>
      <c r="C1044" s="4" t="s">
        <v>3948</v>
      </c>
      <c r="D1044" t="s">
        <v>3949</v>
      </c>
      <c r="E1044" t="s">
        <v>14</v>
      </c>
      <c r="F1044" t="s">
        <v>128</v>
      </c>
      <c r="G1044" t="s">
        <v>105</v>
      </c>
      <c r="H1044" t="s">
        <v>78</v>
      </c>
      <c r="I1044" t="s">
        <v>102</v>
      </c>
      <c r="J1044" t="s">
        <v>18</v>
      </c>
      <c r="K1044" t="s">
        <v>3908</v>
      </c>
      <c r="L1044" t="s">
        <v>89</v>
      </c>
      <c r="M1044" t="s">
        <v>318</v>
      </c>
      <c r="N1044" t="s">
        <v>3909</v>
      </c>
      <c r="O1044" t="s">
        <v>3957</v>
      </c>
      <c r="P1044" t="s">
        <v>3957</v>
      </c>
      <c r="Q1044" t="s">
        <v>102</v>
      </c>
      <c r="R1044" t="s">
        <v>102</v>
      </c>
      <c r="S1044" t="s">
        <v>3911</v>
      </c>
      <c r="T1044" t="s">
        <v>3956</v>
      </c>
      <c r="U1044" t="s">
        <v>322</v>
      </c>
      <c r="V1044" t="s">
        <v>82</v>
      </c>
      <c r="W1044" t="s">
        <v>3912</v>
      </c>
      <c r="X1044" t="s">
        <v>96</v>
      </c>
      <c r="Y1044" t="s">
        <v>82</v>
      </c>
      <c r="Z1044" t="s">
        <v>78</v>
      </c>
    </row>
    <row r="1045" spans="1:26" x14ac:dyDescent="0.25">
      <c r="A1045" t="s">
        <v>3958</v>
      </c>
      <c r="B1045" t="s">
        <v>3959</v>
      </c>
      <c r="C1045" s="4" t="s">
        <v>3948</v>
      </c>
      <c r="D1045" t="s">
        <v>3949</v>
      </c>
      <c r="E1045" t="s">
        <v>14</v>
      </c>
      <c r="F1045" t="s">
        <v>128</v>
      </c>
      <c r="G1045" t="s">
        <v>105</v>
      </c>
      <c r="H1045" t="s">
        <v>78</v>
      </c>
      <c r="I1045" t="s">
        <v>102</v>
      </c>
      <c r="J1045" t="s">
        <v>18</v>
      </c>
      <c r="K1045" t="s">
        <v>3908</v>
      </c>
      <c r="L1045" t="s">
        <v>89</v>
      </c>
      <c r="M1045" t="s">
        <v>318</v>
      </c>
      <c r="N1045" t="s">
        <v>3909</v>
      </c>
      <c r="O1045" t="s">
        <v>3957</v>
      </c>
      <c r="P1045" t="s">
        <v>3960</v>
      </c>
      <c r="Q1045" t="s">
        <v>102</v>
      </c>
      <c r="R1045" t="s">
        <v>102</v>
      </c>
      <c r="S1045" t="s">
        <v>3911</v>
      </c>
      <c r="T1045" t="s">
        <v>3959</v>
      </c>
      <c r="U1045" t="s">
        <v>322</v>
      </c>
      <c r="V1045" t="s">
        <v>82</v>
      </c>
      <c r="W1045" t="s">
        <v>3912</v>
      </c>
      <c r="X1045" t="s">
        <v>96</v>
      </c>
      <c r="Y1045" t="s">
        <v>82</v>
      </c>
      <c r="Z1045" t="s">
        <v>78</v>
      </c>
    </row>
    <row r="1046" spans="1:26" x14ac:dyDescent="0.25">
      <c r="A1046" t="s">
        <v>3961</v>
      </c>
      <c r="B1046" t="s">
        <v>3962</v>
      </c>
      <c r="C1046" s="4" t="s">
        <v>3948</v>
      </c>
      <c r="D1046" t="s">
        <v>3949</v>
      </c>
      <c r="E1046" t="s">
        <v>14</v>
      </c>
      <c r="F1046" t="s">
        <v>143</v>
      </c>
      <c r="G1046" t="s">
        <v>106</v>
      </c>
      <c r="H1046" t="s">
        <v>78</v>
      </c>
      <c r="I1046" t="s">
        <v>102</v>
      </c>
      <c r="J1046" t="s">
        <v>18</v>
      </c>
      <c r="K1046" t="s">
        <v>3613</v>
      </c>
      <c r="L1046" t="s">
        <v>89</v>
      </c>
      <c r="M1046" t="s">
        <v>318</v>
      </c>
      <c r="N1046" t="s">
        <v>1251</v>
      </c>
      <c r="O1046" t="s">
        <v>3963</v>
      </c>
      <c r="P1046" t="s">
        <v>3964</v>
      </c>
      <c r="Q1046" t="s">
        <v>102</v>
      </c>
      <c r="R1046" t="s">
        <v>102</v>
      </c>
      <c r="S1046" t="s">
        <v>3965</v>
      </c>
      <c r="T1046" t="s">
        <v>3962</v>
      </c>
      <c r="U1046" t="s">
        <v>322</v>
      </c>
      <c r="V1046" t="s">
        <v>82</v>
      </c>
      <c r="W1046" t="s">
        <v>3617</v>
      </c>
      <c r="X1046" t="s">
        <v>96</v>
      </c>
      <c r="Y1046" t="s">
        <v>82</v>
      </c>
      <c r="Z1046" t="s">
        <v>78</v>
      </c>
    </row>
    <row r="1047" spans="1:26" x14ac:dyDescent="0.25">
      <c r="A1047" t="s">
        <v>3832</v>
      </c>
      <c r="B1047" t="s">
        <v>3966</v>
      </c>
      <c r="C1047" s="4" t="s">
        <v>3948</v>
      </c>
      <c r="D1047" t="s">
        <v>3949</v>
      </c>
      <c r="E1047" t="s">
        <v>14</v>
      </c>
      <c r="F1047" t="s">
        <v>143</v>
      </c>
      <c r="G1047" t="s">
        <v>106</v>
      </c>
      <c r="H1047" t="s">
        <v>78</v>
      </c>
      <c r="I1047" t="s">
        <v>102</v>
      </c>
      <c r="J1047" t="s">
        <v>18</v>
      </c>
      <c r="K1047" t="s">
        <v>3613</v>
      </c>
      <c r="L1047" t="s">
        <v>89</v>
      </c>
      <c r="M1047" t="s">
        <v>318</v>
      </c>
      <c r="N1047" t="s">
        <v>1251</v>
      </c>
      <c r="O1047" t="s">
        <v>3967</v>
      </c>
      <c r="P1047" t="s">
        <v>3967</v>
      </c>
      <c r="Q1047" t="s">
        <v>102</v>
      </c>
      <c r="R1047" t="s">
        <v>102</v>
      </c>
      <c r="S1047" t="s">
        <v>3965</v>
      </c>
      <c r="T1047" t="s">
        <v>3966</v>
      </c>
      <c r="U1047" t="s">
        <v>322</v>
      </c>
      <c r="V1047" t="s">
        <v>82</v>
      </c>
      <c r="W1047" t="s">
        <v>3617</v>
      </c>
      <c r="X1047" t="s">
        <v>96</v>
      </c>
      <c r="Y1047" t="s">
        <v>82</v>
      </c>
      <c r="Z1047" t="s">
        <v>78</v>
      </c>
    </row>
    <row r="1048" spans="1:26" x14ac:dyDescent="0.25">
      <c r="A1048" t="s">
        <v>3968</v>
      </c>
      <c r="B1048" t="s">
        <v>3969</v>
      </c>
      <c r="C1048" s="4" t="s">
        <v>3970</v>
      </c>
      <c r="D1048" t="s">
        <v>3543</v>
      </c>
      <c r="E1048" t="s">
        <v>14</v>
      </c>
      <c r="F1048" t="s">
        <v>83</v>
      </c>
      <c r="G1048" t="s">
        <v>128</v>
      </c>
      <c r="H1048" t="s">
        <v>78</v>
      </c>
      <c r="I1048" t="s">
        <v>102</v>
      </c>
      <c r="J1048" t="s">
        <v>18</v>
      </c>
      <c r="K1048" t="s">
        <v>3971</v>
      </c>
      <c r="L1048" t="s">
        <v>89</v>
      </c>
      <c r="M1048" t="s">
        <v>318</v>
      </c>
      <c r="N1048" t="s">
        <v>1432</v>
      </c>
      <c r="O1048" t="s">
        <v>3972</v>
      </c>
      <c r="P1048" t="s">
        <v>3973</v>
      </c>
      <c r="Q1048" t="s">
        <v>102</v>
      </c>
      <c r="R1048" t="s">
        <v>102</v>
      </c>
      <c r="S1048" t="s">
        <v>3974</v>
      </c>
      <c r="T1048" t="s">
        <v>3969</v>
      </c>
      <c r="U1048" t="s">
        <v>322</v>
      </c>
      <c r="V1048" t="s">
        <v>82</v>
      </c>
      <c r="W1048" t="s">
        <v>3975</v>
      </c>
      <c r="X1048" t="s">
        <v>96</v>
      </c>
      <c r="Y1048" t="s">
        <v>82</v>
      </c>
      <c r="Z1048" t="s">
        <v>78</v>
      </c>
    </row>
    <row r="1049" spans="1:26" x14ac:dyDescent="0.25">
      <c r="A1049" t="s">
        <v>3976</v>
      </c>
      <c r="B1049" t="s">
        <v>3977</v>
      </c>
      <c r="C1049" s="4" t="s">
        <v>3970</v>
      </c>
      <c r="D1049" t="s">
        <v>3543</v>
      </c>
      <c r="E1049" t="s">
        <v>14</v>
      </c>
      <c r="F1049" t="s">
        <v>128</v>
      </c>
      <c r="G1049" t="s">
        <v>105</v>
      </c>
      <c r="H1049" t="s">
        <v>78</v>
      </c>
      <c r="I1049" t="s">
        <v>102</v>
      </c>
      <c r="J1049" t="s">
        <v>18</v>
      </c>
      <c r="K1049" t="s">
        <v>3978</v>
      </c>
      <c r="L1049" t="s">
        <v>89</v>
      </c>
      <c r="M1049" t="s">
        <v>318</v>
      </c>
      <c r="N1049" t="s">
        <v>3950</v>
      </c>
      <c r="O1049" t="s">
        <v>3979</v>
      </c>
      <c r="P1049" t="s">
        <v>3980</v>
      </c>
      <c r="Q1049" t="s">
        <v>102</v>
      </c>
      <c r="R1049" t="s">
        <v>102</v>
      </c>
      <c r="S1049" t="s">
        <v>3981</v>
      </c>
      <c r="T1049" t="s">
        <v>3977</v>
      </c>
      <c r="U1049" t="s">
        <v>322</v>
      </c>
      <c r="V1049" t="s">
        <v>82</v>
      </c>
      <c r="W1049" t="s">
        <v>3903</v>
      </c>
      <c r="X1049" t="s">
        <v>96</v>
      </c>
      <c r="Y1049" t="s">
        <v>82</v>
      </c>
      <c r="Z1049" t="s">
        <v>78</v>
      </c>
    </row>
    <row r="1050" spans="1:26" x14ac:dyDescent="0.25">
      <c r="A1050" t="s">
        <v>3982</v>
      </c>
      <c r="B1050" t="s">
        <v>3983</v>
      </c>
      <c r="C1050" s="4" t="s">
        <v>3984</v>
      </c>
      <c r="D1050" t="s">
        <v>3985</v>
      </c>
      <c r="E1050" t="s">
        <v>14</v>
      </c>
      <c r="F1050" t="s">
        <v>111</v>
      </c>
      <c r="G1050" t="s">
        <v>124</v>
      </c>
      <c r="H1050" t="s">
        <v>78</v>
      </c>
      <c r="I1050" t="s">
        <v>102</v>
      </c>
      <c r="J1050" t="s">
        <v>17</v>
      </c>
      <c r="K1050" t="s">
        <v>799</v>
      </c>
      <c r="L1050" t="s">
        <v>89</v>
      </c>
      <c r="M1050" t="s">
        <v>318</v>
      </c>
      <c r="N1050" t="s">
        <v>1432</v>
      </c>
      <c r="O1050" t="s">
        <v>3986</v>
      </c>
      <c r="P1050" t="s">
        <v>3986</v>
      </c>
      <c r="Q1050" t="s">
        <v>102</v>
      </c>
      <c r="R1050" t="s">
        <v>86</v>
      </c>
      <c r="S1050" t="s">
        <v>802</v>
      </c>
      <c r="T1050" t="s">
        <v>3983</v>
      </c>
      <c r="U1050" t="s">
        <v>322</v>
      </c>
      <c r="V1050" t="s">
        <v>82</v>
      </c>
      <c r="W1050" t="s">
        <v>706</v>
      </c>
      <c r="X1050" t="s">
        <v>96</v>
      </c>
      <c r="Y1050" t="s">
        <v>82</v>
      </c>
      <c r="Z1050" t="s">
        <v>82</v>
      </c>
    </row>
    <row r="1051" spans="1:26" x14ac:dyDescent="0.25">
      <c r="A1051" t="s">
        <v>3987</v>
      </c>
      <c r="B1051" t="s">
        <v>3988</v>
      </c>
      <c r="C1051" s="4" t="s">
        <v>3984</v>
      </c>
      <c r="D1051" t="s">
        <v>3985</v>
      </c>
      <c r="E1051" t="s">
        <v>14</v>
      </c>
      <c r="F1051" t="s">
        <v>128</v>
      </c>
      <c r="G1051" t="s">
        <v>105</v>
      </c>
      <c r="H1051" t="s">
        <v>78</v>
      </c>
      <c r="I1051" t="s">
        <v>102</v>
      </c>
      <c r="J1051" t="s">
        <v>17</v>
      </c>
      <c r="K1051" t="s">
        <v>3783</v>
      </c>
      <c r="L1051" t="s">
        <v>89</v>
      </c>
      <c r="M1051" t="s">
        <v>318</v>
      </c>
      <c r="N1051" t="s">
        <v>1340</v>
      </c>
      <c r="O1051" t="s">
        <v>3989</v>
      </c>
      <c r="P1051" t="s">
        <v>3989</v>
      </c>
      <c r="Q1051" t="s">
        <v>102</v>
      </c>
      <c r="R1051" t="s">
        <v>86</v>
      </c>
      <c r="S1051" t="s">
        <v>3785</v>
      </c>
      <c r="T1051" t="s">
        <v>3988</v>
      </c>
      <c r="U1051" t="s">
        <v>322</v>
      </c>
      <c r="V1051" t="s">
        <v>82</v>
      </c>
      <c r="W1051" t="s">
        <v>3786</v>
      </c>
      <c r="X1051" t="s">
        <v>96</v>
      </c>
      <c r="Y1051" t="s">
        <v>82</v>
      </c>
      <c r="Z1051" t="s">
        <v>82</v>
      </c>
    </row>
    <row r="1052" spans="1:26" x14ac:dyDescent="0.25">
      <c r="A1052" t="s">
        <v>3990</v>
      </c>
      <c r="B1052" t="s">
        <v>3991</v>
      </c>
      <c r="C1052" s="4" t="s">
        <v>3984</v>
      </c>
      <c r="D1052" t="s">
        <v>3985</v>
      </c>
      <c r="E1052" t="s">
        <v>14</v>
      </c>
      <c r="F1052" t="s">
        <v>143</v>
      </c>
      <c r="G1052" t="s">
        <v>106</v>
      </c>
      <c r="H1052" t="s">
        <v>78</v>
      </c>
      <c r="I1052" t="s">
        <v>102</v>
      </c>
      <c r="J1052" t="s">
        <v>17</v>
      </c>
      <c r="K1052" t="s">
        <v>3992</v>
      </c>
      <c r="L1052" t="s">
        <v>89</v>
      </c>
      <c r="M1052" t="s">
        <v>318</v>
      </c>
      <c r="N1052" t="s">
        <v>1358</v>
      </c>
      <c r="O1052" t="s">
        <v>3993</v>
      </c>
      <c r="P1052" t="s">
        <v>3993</v>
      </c>
      <c r="Q1052" t="s">
        <v>102</v>
      </c>
      <c r="R1052" t="s">
        <v>86</v>
      </c>
      <c r="S1052" t="s">
        <v>3994</v>
      </c>
      <c r="T1052" t="s">
        <v>3991</v>
      </c>
      <c r="U1052" t="s">
        <v>322</v>
      </c>
      <c r="V1052" t="s">
        <v>82</v>
      </c>
      <c r="W1052" t="s">
        <v>3995</v>
      </c>
      <c r="X1052" t="s">
        <v>96</v>
      </c>
      <c r="Y1052" t="s">
        <v>82</v>
      </c>
      <c r="Z1052" t="s">
        <v>82</v>
      </c>
    </row>
    <row r="1053" spans="1:26" x14ac:dyDescent="0.25">
      <c r="A1053" t="s">
        <v>3996</v>
      </c>
      <c r="B1053" t="s">
        <v>3997</v>
      </c>
      <c r="C1053" s="4" t="s">
        <v>3998</v>
      </c>
      <c r="D1053" t="s">
        <v>3999</v>
      </c>
      <c r="E1053" t="s">
        <v>14</v>
      </c>
      <c r="F1053" t="s">
        <v>111</v>
      </c>
      <c r="G1053" t="s">
        <v>124</v>
      </c>
      <c r="H1053" t="s">
        <v>78</v>
      </c>
      <c r="I1053" t="s">
        <v>102</v>
      </c>
      <c r="J1053" t="s">
        <v>18</v>
      </c>
      <c r="K1053" t="s">
        <v>979</v>
      </c>
      <c r="L1053" t="s">
        <v>89</v>
      </c>
      <c r="M1053" t="s">
        <v>318</v>
      </c>
      <c r="N1053" t="s">
        <v>4000</v>
      </c>
      <c r="O1053" t="s">
        <v>4001</v>
      </c>
      <c r="P1053" t="s">
        <v>4001</v>
      </c>
      <c r="Q1053" t="s">
        <v>102</v>
      </c>
      <c r="R1053" t="s">
        <v>86</v>
      </c>
      <c r="S1053" t="s">
        <v>983</v>
      </c>
      <c r="T1053" t="s">
        <v>3997</v>
      </c>
      <c r="U1053" t="s">
        <v>322</v>
      </c>
      <c r="V1053" t="s">
        <v>82</v>
      </c>
      <c r="W1053" t="s">
        <v>4002</v>
      </c>
      <c r="X1053" t="s">
        <v>96</v>
      </c>
      <c r="Y1053" t="s">
        <v>82</v>
      </c>
      <c r="Z1053" t="s">
        <v>78</v>
      </c>
    </row>
    <row r="1054" spans="1:26" x14ac:dyDescent="0.25">
      <c r="A1054" t="s">
        <v>4003</v>
      </c>
      <c r="B1054" t="s">
        <v>4004</v>
      </c>
      <c r="C1054" s="4" t="s">
        <v>3998</v>
      </c>
      <c r="D1054" t="s">
        <v>3999</v>
      </c>
      <c r="E1054" t="s">
        <v>14</v>
      </c>
      <c r="F1054" t="s">
        <v>128</v>
      </c>
      <c r="G1054" t="s">
        <v>105</v>
      </c>
      <c r="H1054" t="s">
        <v>78</v>
      </c>
      <c r="I1054" t="s">
        <v>102</v>
      </c>
      <c r="J1054" t="s">
        <v>18</v>
      </c>
      <c r="K1054" t="s">
        <v>1074</v>
      </c>
      <c r="L1054" t="s">
        <v>89</v>
      </c>
      <c r="M1054" t="s">
        <v>318</v>
      </c>
      <c r="N1054" t="s">
        <v>1358</v>
      </c>
      <c r="O1054" t="s">
        <v>4005</v>
      </c>
      <c r="P1054" t="s">
        <v>4005</v>
      </c>
      <c r="Q1054" t="s">
        <v>102</v>
      </c>
      <c r="R1054" t="s">
        <v>86</v>
      </c>
      <c r="S1054" t="s">
        <v>4006</v>
      </c>
      <c r="T1054" t="s">
        <v>4004</v>
      </c>
      <c r="U1054" t="s">
        <v>322</v>
      </c>
      <c r="V1054" t="s">
        <v>82</v>
      </c>
      <c r="W1054" t="s">
        <v>4007</v>
      </c>
      <c r="X1054" t="s">
        <v>96</v>
      </c>
      <c r="Y1054" t="s">
        <v>82</v>
      </c>
      <c r="Z1054" t="s">
        <v>78</v>
      </c>
    </row>
    <row r="1055" spans="1:26" x14ac:dyDescent="0.25">
      <c r="A1055" t="s">
        <v>4008</v>
      </c>
      <c r="B1055" t="s">
        <v>4009</v>
      </c>
      <c r="C1055" s="4" t="s">
        <v>3998</v>
      </c>
      <c r="D1055" t="s">
        <v>3999</v>
      </c>
      <c r="E1055" t="s">
        <v>14</v>
      </c>
      <c r="F1055" t="s">
        <v>143</v>
      </c>
      <c r="G1055" t="s">
        <v>106</v>
      </c>
      <c r="H1055" t="s">
        <v>78</v>
      </c>
      <c r="I1055" t="s">
        <v>102</v>
      </c>
      <c r="J1055" t="s">
        <v>18</v>
      </c>
      <c r="K1055" t="s">
        <v>1091</v>
      </c>
      <c r="L1055" t="s">
        <v>89</v>
      </c>
      <c r="M1055" t="s">
        <v>318</v>
      </c>
      <c r="N1055" t="s">
        <v>4010</v>
      </c>
      <c r="O1055" t="s">
        <v>4011</v>
      </c>
      <c r="P1055" t="s">
        <v>4011</v>
      </c>
      <c r="Q1055" t="s">
        <v>102</v>
      </c>
      <c r="R1055" t="s">
        <v>86</v>
      </c>
      <c r="S1055" t="s">
        <v>1384</v>
      </c>
      <c r="T1055" t="s">
        <v>4009</v>
      </c>
      <c r="U1055" t="s">
        <v>322</v>
      </c>
      <c r="V1055" t="s">
        <v>82</v>
      </c>
      <c r="W1055" t="s">
        <v>3919</v>
      </c>
      <c r="X1055" t="s">
        <v>96</v>
      </c>
      <c r="Y1055" t="s">
        <v>82</v>
      </c>
      <c r="Z1055" t="s">
        <v>78</v>
      </c>
    </row>
    <row r="1056" spans="1:26" x14ac:dyDescent="0.25">
      <c r="A1056" t="s">
        <v>4012</v>
      </c>
      <c r="B1056" t="s">
        <v>4013</v>
      </c>
      <c r="C1056" s="4" t="s">
        <v>3948</v>
      </c>
      <c r="D1056" t="s">
        <v>3949</v>
      </c>
      <c r="E1056" t="s">
        <v>14</v>
      </c>
      <c r="F1056" t="s">
        <v>111</v>
      </c>
      <c r="G1056" t="s">
        <v>124</v>
      </c>
      <c r="H1056" t="s">
        <v>78</v>
      </c>
      <c r="I1056" t="s">
        <v>102</v>
      </c>
      <c r="J1056" t="s">
        <v>17</v>
      </c>
      <c r="K1056" t="s">
        <v>1236</v>
      </c>
      <c r="L1056" t="s">
        <v>89</v>
      </c>
      <c r="M1056" t="s">
        <v>318</v>
      </c>
      <c r="N1056" t="s">
        <v>3950</v>
      </c>
      <c r="O1056" t="s">
        <v>4014</v>
      </c>
      <c r="P1056" t="s">
        <v>4014</v>
      </c>
      <c r="Q1056" t="s">
        <v>102</v>
      </c>
      <c r="R1056" t="s">
        <v>102</v>
      </c>
      <c r="S1056" t="s">
        <v>532</v>
      </c>
      <c r="T1056" t="s">
        <v>4013</v>
      </c>
      <c r="U1056" t="s">
        <v>322</v>
      </c>
      <c r="V1056" t="s">
        <v>82</v>
      </c>
      <c r="W1056" t="s">
        <v>873</v>
      </c>
      <c r="X1056" t="s">
        <v>96</v>
      </c>
      <c r="Y1056" t="s">
        <v>82</v>
      </c>
      <c r="Z1056" t="s">
        <v>78</v>
      </c>
    </row>
    <row r="1057" spans="1:26" x14ac:dyDescent="0.25">
      <c r="A1057" t="s">
        <v>4015</v>
      </c>
      <c r="B1057" t="s">
        <v>4016</v>
      </c>
      <c r="C1057" s="4" t="s">
        <v>3948</v>
      </c>
      <c r="D1057" t="s">
        <v>3949</v>
      </c>
      <c r="E1057" t="s">
        <v>14</v>
      </c>
      <c r="F1057" t="s">
        <v>128</v>
      </c>
      <c r="G1057" t="s">
        <v>105</v>
      </c>
      <c r="H1057" t="s">
        <v>78</v>
      </c>
      <c r="I1057" t="s">
        <v>102</v>
      </c>
      <c r="J1057" t="s">
        <v>17</v>
      </c>
      <c r="K1057" t="s">
        <v>3908</v>
      </c>
      <c r="L1057" t="s">
        <v>89</v>
      </c>
      <c r="M1057" t="s">
        <v>318</v>
      </c>
      <c r="N1057" t="s">
        <v>3909</v>
      </c>
      <c r="O1057" t="s">
        <v>4017</v>
      </c>
      <c r="P1057" t="s">
        <v>4017</v>
      </c>
      <c r="Q1057" t="s">
        <v>102</v>
      </c>
      <c r="R1057" t="s">
        <v>102</v>
      </c>
      <c r="S1057" t="s">
        <v>3911</v>
      </c>
      <c r="T1057" t="s">
        <v>4016</v>
      </c>
      <c r="U1057" t="s">
        <v>322</v>
      </c>
      <c r="V1057" t="s">
        <v>82</v>
      </c>
      <c r="W1057" t="s">
        <v>3912</v>
      </c>
      <c r="X1057" t="s">
        <v>96</v>
      </c>
      <c r="Y1057" t="s">
        <v>82</v>
      </c>
      <c r="Z1057" t="s">
        <v>78</v>
      </c>
    </row>
    <row r="1058" spans="1:26" x14ac:dyDescent="0.25">
      <c r="A1058" t="s">
        <v>4018</v>
      </c>
      <c r="B1058" t="s">
        <v>4019</v>
      </c>
      <c r="C1058" s="4" t="s">
        <v>3948</v>
      </c>
      <c r="D1058" t="s">
        <v>3949</v>
      </c>
      <c r="E1058" t="s">
        <v>14</v>
      </c>
      <c r="F1058" t="s">
        <v>143</v>
      </c>
      <c r="G1058" t="s">
        <v>106</v>
      </c>
      <c r="H1058" t="s">
        <v>78</v>
      </c>
      <c r="I1058" t="s">
        <v>102</v>
      </c>
      <c r="J1058" t="s">
        <v>17</v>
      </c>
      <c r="K1058" t="s">
        <v>3613</v>
      </c>
      <c r="L1058" t="s">
        <v>89</v>
      </c>
      <c r="M1058" t="s">
        <v>318</v>
      </c>
      <c r="N1058" t="s">
        <v>1251</v>
      </c>
      <c r="O1058" t="s">
        <v>4020</v>
      </c>
      <c r="P1058" t="s">
        <v>4020</v>
      </c>
      <c r="Q1058" t="s">
        <v>102</v>
      </c>
      <c r="R1058" t="s">
        <v>102</v>
      </c>
      <c r="S1058" t="s">
        <v>3965</v>
      </c>
      <c r="T1058" t="s">
        <v>4019</v>
      </c>
      <c r="U1058" t="s">
        <v>322</v>
      </c>
      <c r="V1058" t="s">
        <v>82</v>
      </c>
      <c r="W1058" t="s">
        <v>3617</v>
      </c>
      <c r="X1058" t="s">
        <v>96</v>
      </c>
      <c r="Y1058" t="s">
        <v>82</v>
      </c>
      <c r="Z1058" t="s">
        <v>78</v>
      </c>
    </row>
    <row r="1059" spans="1:26" x14ac:dyDescent="0.25">
      <c r="A1059" t="s">
        <v>4021</v>
      </c>
      <c r="B1059" t="s">
        <v>4022</v>
      </c>
      <c r="C1059" s="4" t="s">
        <v>4023</v>
      </c>
      <c r="D1059" t="s">
        <v>3543</v>
      </c>
      <c r="E1059" t="s">
        <v>14</v>
      </c>
      <c r="F1059" t="s">
        <v>111</v>
      </c>
      <c r="G1059" t="s">
        <v>124</v>
      </c>
      <c r="H1059" t="s">
        <v>78</v>
      </c>
      <c r="I1059" t="s">
        <v>102</v>
      </c>
      <c r="J1059" t="s">
        <v>18</v>
      </c>
      <c r="K1059" t="s">
        <v>3783</v>
      </c>
      <c r="L1059" t="s">
        <v>89</v>
      </c>
      <c r="M1059" t="s">
        <v>318</v>
      </c>
      <c r="N1059" t="s">
        <v>1340</v>
      </c>
      <c r="O1059" t="s">
        <v>4024</v>
      </c>
      <c r="P1059" t="s">
        <v>4024</v>
      </c>
      <c r="Q1059" t="s">
        <v>102</v>
      </c>
      <c r="R1059" t="s">
        <v>102</v>
      </c>
      <c r="S1059" t="s">
        <v>3785</v>
      </c>
      <c r="T1059" t="s">
        <v>4022</v>
      </c>
      <c r="U1059" t="s">
        <v>322</v>
      </c>
      <c r="V1059" t="s">
        <v>82</v>
      </c>
      <c r="W1059" t="s">
        <v>3786</v>
      </c>
      <c r="X1059" t="s">
        <v>96</v>
      </c>
      <c r="Y1059" t="s">
        <v>82</v>
      </c>
      <c r="Z1059" t="s">
        <v>78</v>
      </c>
    </row>
    <row r="1060" spans="1:26" x14ac:dyDescent="0.25">
      <c r="A1060" t="s">
        <v>4025</v>
      </c>
      <c r="B1060" t="s">
        <v>4026</v>
      </c>
      <c r="C1060" s="4" t="s">
        <v>4023</v>
      </c>
      <c r="D1060" t="s">
        <v>3543</v>
      </c>
      <c r="E1060" t="s">
        <v>14</v>
      </c>
      <c r="F1060" t="s">
        <v>111</v>
      </c>
      <c r="G1060" t="s">
        <v>124</v>
      </c>
      <c r="H1060" t="s">
        <v>78</v>
      </c>
      <c r="I1060" t="s">
        <v>102</v>
      </c>
      <c r="J1060" t="s">
        <v>17</v>
      </c>
      <c r="K1060" t="s">
        <v>3783</v>
      </c>
      <c r="L1060" t="s">
        <v>89</v>
      </c>
      <c r="M1060" t="s">
        <v>318</v>
      </c>
      <c r="N1060" t="s">
        <v>1340</v>
      </c>
      <c r="O1060" t="s">
        <v>4027</v>
      </c>
      <c r="P1060" t="s">
        <v>4027</v>
      </c>
      <c r="Q1060" t="s">
        <v>102</v>
      </c>
      <c r="R1060" t="s">
        <v>102</v>
      </c>
      <c r="S1060" t="s">
        <v>3785</v>
      </c>
      <c r="T1060" t="s">
        <v>4026</v>
      </c>
      <c r="U1060" t="s">
        <v>322</v>
      </c>
      <c r="V1060" t="s">
        <v>82</v>
      </c>
      <c r="W1060" t="s">
        <v>3786</v>
      </c>
      <c r="X1060" t="s">
        <v>96</v>
      </c>
      <c r="Y1060" t="s">
        <v>82</v>
      </c>
      <c r="Z1060" t="s">
        <v>78</v>
      </c>
    </row>
    <row r="1061" spans="1:26" x14ac:dyDescent="0.25">
      <c r="A1061" t="s">
        <v>4028</v>
      </c>
      <c r="B1061" t="s">
        <v>4029</v>
      </c>
      <c r="C1061" s="4" t="s">
        <v>4023</v>
      </c>
      <c r="D1061" t="s">
        <v>3543</v>
      </c>
      <c r="E1061" t="s">
        <v>14</v>
      </c>
      <c r="F1061" t="s">
        <v>128</v>
      </c>
      <c r="G1061" t="s">
        <v>105</v>
      </c>
      <c r="H1061" t="s">
        <v>78</v>
      </c>
      <c r="I1061" t="s">
        <v>102</v>
      </c>
      <c r="J1061" t="s">
        <v>17</v>
      </c>
      <c r="K1061" t="s">
        <v>4030</v>
      </c>
      <c r="L1061" t="s">
        <v>89</v>
      </c>
      <c r="M1061" t="s">
        <v>318</v>
      </c>
      <c r="N1061" t="s">
        <v>1075</v>
      </c>
      <c r="O1061" t="s">
        <v>4031</v>
      </c>
      <c r="P1061" t="s">
        <v>4031</v>
      </c>
      <c r="Q1061" t="s">
        <v>102</v>
      </c>
      <c r="R1061" t="s">
        <v>102</v>
      </c>
      <c r="S1061" t="s">
        <v>4032</v>
      </c>
      <c r="T1061" t="s">
        <v>4029</v>
      </c>
      <c r="U1061" t="s">
        <v>322</v>
      </c>
      <c r="V1061" t="s">
        <v>82</v>
      </c>
      <c r="W1061" t="s">
        <v>4033</v>
      </c>
      <c r="X1061" t="s">
        <v>96</v>
      </c>
      <c r="Y1061" t="s">
        <v>82</v>
      </c>
      <c r="Z1061" t="s">
        <v>78</v>
      </c>
    </row>
    <row r="1062" spans="1:26" x14ac:dyDescent="0.25">
      <c r="A1062" t="s">
        <v>4034</v>
      </c>
      <c r="B1062" t="s">
        <v>4035</v>
      </c>
      <c r="C1062" s="4" t="s">
        <v>4023</v>
      </c>
      <c r="D1062" t="s">
        <v>3543</v>
      </c>
      <c r="E1062" t="s">
        <v>14</v>
      </c>
      <c r="F1062" t="s">
        <v>128</v>
      </c>
      <c r="G1062" t="s">
        <v>105</v>
      </c>
      <c r="H1062" t="s">
        <v>78</v>
      </c>
      <c r="I1062" t="s">
        <v>102</v>
      </c>
      <c r="J1062" t="s">
        <v>18</v>
      </c>
      <c r="K1062" t="s">
        <v>4030</v>
      </c>
      <c r="L1062" t="s">
        <v>89</v>
      </c>
      <c r="M1062" t="s">
        <v>318</v>
      </c>
      <c r="N1062" t="s">
        <v>1075</v>
      </c>
      <c r="O1062" t="s">
        <v>4031</v>
      </c>
      <c r="P1062" t="s">
        <v>4031</v>
      </c>
      <c r="Q1062" t="s">
        <v>102</v>
      </c>
      <c r="R1062" t="s">
        <v>102</v>
      </c>
      <c r="S1062" t="s">
        <v>4032</v>
      </c>
      <c r="T1062" t="s">
        <v>4035</v>
      </c>
      <c r="U1062" t="s">
        <v>322</v>
      </c>
      <c r="V1062" t="s">
        <v>82</v>
      </c>
      <c r="W1062" t="s">
        <v>4033</v>
      </c>
      <c r="X1062" t="s">
        <v>96</v>
      </c>
      <c r="Y1062" t="s">
        <v>82</v>
      </c>
      <c r="Z1062" t="s">
        <v>78</v>
      </c>
    </row>
    <row r="1063" spans="1:26" x14ac:dyDescent="0.25">
      <c r="A1063" t="s">
        <v>4036</v>
      </c>
      <c r="B1063" t="s">
        <v>4037</v>
      </c>
      <c r="C1063" s="4" t="s">
        <v>4023</v>
      </c>
      <c r="D1063" t="s">
        <v>3543</v>
      </c>
      <c r="E1063" t="s">
        <v>14</v>
      </c>
      <c r="F1063" t="s">
        <v>143</v>
      </c>
      <c r="G1063" t="s">
        <v>106</v>
      </c>
      <c r="H1063" t="s">
        <v>78</v>
      </c>
      <c r="I1063" t="s">
        <v>102</v>
      </c>
      <c r="J1063" t="s">
        <v>18</v>
      </c>
      <c r="K1063" t="s">
        <v>4038</v>
      </c>
      <c r="L1063" t="s">
        <v>89</v>
      </c>
      <c r="M1063" t="s">
        <v>318</v>
      </c>
      <c r="N1063" t="s">
        <v>3873</v>
      </c>
      <c r="O1063" t="s">
        <v>4039</v>
      </c>
      <c r="P1063" t="s">
        <v>4039</v>
      </c>
      <c r="Q1063" t="s">
        <v>102</v>
      </c>
      <c r="R1063" t="s">
        <v>102</v>
      </c>
      <c r="S1063" t="s">
        <v>4040</v>
      </c>
      <c r="T1063" t="s">
        <v>4037</v>
      </c>
      <c r="U1063" t="s">
        <v>322</v>
      </c>
      <c r="V1063" t="s">
        <v>82</v>
      </c>
      <c r="W1063" t="s">
        <v>4041</v>
      </c>
      <c r="X1063" t="s">
        <v>96</v>
      </c>
      <c r="Y1063" t="s">
        <v>82</v>
      </c>
      <c r="Z1063" t="s">
        <v>78</v>
      </c>
    </row>
    <row r="1064" spans="1:26" x14ac:dyDescent="0.25">
      <c r="A1064" t="s">
        <v>4042</v>
      </c>
      <c r="B1064" t="s">
        <v>4043</v>
      </c>
      <c r="C1064" s="4" t="s">
        <v>4023</v>
      </c>
      <c r="D1064" t="s">
        <v>3543</v>
      </c>
      <c r="E1064" t="s">
        <v>14</v>
      </c>
      <c r="F1064" t="s">
        <v>143</v>
      </c>
      <c r="G1064" t="s">
        <v>106</v>
      </c>
      <c r="H1064" t="s">
        <v>78</v>
      </c>
      <c r="I1064" t="s">
        <v>102</v>
      </c>
      <c r="J1064" t="s">
        <v>17</v>
      </c>
      <c r="K1064" t="s">
        <v>4038</v>
      </c>
      <c r="L1064" t="s">
        <v>89</v>
      </c>
      <c r="M1064" t="s">
        <v>318</v>
      </c>
      <c r="N1064" t="s">
        <v>3873</v>
      </c>
      <c r="O1064" t="s">
        <v>4039</v>
      </c>
      <c r="P1064" t="s">
        <v>4039</v>
      </c>
      <c r="Q1064" t="s">
        <v>102</v>
      </c>
      <c r="R1064" t="s">
        <v>102</v>
      </c>
      <c r="S1064" t="s">
        <v>4040</v>
      </c>
      <c r="T1064" t="s">
        <v>4043</v>
      </c>
      <c r="U1064" t="s">
        <v>322</v>
      </c>
      <c r="V1064" t="s">
        <v>82</v>
      </c>
      <c r="W1064" t="s">
        <v>4041</v>
      </c>
      <c r="X1064" t="s">
        <v>96</v>
      </c>
      <c r="Y1064" t="s">
        <v>82</v>
      </c>
      <c r="Z1064" t="s">
        <v>78</v>
      </c>
    </row>
    <row r="1065" spans="1:26" x14ac:dyDescent="0.25">
      <c r="A1065" t="s">
        <v>4044</v>
      </c>
      <c r="B1065" t="s">
        <v>4045</v>
      </c>
      <c r="C1065" s="4" t="s">
        <v>4046</v>
      </c>
      <c r="D1065" t="s">
        <v>4047</v>
      </c>
      <c r="E1065" t="s">
        <v>14</v>
      </c>
      <c r="F1065" t="s">
        <v>111</v>
      </c>
      <c r="G1065" t="s">
        <v>124</v>
      </c>
      <c r="H1065" t="s">
        <v>78</v>
      </c>
      <c r="I1065" t="s">
        <v>102</v>
      </c>
      <c r="J1065" t="s">
        <v>20</v>
      </c>
      <c r="K1065" t="s">
        <v>4048</v>
      </c>
      <c r="L1065" t="s">
        <v>89</v>
      </c>
      <c r="M1065" t="s">
        <v>318</v>
      </c>
      <c r="N1065" t="s">
        <v>980</v>
      </c>
      <c r="O1065" t="s">
        <v>4049</v>
      </c>
      <c r="P1065" t="s">
        <v>4049</v>
      </c>
      <c r="Q1065" t="s">
        <v>102</v>
      </c>
      <c r="R1065" t="s">
        <v>86</v>
      </c>
      <c r="S1065" t="s">
        <v>4050</v>
      </c>
      <c r="T1065" t="s">
        <v>4045</v>
      </c>
      <c r="U1065" t="s">
        <v>322</v>
      </c>
      <c r="V1065" t="s">
        <v>82</v>
      </c>
      <c r="W1065" t="s">
        <v>4051</v>
      </c>
      <c r="X1065" t="s">
        <v>96</v>
      </c>
      <c r="Y1065" t="s">
        <v>82</v>
      </c>
      <c r="Z1065" t="s">
        <v>78</v>
      </c>
    </row>
    <row r="1066" spans="1:26" x14ac:dyDescent="0.25">
      <c r="A1066" t="s">
        <v>4052</v>
      </c>
      <c r="B1066" t="s">
        <v>4053</v>
      </c>
      <c r="C1066" s="4" t="s">
        <v>4046</v>
      </c>
      <c r="D1066" t="s">
        <v>4047</v>
      </c>
      <c r="E1066" t="s">
        <v>14</v>
      </c>
      <c r="F1066" t="s">
        <v>111</v>
      </c>
      <c r="G1066" t="s">
        <v>124</v>
      </c>
      <c r="H1066" t="s">
        <v>78</v>
      </c>
      <c r="I1066" t="s">
        <v>102</v>
      </c>
      <c r="J1066" t="s">
        <v>18</v>
      </c>
      <c r="K1066" t="s">
        <v>4048</v>
      </c>
      <c r="L1066" t="s">
        <v>89</v>
      </c>
      <c r="M1066" t="s">
        <v>318</v>
      </c>
      <c r="N1066" t="s">
        <v>980</v>
      </c>
      <c r="O1066" t="s">
        <v>4049</v>
      </c>
      <c r="P1066" t="s">
        <v>4054</v>
      </c>
      <c r="Q1066" t="s">
        <v>102</v>
      </c>
      <c r="R1066" t="s">
        <v>86</v>
      </c>
      <c r="S1066" t="s">
        <v>4050</v>
      </c>
      <c r="T1066" t="s">
        <v>4053</v>
      </c>
      <c r="U1066" t="s">
        <v>322</v>
      </c>
      <c r="V1066" t="s">
        <v>82</v>
      </c>
      <c r="W1066" t="s">
        <v>4051</v>
      </c>
      <c r="X1066" t="s">
        <v>96</v>
      </c>
      <c r="Y1066" t="s">
        <v>82</v>
      </c>
      <c r="Z1066" t="s">
        <v>78</v>
      </c>
    </row>
    <row r="1067" spans="1:26" x14ac:dyDescent="0.25">
      <c r="A1067" t="s">
        <v>4055</v>
      </c>
      <c r="B1067" t="s">
        <v>4056</v>
      </c>
      <c r="C1067" s="4" t="s">
        <v>4046</v>
      </c>
      <c r="D1067" t="s">
        <v>4047</v>
      </c>
      <c r="E1067" t="s">
        <v>14</v>
      </c>
      <c r="F1067" t="s">
        <v>128</v>
      </c>
      <c r="G1067" t="s">
        <v>105</v>
      </c>
      <c r="H1067" t="s">
        <v>78</v>
      </c>
      <c r="I1067" t="s">
        <v>102</v>
      </c>
      <c r="J1067" t="s">
        <v>18</v>
      </c>
      <c r="K1067" t="s">
        <v>4057</v>
      </c>
      <c r="L1067" t="s">
        <v>89</v>
      </c>
      <c r="M1067" t="s">
        <v>318</v>
      </c>
      <c r="N1067" t="s">
        <v>506</v>
      </c>
      <c r="O1067" t="s">
        <v>4058</v>
      </c>
      <c r="P1067" t="s">
        <v>4059</v>
      </c>
      <c r="Q1067" t="s">
        <v>102</v>
      </c>
      <c r="R1067" t="s">
        <v>86</v>
      </c>
      <c r="S1067" t="s">
        <v>4060</v>
      </c>
      <c r="T1067" t="s">
        <v>4056</v>
      </c>
      <c r="U1067" t="s">
        <v>322</v>
      </c>
      <c r="V1067" t="s">
        <v>82</v>
      </c>
      <c r="W1067" t="s">
        <v>4061</v>
      </c>
      <c r="X1067" t="s">
        <v>96</v>
      </c>
      <c r="Y1067" t="s">
        <v>82</v>
      </c>
      <c r="Z1067" t="s">
        <v>78</v>
      </c>
    </row>
    <row r="1068" spans="1:26" x14ac:dyDescent="0.25">
      <c r="A1068" t="s">
        <v>4062</v>
      </c>
      <c r="B1068" t="s">
        <v>4063</v>
      </c>
      <c r="C1068" s="4" t="s">
        <v>4046</v>
      </c>
      <c r="D1068" t="s">
        <v>4047</v>
      </c>
      <c r="E1068" t="s">
        <v>14</v>
      </c>
      <c r="F1068" t="s">
        <v>128</v>
      </c>
      <c r="G1068" t="s">
        <v>105</v>
      </c>
      <c r="H1068" t="s">
        <v>78</v>
      </c>
      <c r="I1068" t="s">
        <v>102</v>
      </c>
      <c r="J1068" t="s">
        <v>20</v>
      </c>
      <c r="K1068" t="s">
        <v>4057</v>
      </c>
      <c r="L1068" t="s">
        <v>89</v>
      </c>
      <c r="M1068" t="s">
        <v>318</v>
      </c>
      <c r="N1068" t="s">
        <v>506</v>
      </c>
      <c r="O1068" t="s">
        <v>4064</v>
      </c>
      <c r="P1068" t="s">
        <v>4064</v>
      </c>
      <c r="Q1068" t="s">
        <v>102</v>
      </c>
      <c r="R1068" t="s">
        <v>86</v>
      </c>
      <c r="S1068" t="s">
        <v>4060</v>
      </c>
      <c r="T1068" t="s">
        <v>4063</v>
      </c>
      <c r="U1068" t="s">
        <v>322</v>
      </c>
      <c r="V1068" t="s">
        <v>82</v>
      </c>
      <c r="W1068" t="s">
        <v>4061</v>
      </c>
      <c r="X1068" t="s">
        <v>96</v>
      </c>
      <c r="Y1068" t="s">
        <v>82</v>
      </c>
      <c r="Z1068" t="s">
        <v>78</v>
      </c>
    </row>
    <row r="1069" spans="1:26" x14ac:dyDescent="0.25">
      <c r="A1069" t="s">
        <v>4065</v>
      </c>
      <c r="B1069" t="s">
        <v>4066</v>
      </c>
      <c r="C1069" s="4" t="s">
        <v>4046</v>
      </c>
      <c r="D1069" t="s">
        <v>4047</v>
      </c>
      <c r="E1069" t="s">
        <v>14</v>
      </c>
      <c r="F1069" t="s">
        <v>143</v>
      </c>
      <c r="G1069" t="s">
        <v>106</v>
      </c>
      <c r="H1069" t="s">
        <v>78</v>
      </c>
      <c r="I1069" t="s">
        <v>102</v>
      </c>
      <c r="J1069" t="s">
        <v>20</v>
      </c>
      <c r="K1069" t="s">
        <v>4067</v>
      </c>
      <c r="L1069" t="s">
        <v>89</v>
      </c>
      <c r="M1069" t="s">
        <v>318</v>
      </c>
      <c r="N1069" t="s">
        <v>4068</v>
      </c>
      <c r="O1069" t="s">
        <v>4069</v>
      </c>
      <c r="P1069" t="s">
        <v>4069</v>
      </c>
      <c r="Q1069" t="s">
        <v>102</v>
      </c>
      <c r="R1069" t="s">
        <v>86</v>
      </c>
      <c r="S1069" t="s">
        <v>4070</v>
      </c>
      <c r="T1069" t="s">
        <v>4066</v>
      </c>
      <c r="U1069" t="s">
        <v>322</v>
      </c>
      <c r="V1069" t="s">
        <v>82</v>
      </c>
      <c r="W1069" t="s">
        <v>4071</v>
      </c>
      <c r="X1069" t="s">
        <v>96</v>
      </c>
      <c r="Y1069" t="s">
        <v>82</v>
      </c>
      <c r="Z1069" t="s">
        <v>78</v>
      </c>
    </row>
    <row r="1070" spans="1:26" x14ac:dyDescent="0.25">
      <c r="A1070" t="s">
        <v>4072</v>
      </c>
      <c r="B1070" t="s">
        <v>4073</v>
      </c>
      <c r="C1070" s="4" t="s">
        <v>4046</v>
      </c>
      <c r="D1070" t="s">
        <v>4047</v>
      </c>
      <c r="E1070" t="s">
        <v>14</v>
      </c>
      <c r="F1070" t="s">
        <v>143</v>
      </c>
      <c r="G1070" t="s">
        <v>106</v>
      </c>
      <c r="H1070" t="s">
        <v>78</v>
      </c>
      <c r="I1070" t="s">
        <v>102</v>
      </c>
      <c r="J1070" t="s">
        <v>18</v>
      </c>
      <c r="K1070" t="s">
        <v>4067</v>
      </c>
      <c r="L1070" t="s">
        <v>89</v>
      </c>
      <c r="M1070" t="s">
        <v>318</v>
      </c>
      <c r="N1070" t="s">
        <v>4068</v>
      </c>
      <c r="O1070" t="s">
        <v>4069</v>
      </c>
      <c r="P1070" t="s">
        <v>4069</v>
      </c>
      <c r="Q1070" t="s">
        <v>102</v>
      </c>
      <c r="R1070" t="s">
        <v>86</v>
      </c>
      <c r="S1070" t="s">
        <v>4070</v>
      </c>
      <c r="T1070" t="s">
        <v>4073</v>
      </c>
      <c r="U1070" t="s">
        <v>322</v>
      </c>
      <c r="V1070" t="s">
        <v>82</v>
      </c>
      <c r="W1070" t="s">
        <v>4071</v>
      </c>
      <c r="X1070" t="s">
        <v>96</v>
      </c>
      <c r="Y1070" t="s">
        <v>82</v>
      </c>
      <c r="Z1070" t="s">
        <v>78</v>
      </c>
    </row>
    <row r="1071" spans="1:26" x14ac:dyDescent="0.25">
      <c r="A1071" t="s">
        <v>1939</v>
      </c>
      <c r="B1071" t="s">
        <v>4074</v>
      </c>
      <c r="C1071" s="4" t="s">
        <v>4075</v>
      </c>
      <c r="D1071" t="s">
        <v>4076</v>
      </c>
      <c r="E1071" t="s">
        <v>14</v>
      </c>
      <c r="F1071" t="s">
        <v>78</v>
      </c>
      <c r="G1071" t="s">
        <v>84</v>
      </c>
      <c r="H1071" t="s">
        <v>78</v>
      </c>
      <c r="I1071" t="s">
        <v>84</v>
      </c>
      <c r="J1071" t="s">
        <v>18</v>
      </c>
      <c r="K1071" t="s">
        <v>4077</v>
      </c>
      <c r="L1071" t="s">
        <v>89</v>
      </c>
      <c r="M1071" t="s">
        <v>318</v>
      </c>
      <c r="N1071" t="s">
        <v>4078</v>
      </c>
      <c r="O1071" t="s">
        <v>4079</v>
      </c>
      <c r="P1071" t="s">
        <v>4079</v>
      </c>
      <c r="Q1071" t="s">
        <v>102</v>
      </c>
      <c r="R1071" t="s">
        <v>86</v>
      </c>
      <c r="S1071" t="s">
        <v>88</v>
      </c>
      <c r="T1071" t="s">
        <v>4074</v>
      </c>
      <c r="U1071" t="s">
        <v>322</v>
      </c>
      <c r="V1071" t="s">
        <v>82</v>
      </c>
      <c r="W1071" t="s">
        <v>936</v>
      </c>
      <c r="X1071" t="s">
        <v>96</v>
      </c>
      <c r="Y1071" t="s">
        <v>82</v>
      </c>
      <c r="Z1071" t="s">
        <v>78</v>
      </c>
    </row>
    <row r="1072" spans="1:26" x14ac:dyDescent="0.25">
      <c r="A1072" t="s">
        <v>1949</v>
      </c>
      <c r="B1072" t="s">
        <v>4080</v>
      </c>
      <c r="C1072" s="4" t="s">
        <v>3858</v>
      </c>
      <c r="D1072" t="s">
        <v>4081</v>
      </c>
      <c r="E1072" t="s">
        <v>14</v>
      </c>
      <c r="F1072" t="s">
        <v>85</v>
      </c>
      <c r="G1072" t="s">
        <v>111</v>
      </c>
      <c r="H1072" t="s">
        <v>78</v>
      </c>
      <c r="I1072" t="s">
        <v>102</v>
      </c>
      <c r="J1072" t="s">
        <v>18</v>
      </c>
      <c r="K1072" t="s">
        <v>1339</v>
      </c>
      <c r="L1072" t="s">
        <v>89</v>
      </c>
      <c r="M1072" t="s">
        <v>318</v>
      </c>
      <c r="N1072" t="s">
        <v>739</v>
      </c>
      <c r="O1072" t="s">
        <v>4082</v>
      </c>
      <c r="P1072" t="s">
        <v>4082</v>
      </c>
      <c r="Q1072" t="s">
        <v>102</v>
      </c>
      <c r="R1072" t="s">
        <v>86</v>
      </c>
      <c r="S1072" t="s">
        <v>1343</v>
      </c>
      <c r="T1072" t="s">
        <v>4080</v>
      </c>
      <c r="U1072" t="s">
        <v>322</v>
      </c>
      <c r="V1072" t="s">
        <v>82</v>
      </c>
      <c r="W1072" t="s">
        <v>3286</v>
      </c>
      <c r="X1072" t="s">
        <v>96</v>
      </c>
      <c r="Y1072" t="s">
        <v>82</v>
      </c>
      <c r="Z1072" t="s">
        <v>78</v>
      </c>
    </row>
    <row r="1073" spans="1:26" x14ac:dyDescent="0.25">
      <c r="A1073" t="s">
        <v>2595</v>
      </c>
      <c r="B1073" t="s">
        <v>4083</v>
      </c>
      <c r="C1073" s="4" t="s">
        <v>3858</v>
      </c>
      <c r="D1073" t="s">
        <v>4081</v>
      </c>
      <c r="E1073" t="s">
        <v>14</v>
      </c>
      <c r="F1073" t="s">
        <v>83</v>
      </c>
      <c r="G1073" t="s">
        <v>84</v>
      </c>
      <c r="H1073" t="s">
        <v>78</v>
      </c>
      <c r="I1073" t="s">
        <v>111</v>
      </c>
      <c r="J1073" t="s">
        <v>18</v>
      </c>
      <c r="K1073" t="s">
        <v>3292</v>
      </c>
      <c r="L1073" t="s">
        <v>89</v>
      </c>
      <c r="M1073" t="s">
        <v>318</v>
      </c>
      <c r="N1073" t="s">
        <v>1358</v>
      </c>
      <c r="O1073" t="s">
        <v>4084</v>
      </c>
      <c r="P1073" t="s">
        <v>4084</v>
      </c>
      <c r="Q1073" t="s">
        <v>102</v>
      </c>
      <c r="R1073" t="s">
        <v>86</v>
      </c>
      <c r="S1073" t="s">
        <v>1302</v>
      </c>
      <c r="T1073" t="s">
        <v>4083</v>
      </c>
      <c r="U1073" t="s">
        <v>322</v>
      </c>
      <c r="V1073" t="s">
        <v>82</v>
      </c>
      <c r="W1073" t="s">
        <v>3294</v>
      </c>
      <c r="X1073" t="s">
        <v>96</v>
      </c>
      <c r="Y1073" t="s">
        <v>82</v>
      </c>
      <c r="Z1073" t="s">
        <v>78</v>
      </c>
    </row>
    <row r="1074" spans="1:26" x14ac:dyDescent="0.25">
      <c r="A1074" t="s">
        <v>2605</v>
      </c>
      <c r="B1074" t="s">
        <v>4085</v>
      </c>
      <c r="C1074" s="4" t="s">
        <v>4086</v>
      </c>
      <c r="D1074" t="s">
        <v>47</v>
      </c>
      <c r="E1074" t="s">
        <v>14</v>
      </c>
      <c r="F1074" t="s">
        <v>85</v>
      </c>
      <c r="G1074" t="s">
        <v>111</v>
      </c>
      <c r="H1074" t="s">
        <v>78</v>
      </c>
      <c r="I1074" t="s">
        <v>102</v>
      </c>
      <c r="J1074" t="s">
        <v>18</v>
      </c>
      <c r="K1074" t="s">
        <v>799</v>
      </c>
      <c r="L1074" t="s">
        <v>89</v>
      </c>
      <c r="M1074" t="s">
        <v>318</v>
      </c>
      <c r="N1074" t="s">
        <v>1432</v>
      </c>
      <c r="O1074" t="s">
        <v>4087</v>
      </c>
      <c r="P1074" t="s">
        <v>4087</v>
      </c>
      <c r="Q1074" t="s">
        <v>102</v>
      </c>
      <c r="R1074" t="s">
        <v>102</v>
      </c>
      <c r="S1074" t="s">
        <v>802</v>
      </c>
      <c r="T1074" t="s">
        <v>4085</v>
      </c>
      <c r="U1074" t="s">
        <v>322</v>
      </c>
      <c r="V1074" t="s">
        <v>82</v>
      </c>
      <c r="W1074" t="s">
        <v>706</v>
      </c>
      <c r="X1074" t="s">
        <v>96</v>
      </c>
      <c r="Y1074" t="s">
        <v>82</v>
      </c>
      <c r="Z1074" t="s">
        <v>78</v>
      </c>
    </row>
    <row r="1075" spans="1:26" x14ac:dyDescent="0.25">
      <c r="A1075" t="s">
        <v>4088</v>
      </c>
      <c r="B1075" t="s">
        <v>4089</v>
      </c>
      <c r="C1075" s="4" t="s">
        <v>4086</v>
      </c>
      <c r="D1075" t="s">
        <v>47</v>
      </c>
      <c r="E1075" t="s">
        <v>14</v>
      </c>
      <c r="F1075" t="s">
        <v>85</v>
      </c>
      <c r="G1075" t="s">
        <v>111</v>
      </c>
      <c r="H1075" t="s">
        <v>78</v>
      </c>
      <c r="I1075" t="s">
        <v>102</v>
      </c>
      <c r="J1075" t="s">
        <v>17</v>
      </c>
      <c r="K1075" t="s">
        <v>799</v>
      </c>
      <c r="L1075" t="s">
        <v>89</v>
      </c>
      <c r="M1075" t="s">
        <v>318</v>
      </c>
      <c r="N1075" t="s">
        <v>1432</v>
      </c>
      <c r="O1075" t="s">
        <v>4087</v>
      </c>
      <c r="P1075" t="s">
        <v>4087</v>
      </c>
      <c r="Q1075" t="s">
        <v>102</v>
      </c>
      <c r="R1075" t="s">
        <v>102</v>
      </c>
      <c r="S1075" t="s">
        <v>802</v>
      </c>
      <c r="T1075" t="s">
        <v>4089</v>
      </c>
      <c r="U1075" t="s">
        <v>322</v>
      </c>
      <c r="V1075" t="s">
        <v>82</v>
      </c>
      <c r="W1075" t="s">
        <v>706</v>
      </c>
      <c r="X1075" t="s">
        <v>96</v>
      </c>
      <c r="Y1075" t="s">
        <v>82</v>
      </c>
      <c r="Z1075" t="s">
        <v>78</v>
      </c>
    </row>
    <row r="1076" spans="1:26" x14ac:dyDescent="0.25">
      <c r="A1076" t="s">
        <v>4090</v>
      </c>
      <c r="B1076" t="s">
        <v>4091</v>
      </c>
      <c r="C1076" s="4" t="s">
        <v>4086</v>
      </c>
      <c r="D1076" t="s">
        <v>47</v>
      </c>
      <c r="E1076" t="s">
        <v>14</v>
      </c>
      <c r="F1076" t="s">
        <v>111</v>
      </c>
      <c r="G1076" t="s">
        <v>124</v>
      </c>
      <c r="H1076" t="s">
        <v>78</v>
      </c>
      <c r="I1076" t="s">
        <v>102</v>
      </c>
      <c r="J1076" t="s">
        <v>17</v>
      </c>
      <c r="K1076" t="s">
        <v>979</v>
      </c>
      <c r="L1076" t="s">
        <v>89</v>
      </c>
      <c r="M1076" t="s">
        <v>318</v>
      </c>
      <c r="N1076" t="s">
        <v>4000</v>
      </c>
      <c r="O1076" t="s">
        <v>4092</v>
      </c>
      <c r="P1076" t="s">
        <v>4093</v>
      </c>
      <c r="Q1076" t="s">
        <v>102</v>
      </c>
      <c r="R1076" t="s">
        <v>102</v>
      </c>
      <c r="S1076" t="s">
        <v>983</v>
      </c>
      <c r="T1076" t="s">
        <v>4091</v>
      </c>
      <c r="U1076" t="s">
        <v>322</v>
      </c>
      <c r="V1076" t="s">
        <v>82</v>
      </c>
      <c r="W1076" t="s">
        <v>4094</v>
      </c>
      <c r="X1076" t="s">
        <v>96</v>
      </c>
      <c r="Y1076" t="s">
        <v>82</v>
      </c>
      <c r="Z1076" t="s">
        <v>78</v>
      </c>
    </row>
    <row r="1077" spans="1:26" x14ac:dyDescent="0.25">
      <c r="A1077" t="s">
        <v>4095</v>
      </c>
      <c r="B1077" t="s">
        <v>4096</v>
      </c>
      <c r="C1077" s="4" t="s">
        <v>4086</v>
      </c>
      <c r="D1077" t="s">
        <v>47</v>
      </c>
      <c r="E1077" t="s">
        <v>14</v>
      </c>
      <c r="F1077" t="s">
        <v>111</v>
      </c>
      <c r="G1077" t="s">
        <v>124</v>
      </c>
      <c r="H1077" t="s">
        <v>78</v>
      </c>
      <c r="I1077" t="s">
        <v>102</v>
      </c>
      <c r="J1077" t="s">
        <v>18</v>
      </c>
      <c r="K1077" t="s">
        <v>4097</v>
      </c>
      <c r="L1077" t="s">
        <v>89</v>
      </c>
      <c r="M1077" t="s">
        <v>318</v>
      </c>
      <c r="N1077" t="s">
        <v>4000</v>
      </c>
      <c r="O1077" t="s">
        <v>4092</v>
      </c>
      <c r="P1077" t="s">
        <v>4098</v>
      </c>
      <c r="Q1077" t="s">
        <v>102</v>
      </c>
      <c r="R1077" t="s">
        <v>102</v>
      </c>
      <c r="S1077" t="s">
        <v>4099</v>
      </c>
      <c r="T1077" t="s">
        <v>4096</v>
      </c>
      <c r="U1077" t="s">
        <v>322</v>
      </c>
      <c r="V1077" t="s">
        <v>82</v>
      </c>
      <c r="W1077" t="s">
        <v>4094</v>
      </c>
      <c r="X1077" t="s">
        <v>96</v>
      </c>
      <c r="Y1077" t="s">
        <v>82</v>
      </c>
      <c r="Z1077" t="s">
        <v>78</v>
      </c>
    </row>
    <row r="1078" spans="1:26" x14ac:dyDescent="0.25">
      <c r="A1078" t="s">
        <v>4100</v>
      </c>
      <c r="B1078" t="s">
        <v>4101</v>
      </c>
      <c r="C1078" s="4" t="s">
        <v>4086</v>
      </c>
      <c r="D1078" t="s">
        <v>47</v>
      </c>
      <c r="E1078" t="s">
        <v>14</v>
      </c>
      <c r="F1078" t="s">
        <v>128</v>
      </c>
      <c r="G1078" t="s">
        <v>105</v>
      </c>
      <c r="H1078" t="s">
        <v>78</v>
      </c>
      <c r="I1078" t="s">
        <v>102</v>
      </c>
      <c r="J1078" t="s">
        <v>18</v>
      </c>
      <c r="K1078" t="s">
        <v>3908</v>
      </c>
      <c r="L1078" t="s">
        <v>89</v>
      </c>
      <c r="M1078" t="s">
        <v>318</v>
      </c>
      <c r="N1078" t="s">
        <v>3909</v>
      </c>
      <c r="O1078" t="s">
        <v>4102</v>
      </c>
      <c r="P1078" t="s">
        <v>4102</v>
      </c>
      <c r="Q1078" t="s">
        <v>102</v>
      </c>
      <c r="R1078" t="s">
        <v>102</v>
      </c>
      <c r="S1078" t="s">
        <v>3911</v>
      </c>
      <c r="T1078" t="s">
        <v>4101</v>
      </c>
      <c r="U1078" t="s">
        <v>322</v>
      </c>
      <c r="V1078" t="s">
        <v>82</v>
      </c>
      <c r="W1078" t="s">
        <v>3912</v>
      </c>
      <c r="X1078" t="s">
        <v>96</v>
      </c>
      <c r="Y1078" t="s">
        <v>82</v>
      </c>
      <c r="Z1078" t="s">
        <v>78</v>
      </c>
    </row>
    <row r="1079" spans="1:26" x14ac:dyDescent="0.25">
      <c r="A1079" t="s">
        <v>4103</v>
      </c>
      <c r="B1079" t="s">
        <v>4104</v>
      </c>
      <c r="C1079" s="4" t="s">
        <v>4086</v>
      </c>
      <c r="D1079" t="s">
        <v>47</v>
      </c>
      <c r="E1079" t="s">
        <v>14</v>
      </c>
      <c r="F1079" t="s">
        <v>128</v>
      </c>
      <c r="G1079" t="s">
        <v>105</v>
      </c>
      <c r="H1079" t="s">
        <v>78</v>
      </c>
      <c r="I1079" t="s">
        <v>102</v>
      </c>
      <c r="J1079" t="s">
        <v>17</v>
      </c>
      <c r="K1079" t="s">
        <v>3908</v>
      </c>
      <c r="L1079" t="s">
        <v>89</v>
      </c>
      <c r="M1079" t="s">
        <v>318</v>
      </c>
      <c r="N1079" t="s">
        <v>3909</v>
      </c>
      <c r="O1079" t="s">
        <v>4102</v>
      </c>
      <c r="P1079" t="s">
        <v>4102</v>
      </c>
      <c r="Q1079" t="s">
        <v>102</v>
      </c>
      <c r="R1079" t="s">
        <v>102</v>
      </c>
      <c r="S1079" t="s">
        <v>3911</v>
      </c>
      <c r="T1079" t="s">
        <v>4104</v>
      </c>
      <c r="U1079" t="s">
        <v>322</v>
      </c>
      <c r="V1079" t="s">
        <v>82</v>
      </c>
      <c r="W1079" t="s">
        <v>3912</v>
      </c>
      <c r="X1079" t="s">
        <v>96</v>
      </c>
      <c r="Y1079" t="s">
        <v>82</v>
      </c>
      <c r="Z1079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E2AD-459E-4331-A0E8-BCB29AA8BECF}">
  <dimension ref="A1:AG1293"/>
  <sheetViews>
    <sheetView tabSelected="1" zoomScale="85" zoomScaleNormal="85" workbookViewId="0">
      <selection activeCell="P12" sqref="P12"/>
    </sheetView>
  </sheetViews>
  <sheetFormatPr defaultRowHeight="15" x14ac:dyDescent="0.25"/>
  <cols>
    <col min="1" max="1" width="14.42578125" style="4" bestFit="1" customWidth="1"/>
    <col min="2" max="2" width="16.5703125" bestFit="1" customWidth="1"/>
    <col min="3" max="3" width="11" bestFit="1" customWidth="1"/>
    <col min="4" max="4" width="10.140625" bestFit="1" customWidth="1"/>
    <col min="5" max="5" width="4.42578125" bestFit="1" customWidth="1"/>
    <col min="6" max="6" width="8.5703125" bestFit="1" customWidth="1"/>
    <col min="7" max="7" width="12.140625" bestFit="1" customWidth="1"/>
    <col min="8" max="8" width="10" bestFit="1" customWidth="1"/>
    <col min="9" max="9" width="10.28515625" bestFit="1" customWidth="1"/>
    <col min="10" max="10" width="10.7109375" bestFit="1" customWidth="1"/>
    <col min="11" max="11" width="8.28515625" bestFit="1" customWidth="1"/>
    <col min="12" max="12" width="16" bestFit="1" customWidth="1"/>
    <col min="13" max="13" width="8.140625" bestFit="1" customWidth="1"/>
    <col min="14" max="14" width="5" customWidth="1"/>
    <col min="15" max="15" width="14.42578125" style="6" bestFit="1" customWidth="1"/>
    <col min="16" max="16" width="16.5703125" style="10" bestFit="1" customWidth="1"/>
    <col min="17" max="17" width="21.42578125" style="6" bestFit="1" customWidth="1"/>
    <col min="18" max="18" width="21.42578125" style="8" bestFit="1" customWidth="1"/>
    <col min="19" max="19" width="16" hidden="1" customWidth="1"/>
    <col min="20" max="20" width="9.140625" hidden="1" customWidth="1"/>
    <col min="21" max="21" width="21.42578125" customWidth="1"/>
    <col min="22" max="22" width="15.5703125" style="4" customWidth="1"/>
    <col min="23" max="23" width="9.28515625" hidden="1" customWidth="1"/>
    <col min="24" max="24" width="8.140625" hidden="1" customWidth="1"/>
    <col min="25" max="25" width="9.140625" hidden="1" customWidth="1"/>
    <col min="26" max="26" width="11.5703125" hidden="1" customWidth="1"/>
    <col min="27" max="27" width="16" hidden="1" customWidth="1"/>
    <col min="29" max="29" width="14.42578125" style="2" hidden="1" customWidth="1"/>
    <col min="30" max="30" width="14.42578125" hidden="1" customWidth="1"/>
    <col min="31" max="31" width="15" style="11" customWidth="1"/>
    <col min="32" max="32" width="15" style="2" customWidth="1"/>
  </cols>
  <sheetData>
    <row r="1" spans="1:33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6" t="s">
        <v>80</v>
      </c>
      <c r="P1" s="10" t="s">
        <v>380</v>
      </c>
      <c r="Q1" s="7"/>
      <c r="U1" s="1" t="s">
        <v>10</v>
      </c>
      <c r="V1" s="5" t="s">
        <v>0</v>
      </c>
      <c r="W1" s="1"/>
      <c r="X1" s="1"/>
      <c r="Y1" s="1"/>
      <c r="Z1" s="1"/>
      <c r="AA1" s="1"/>
      <c r="AC1" s="2" t="str" cm="1">
        <f t="array" ref="AC1:AC95">_xlfn._xlws.SORT(_xlfn.UNIQUE(A:A),1,-1)</f>
        <v>model_number</v>
      </c>
      <c r="AD1" t="str" cm="1">
        <f t="array" ref="AD1:AD247">_xlfn._xlws.SORT(_xlfn.UNIQUE(V:V),1,-1)</f>
        <v>زيادات</v>
      </c>
      <c r="AE1" s="11" cm="1">
        <f t="array" ref="AE1:AE95">_xlfn.UNIQUE(_xlfn._xlws.SORT(P1:P244,1,1))</f>
        <v>57</v>
      </c>
      <c r="AF1" s="2" cm="1">
        <f t="array" ref="AF1:AF244">_xlfn.UNIQUE(_xlfn._xlws.SORT(O1:O244,1,1))</f>
        <v>0</v>
      </c>
      <c r="AG1">
        <f>LEN(O93)</f>
        <v>3</v>
      </c>
    </row>
    <row r="2" spans="1:33" x14ac:dyDescent="0.25">
      <c r="A2" s="18" t="s">
        <v>380</v>
      </c>
      <c r="B2" t="s">
        <v>13</v>
      </c>
      <c r="C2">
        <v>2</v>
      </c>
      <c r="D2">
        <v>1</v>
      </c>
      <c r="E2">
        <v>4</v>
      </c>
      <c r="F2" t="s">
        <v>14</v>
      </c>
      <c r="G2">
        <v>4</v>
      </c>
      <c r="I2">
        <v>4</v>
      </c>
      <c r="J2" t="s">
        <v>15</v>
      </c>
      <c r="K2" t="str">
        <f>_xlfn.XLOOKUP(A2,V:V,U:U,"",0)</f>
        <v>50293630135269200000</v>
      </c>
      <c r="L2" t="s">
        <v>16</v>
      </c>
      <c r="M2">
        <v>6</v>
      </c>
      <c r="O2" s="6" t="s">
        <v>4105</v>
      </c>
      <c r="P2" s="10" t="s">
        <v>134</v>
      </c>
      <c r="R2" s="8" t="str">
        <f>_xlfn.XLOOKUP(P2,$V$2:$V$1079,$U$2:$U$1079,0,0)</f>
        <v>43818128255205700000</v>
      </c>
      <c r="S2" t="str" cm="1">
        <f t="array" ref="S2">IFERROR(INDEX(U:U,_xlfn.AGGREGATE(15,6,(ROW(V:V)-ROW(V2)+1)/(V:V=A2),COUNTIF($A$2:A2,A2))),"")</f>
        <v>13128144854598200000</v>
      </c>
      <c r="T2">
        <f>LEN(U2)</f>
        <v>20</v>
      </c>
      <c r="U2" t="s">
        <v>79</v>
      </c>
      <c r="V2" s="4" t="s">
        <v>80</v>
      </c>
      <c r="W2" s="3" cm="1">
        <f t="array" ref="W2:W1079">ROW(V2:V1079)-ROW(V2)+1</f>
        <v>1</v>
      </c>
      <c r="X2" s="9" t="e" cm="1">
        <f t="array" ref="X2">_xlfn.AGGREGATE(15,6,(ROW(V2:V1079)-ROW(V2)+1))</f>
        <v>#VALUE!</v>
      </c>
      <c r="Y2" t="e">
        <f>LEN(#REF!)</f>
        <v>#REF!</v>
      </c>
      <c r="Z2">
        <f>LEN(P2)</f>
        <v>2</v>
      </c>
      <c r="AA2">
        <f>LEN(P2)</f>
        <v>2</v>
      </c>
      <c r="AC2" s="2" t="str">
        <v>3600</v>
      </c>
      <c r="AD2" t="str">
        <v>زارة</v>
      </c>
      <c r="AE2" s="11">
        <v>62</v>
      </c>
      <c r="AF2" s="2" t="str">
        <v>01</v>
      </c>
    </row>
    <row r="3" spans="1:33" x14ac:dyDescent="0.25">
      <c r="A3" s="4" t="s">
        <v>380</v>
      </c>
      <c r="B3" t="s">
        <v>13</v>
      </c>
      <c r="C3">
        <v>2</v>
      </c>
      <c r="D3">
        <v>1</v>
      </c>
      <c r="E3">
        <v>3</v>
      </c>
      <c r="F3" t="s">
        <v>14</v>
      </c>
      <c r="G3">
        <v>4</v>
      </c>
      <c r="I3">
        <v>4</v>
      </c>
      <c r="J3" t="s">
        <v>15</v>
      </c>
      <c r="K3" t="str">
        <f t="shared" ref="K3:K66" si="0">_xlfn.XLOOKUP(A3,V:V,U:U,"",0)</f>
        <v>50293630135269200000</v>
      </c>
      <c r="L3" t="s">
        <v>16</v>
      </c>
      <c r="M3">
        <v>6</v>
      </c>
      <c r="O3" s="6" t="s">
        <v>104</v>
      </c>
      <c r="P3" s="10" t="s">
        <v>171</v>
      </c>
      <c r="S3" t="str" cm="1">
        <f t="array" ref="S3">IFERROR(INDEX(U:U,_xlfn.AGGREGATE(15,6,(ROW(V:V)-ROW(V3)+1)/(V:V=A3),COUNTIF($A$2:A3,A3))),"")</f>
        <v>13128144854598200000</v>
      </c>
      <c r="T3">
        <f t="shared" ref="T3:T66" si="1">LEN(U3)</f>
        <v>20</v>
      </c>
      <c r="U3" t="s">
        <v>97</v>
      </c>
      <c r="V3" s="4" t="s">
        <v>80</v>
      </c>
      <c r="W3">
        <v>2</v>
      </c>
      <c r="Y3">
        <f>LEN(O1)</f>
        <v>2</v>
      </c>
      <c r="Z3">
        <f t="shared" ref="Z3:Z66" si="2">LEN(P3)</f>
        <v>2</v>
      </c>
      <c r="AA3">
        <f t="shared" ref="AA3:AA55" si="3">LEN(P3)</f>
        <v>2</v>
      </c>
      <c r="AC3" s="2" t="str">
        <v>11</v>
      </c>
      <c r="AD3" t="str">
        <v>model_number</v>
      </c>
      <c r="AE3" s="11">
        <v>124</v>
      </c>
      <c r="AF3" s="2" t="str">
        <v>011</v>
      </c>
    </row>
    <row r="4" spans="1:33" x14ac:dyDescent="0.25">
      <c r="A4" s="4" t="s">
        <v>380</v>
      </c>
      <c r="B4" t="s">
        <v>13</v>
      </c>
      <c r="C4">
        <v>2</v>
      </c>
      <c r="D4">
        <v>1</v>
      </c>
      <c r="E4">
        <v>2</v>
      </c>
      <c r="F4" t="s">
        <v>14</v>
      </c>
      <c r="G4">
        <v>4</v>
      </c>
      <c r="I4">
        <v>4</v>
      </c>
      <c r="J4" t="s">
        <v>15</v>
      </c>
      <c r="K4" t="str">
        <f t="shared" si="0"/>
        <v>50293630135269200000</v>
      </c>
      <c r="L4" t="s">
        <v>16</v>
      </c>
      <c r="M4">
        <v>6</v>
      </c>
      <c r="O4" s="6" t="s">
        <v>118</v>
      </c>
      <c r="P4" s="10">
        <v>26314</v>
      </c>
      <c r="S4" t="str" cm="1">
        <f t="array" ref="S4">IFERROR(INDEX(U:U,_xlfn.AGGREGATE(15,6,(ROW(V:V)-ROW(V4)+1)/(V:V=A4),COUNTIF($A$2:A4,A4))),"")</f>
        <v>13128144854598200000</v>
      </c>
      <c r="T4">
        <f t="shared" si="1"/>
        <v>20</v>
      </c>
      <c r="U4" t="s">
        <v>100</v>
      </c>
      <c r="V4" s="4" t="s">
        <v>80</v>
      </c>
      <c r="W4">
        <v>3</v>
      </c>
      <c r="Y4">
        <f>LEN(O2)</f>
        <v>3</v>
      </c>
      <c r="Z4">
        <f t="shared" si="2"/>
        <v>5</v>
      </c>
      <c r="AA4">
        <f t="shared" si="3"/>
        <v>5</v>
      </c>
      <c r="AC4" s="2" t="str">
        <v>08</v>
      </c>
      <c r="AD4" t="str">
        <v>917</v>
      </c>
      <c r="AE4" s="11">
        <v>129</v>
      </c>
      <c r="AF4" s="2" t="str">
        <v>02</v>
      </c>
    </row>
    <row r="5" spans="1:33" x14ac:dyDescent="0.25">
      <c r="A5" s="4" t="s">
        <v>380</v>
      </c>
      <c r="B5" t="s">
        <v>13</v>
      </c>
      <c r="C5">
        <v>2</v>
      </c>
      <c r="D5">
        <v>1</v>
      </c>
      <c r="E5">
        <v>1</v>
      </c>
      <c r="F5" t="s">
        <v>14</v>
      </c>
      <c r="G5">
        <v>4</v>
      </c>
      <c r="I5">
        <v>4</v>
      </c>
      <c r="J5" t="s">
        <v>15</v>
      </c>
      <c r="K5" t="str">
        <f t="shared" si="0"/>
        <v>50293630135269200000</v>
      </c>
      <c r="L5" t="s">
        <v>16</v>
      </c>
      <c r="M5">
        <v>6</v>
      </c>
      <c r="O5" s="6" t="s">
        <v>138</v>
      </c>
      <c r="P5" s="10">
        <v>26312</v>
      </c>
      <c r="S5" t="str" cm="1">
        <f t="array" ref="S5">IFERROR(INDEX(U:U,_xlfn.AGGREGATE(15,6,(ROW(V:V)-ROW(V5)+1)/(V:V=A5),COUNTIF($A$2:A5,A5))),"")</f>
        <v>13128144854598200000</v>
      </c>
      <c r="T5">
        <f t="shared" si="1"/>
        <v>20</v>
      </c>
      <c r="U5" t="s">
        <v>103</v>
      </c>
      <c r="V5" s="4" t="s">
        <v>104</v>
      </c>
      <c r="W5">
        <v>4</v>
      </c>
      <c r="Y5">
        <f>LEN(O3)</f>
        <v>2</v>
      </c>
      <c r="Z5">
        <f t="shared" si="2"/>
        <v>5</v>
      </c>
      <c r="AA5">
        <f t="shared" si="3"/>
        <v>5</v>
      </c>
      <c r="AC5" s="2">
        <v>26314</v>
      </c>
      <c r="AD5" t="str">
        <v>907</v>
      </c>
      <c r="AE5" s="11">
        <v>132</v>
      </c>
      <c r="AF5" s="2" t="str">
        <v>03</v>
      </c>
    </row>
    <row r="6" spans="1:33" x14ac:dyDescent="0.25">
      <c r="A6" s="4" t="s">
        <v>380</v>
      </c>
      <c r="B6" t="s">
        <v>13</v>
      </c>
      <c r="C6">
        <v>2</v>
      </c>
      <c r="D6">
        <v>1</v>
      </c>
      <c r="E6">
        <v>8</v>
      </c>
      <c r="F6" t="s">
        <v>14</v>
      </c>
      <c r="G6">
        <v>4.5</v>
      </c>
      <c r="I6">
        <v>4</v>
      </c>
      <c r="J6" t="s">
        <v>15</v>
      </c>
      <c r="K6" t="str">
        <f t="shared" si="0"/>
        <v>50293630135269200000</v>
      </c>
      <c r="L6" t="s">
        <v>16</v>
      </c>
      <c r="M6">
        <v>3</v>
      </c>
      <c r="O6" s="6" t="s">
        <v>3320</v>
      </c>
      <c r="P6" s="10">
        <v>26164</v>
      </c>
      <c r="S6" t="str" cm="1">
        <f t="array" ref="S6">IFERROR(INDEX(U:U,_xlfn.AGGREGATE(15,6,(ROW(V:V)-ROW(V6)+1)/(V:V=A6),COUNTIF($A$2:A6,A6))),"")</f>
        <v>13128144854598200000</v>
      </c>
      <c r="T6">
        <f t="shared" si="1"/>
        <v>20</v>
      </c>
      <c r="U6" t="s">
        <v>112</v>
      </c>
      <c r="V6" s="4" t="s">
        <v>104</v>
      </c>
      <c r="W6">
        <v>5</v>
      </c>
      <c r="Y6">
        <f>LEN(O4)</f>
        <v>2</v>
      </c>
      <c r="Z6">
        <f t="shared" si="2"/>
        <v>5</v>
      </c>
      <c r="AA6">
        <f t="shared" si="3"/>
        <v>5</v>
      </c>
      <c r="AC6" s="2">
        <v>26312</v>
      </c>
      <c r="AD6" t="str">
        <v>9044</v>
      </c>
      <c r="AE6" s="11">
        <v>312</v>
      </c>
      <c r="AF6" s="2" t="str">
        <v>04</v>
      </c>
    </row>
    <row r="7" spans="1:33" x14ac:dyDescent="0.25">
      <c r="A7" s="4" t="s">
        <v>380</v>
      </c>
      <c r="B7" t="s">
        <v>13</v>
      </c>
      <c r="C7">
        <v>2</v>
      </c>
      <c r="D7">
        <v>1</v>
      </c>
      <c r="E7">
        <v>7</v>
      </c>
      <c r="F7" t="s">
        <v>14</v>
      </c>
      <c r="G7">
        <v>4.5</v>
      </c>
      <c r="I7">
        <v>4</v>
      </c>
      <c r="J7" t="s">
        <v>15</v>
      </c>
      <c r="K7" t="str">
        <f t="shared" si="0"/>
        <v>50293630135269200000</v>
      </c>
      <c r="L7" t="s">
        <v>16</v>
      </c>
      <c r="M7">
        <v>3</v>
      </c>
      <c r="O7" s="6" t="s">
        <v>3341</v>
      </c>
      <c r="P7" s="10">
        <v>26114</v>
      </c>
      <c r="S7" t="str" cm="1">
        <f t="array" ref="S7">IFERROR(INDEX(U:U,_xlfn.AGGREGATE(15,6,(ROW(V:V)-ROW(V7)+1)/(V:V=A7),COUNTIF($A$2:A7,A7))),"")</f>
        <v>13128144854598200000</v>
      </c>
      <c r="T7">
        <f t="shared" si="1"/>
        <v>20</v>
      </c>
      <c r="U7" t="s">
        <v>114</v>
      </c>
      <c r="V7" s="4" t="s">
        <v>104</v>
      </c>
      <c r="W7">
        <v>6</v>
      </c>
      <c r="Y7">
        <f>LEN(O5)</f>
        <v>2</v>
      </c>
      <c r="Z7">
        <f t="shared" si="2"/>
        <v>5</v>
      </c>
      <c r="AA7">
        <f t="shared" si="3"/>
        <v>5</v>
      </c>
      <c r="AC7" s="2">
        <v>26164</v>
      </c>
      <c r="AD7" t="str">
        <v>9040</v>
      </c>
      <c r="AE7" s="11">
        <v>313</v>
      </c>
      <c r="AF7" s="2" t="str">
        <v>052</v>
      </c>
    </row>
    <row r="8" spans="1:33" x14ac:dyDescent="0.25">
      <c r="A8" s="4" t="s">
        <v>380</v>
      </c>
      <c r="B8" t="s">
        <v>13</v>
      </c>
      <c r="C8">
        <v>2</v>
      </c>
      <c r="D8">
        <v>1</v>
      </c>
      <c r="E8">
        <v>6</v>
      </c>
      <c r="F8" t="s">
        <v>14</v>
      </c>
      <c r="G8">
        <v>4.5</v>
      </c>
      <c r="I8">
        <v>4</v>
      </c>
      <c r="J8" t="s">
        <v>15</v>
      </c>
      <c r="K8" t="str">
        <f t="shared" si="0"/>
        <v>50293630135269200000</v>
      </c>
      <c r="L8" t="s">
        <v>16</v>
      </c>
      <c r="M8">
        <v>3</v>
      </c>
      <c r="O8" s="6" t="s">
        <v>3643</v>
      </c>
      <c r="P8" s="10">
        <v>26009</v>
      </c>
      <c r="T8">
        <f t="shared" si="1"/>
        <v>20</v>
      </c>
      <c r="U8" t="s">
        <v>117</v>
      </c>
      <c r="V8" s="4" t="s">
        <v>118</v>
      </c>
      <c r="W8">
        <v>7</v>
      </c>
      <c r="Y8">
        <f>LEN(O6)</f>
        <v>3</v>
      </c>
      <c r="Z8">
        <f t="shared" si="2"/>
        <v>5</v>
      </c>
      <c r="AA8">
        <f t="shared" si="3"/>
        <v>5</v>
      </c>
      <c r="AC8" s="2">
        <v>26114</v>
      </c>
      <c r="AD8" t="str">
        <v>870</v>
      </c>
      <c r="AE8" s="11">
        <v>314</v>
      </c>
      <c r="AF8" s="2" t="str">
        <v>057</v>
      </c>
    </row>
    <row r="9" spans="1:33" x14ac:dyDescent="0.25">
      <c r="A9" s="4" t="s">
        <v>380</v>
      </c>
      <c r="B9" t="s">
        <v>13</v>
      </c>
      <c r="C9">
        <v>2</v>
      </c>
      <c r="D9">
        <v>1</v>
      </c>
      <c r="E9">
        <v>5</v>
      </c>
      <c r="F9" t="s">
        <v>14</v>
      </c>
      <c r="G9">
        <v>4.5</v>
      </c>
      <c r="I9">
        <v>4</v>
      </c>
      <c r="J9" t="s">
        <v>15</v>
      </c>
      <c r="K9" t="str">
        <f t="shared" si="0"/>
        <v>50293630135269200000</v>
      </c>
      <c r="L9" t="s">
        <v>16</v>
      </c>
      <c r="M9">
        <v>3</v>
      </c>
      <c r="O9" s="6" t="s">
        <v>156</v>
      </c>
      <c r="P9" s="10">
        <v>26007</v>
      </c>
      <c r="T9">
        <f t="shared" si="1"/>
        <v>20</v>
      </c>
      <c r="U9" t="s">
        <v>125</v>
      </c>
      <c r="V9" s="4" t="s">
        <v>118</v>
      </c>
      <c r="W9">
        <v>8</v>
      </c>
      <c r="Y9">
        <f>LEN(O7)</f>
        <v>3</v>
      </c>
      <c r="Z9">
        <f t="shared" si="2"/>
        <v>5</v>
      </c>
      <c r="AA9">
        <f t="shared" si="3"/>
        <v>5</v>
      </c>
      <c r="AC9" s="2">
        <v>26009</v>
      </c>
      <c r="AD9" t="str">
        <v>867</v>
      </c>
      <c r="AE9" s="11">
        <v>336</v>
      </c>
      <c r="AF9" s="2" t="str">
        <v>062</v>
      </c>
    </row>
    <row r="10" spans="1:33" x14ac:dyDescent="0.25">
      <c r="A10" s="4" t="s">
        <v>380</v>
      </c>
      <c r="B10" t="s">
        <v>13</v>
      </c>
      <c r="C10">
        <v>2</v>
      </c>
      <c r="D10">
        <v>1</v>
      </c>
      <c r="E10">
        <v>12</v>
      </c>
      <c r="F10" t="s">
        <v>14</v>
      </c>
      <c r="G10">
        <v>5</v>
      </c>
      <c r="I10">
        <v>4</v>
      </c>
      <c r="J10" t="s">
        <v>15</v>
      </c>
      <c r="K10" t="str">
        <f t="shared" si="0"/>
        <v>50293630135269200000</v>
      </c>
      <c r="L10" t="s">
        <v>16</v>
      </c>
      <c r="M10">
        <v>3</v>
      </c>
      <c r="O10" s="6" t="s">
        <v>171</v>
      </c>
      <c r="P10" s="10">
        <v>9040</v>
      </c>
      <c r="T10">
        <f t="shared" si="1"/>
        <v>20</v>
      </c>
      <c r="U10" t="s">
        <v>129</v>
      </c>
      <c r="V10" s="4" t="s">
        <v>118</v>
      </c>
      <c r="W10">
        <v>9</v>
      </c>
      <c r="Y10">
        <f>LEN(O8)</f>
        <v>3</v>
      </c>
      <c r="Z10">
        <f t="shared" si="2"/>
        <v>4</v>
      </c>
      <c r="AA10">
        <f t="shared" si="3"/>
        <v>4</v>
      </c>
      <c r="AC10" s="2">
        <v>26007</v>
      </c>
      <c r="AD10" t="str">
        <v>863</v>
      </c>
      <c r="AE10" s="11">
        <v>339</v>
      </c>
      <c r="AF10" s="2" t="str">
        <v>07</v>
      </c>
    </row>
    <row r="11" spans="1:33" x14ac:dyDescent="0.25">
      <c r="A11" s="4" t="s">
        <v>380</v>
      </c>
      <c r="B11" t="s">
        <v>13</v>
      </c>
      <c r="C11">
        <v>2</v>
      </c>
      <c r="D11">
        <v>1</v>
      </c>
      <c r="E11">
        <v>11</v>
      </c>
      <c r="F11" t="s">
        <v>14</v>
      </c>
      <c r="G11">
        <v>5</v>
      </c>
      <c r="I11">
        <v>4</v>
      </c>
      <c r="J11" t="s">
        <v>15</v>
      </c>
      <c r="K11" t="str">
        <f t="shared" si="0"/>
        <v>50293630135269200000</v>
      </c>
      <c r="L11" t="s">
        <v>16</v>
      </c>
      <c r="M11">
        <v>3</v>
      </c>
      <c r="O11" s="6" t="s">
        <v>3489</v>
      </c>
      <c r="P11" s="10">
        <v>7128</v>
      </c>
      <c r="T11">
        <f t="shared" si="1"/>
        <v>20</v>
      </c>
      <c r="U11" t="s">
        <v>132</v>
      </c>
      <c r="V11" s="4" t="s">
        <v>118</v>
      </c>
      <c r="W11">
        <v>10</v>
      </c>
      <c r="Y11">
        <f>LEN(O9)</f>
        <v>2</v>
      </c>
      <c r="Z11">
        <f t="shared" si="2"/>
        <v>4</v>
      </c>
      <c r="AA11">
        <f t="shared" si="3"/>
        <v>4</v>
      </c>
      <c r="AC11" s="2">
        <v>9040</v>
      </c>
      <c r="AD11" t="str">
        <v>862</v>
      </c>
      <c r="AE11" s="11">
        <v>343</v>
      </c>
      <c r="AF11" s="2" t="str">
        <v>08</v>
      </c>
    </row>
    <row r="12" spans="1:33" x14ac:dyDescent="0.25">
      <c r="A12" s="4" t="s">
        <v>380</v>
      </c>
      <c r="B12" t="s">
        <v>13</v>
      </c>
      <c r="C12">
        <v>2</v>
      </c>
      <c r="D12">
        <v>1</v>
      </c>
      <c r="E12">
        <v>10</v>
      </c>
      <c r="F12" t="s">
        <v>14</v>
      </c>
      <c r="G12">
        <v>5</v>
      </c>
      <c r="I12">
        <v>4</v>
      </c>
      <c r="J12" t="s">
        <v>15</v>
      </c>
      <c r="K12" t="str">
        <f t="shared" si="0"/>
        <v>50293630135269200000</v>
      </c>
      <c r="L12" t="s">
        <v>16</v>
      </c>
      <c r="M12">
        <v>3</v>
      </c>
      <c r="O12" s="6" t="s">
        <v>1369</v>
      </c>
      <c r="P12" s="10">
        <v>7122</v>
      </c>
      <c r="T12">
        <f t="shared" si="1"/>
        <v>20</v>
      </c>
      <c r="U12" t="s">
        <v>135</v>
      </c>
      <c r="V12" s="4" t="s">
        <v>118</v>
      </c>
      <c r="W12">
        <v>11</v>
      </c>
      <c r="Y12">
        <f>LEN(O10)</f>
        <v>2</v>
      </c>
      <c r="Z12">
        <f t="shared" si="2"/>
        <v>4</v>
      </c>
      <c r="AA12">
        <f t="shared" si="3"/>
        <v>4</v>
      </c>
      <c r="AC12" s="2">
        <v>7128</v>
      </c>
      <c r="AD12" t="str">
        <v>861</v>
      </c>
      <c r="AE12" s="11">
        <v>418</v>
      </c>
      <c r="AF12" s="2" t="str">
        <v>1001</v>
      </c>
    </row>
    <row r="13" spans="1:33" x14ac:dyDescent="0.25">
      <c r="A13" s="4" t="s">
        <v>380</v>
      </c>
      <c r="B13" t="s">
        <v>13</v>
      </c>
      <c r="C13">
        <v>2</v>
      </c>
      <c r="D13">
        <v>1</v>
      </c>
      <c r="E13">
        <v>9</v>
      </c>
      <c r="F13" t="s">
        <v>14</v>
      </c>
      <c r="G13">
        <v>5</v>
      </c>
      <c r="I13">
        <v>4</v>
      </c>
      <c r="J13" t="s">
        <v>15</v>
      </c>
      <c r="K13" t="str">
        <f t="shared" si="0"/>
        <v>50293630135269200000</v>
      </c>
      <c r="L13" t="s">
        <v>16</v>
      </c>
      <c r="M13">
        <v>3</v>
      </c>
      <c r="O13" s="6" t="s">
        <v>3283</v>
      </c>
      <c r="P13" s="10">
        <v>5094</v>
      </c>
      <c r="T13">
        <f t="shared" si="1"/>
        <v>20</v>
      </c>
      <c r="U13" t="s">
        <v>137</v>
      </c>
      <c r="V13" s="4" t="s">
        <v>138</v>
      </c>
      <c r="W13">
        <v>12</v>
      </c>
      <c r="Y13">
        <f>LEN(O11)</f>
        <v>4</v>
      </c>
      <c r="Z13">
        <f t="shared" si="2"/>
        <v>4</v>
      </c>
      <c r="AA13">
        <f t="shared" si="3"/>
        <v>4</v>
      </c>
      <c r="AC13" s="2">
        <v>7122</v>
      </c>
      <c r="AD13" t="str">
        <v>829</v>
      </c>
      <c r="AE13" s="11">
        <v>419</v>
      </c>
      <c r="AF13" s="2" t="str">
        <v>1009</v>
      </c>
    </row>
    <row r="14" spans="1:33" x14ac:dyDescent="0.25">
      <c r="A14" s="4" t="s">
        <v>380</v>
      </c>
      <c r="B14" t="s">
        <v>13</v>
      </c>
      <c r="C14">
        <v>2</v>
      </c>
      <c r="D14">
        <v>1</v>
      </c>
      <c r="E14">
        <v>16</v>
      </c>
      <c r="F14" t="s">
        <v>14</v>
      </c>
      <c r="G14">
        <v>5.5</v>
      </c>
      <c r="I14">
        <v>4</v>
      </c>
      <c r="J14" t="s">
        <v>17</v>
      </c>
      <c r="K14" t="str">
        <f t="shared" si="0"/>
        <v>50293630135269200000</v>
      </c>
      <c r="L14" t="s">
        <v>16</v>
      </c>
      <c r="M14">
        <v>8</v>
      </c>
      <c r="O14" s="6" t="s">
        <v>762</v>
      </c>
      <c r="P14" s="10">
        <v>5091</v>
      </c>
      <c r="T14">
        <f t="shared" si="1"/>
        <v>20</v>
      </c>
      <c r="U14" t="s">
        <v>144</v>
      </c>
      <c r="V14" s="4" t="s">
        <v>138</v>
      </c>
      <c r="W14">
        <v>13</v>
      </c>
      <c r="Y14">
        <f>LEN(O12)</f>
        <v>4</v>
      </c>
      <c r="Z14">
        <f t="shared" si="2"/>
        <v>4</v>
      </c>
      <c r="AA14">
        <f t="shared" si="3"/>
        <v>4</v>
      </c>
      <c r="AC14" s="2">
        <v>5094</v>
      </c>
      <c r="AD14" t="str">
        <v>8226</v>
      </c>
      <c r="AE14" s="11">
        <v>450</v>
      </c>
      <c r="AF14" s="2" t="str">
        <v>1013</v>
      </c>
    </row>
    <row r="15" spans="1:33" x14ac:dyDescent="0.25">
      <c r="A15" s="4" t="s">
        <v>380</v>
      </c>
      <c r="B15" t="s">
        <v>13</v>
      </c>
      <c r="C15">
        <v>2</v>
      </c>
      <c r="D15">
        <v>1</v>
      </c>
      <c r="E15">
        <v>15</v>
      </c>
      <c r="F15" t="s">
        <v>14</v>
      </c>
      <c r="G15">
        <v>5.5</v>
      </c>
      <c r="I15">
        <v>4</v>
      </c>
      <c r="J15" t="s">
        <v>17</v>
      </c>
      <c r="K15" t="str">
        <f t="shared" si="0"/>
        <v>50293630135269200000</v>
      </c>
      <c r="L15" t="s">
        <v>16</v>
      </c>
      <c r="M15">
        <v>8</v>
      </c>
      <c r="O15" s="6" t="s">
        <v>3024</v>
      </c>
      <c r="P15" s="10">
        <v>5089</v>
      </c>
      <c r="T15">
        <f t="shared" si="1"/>
        <v>20</v>
      </c>
      <c r="U15" t="s">
        <v>147</v>
      </c>
      <c r="V15" s="4" t="s">
        <v>138</v>
      </c>
      <c r="W15">
        <v>14</v>
      </c>
      <c r="Y15">
        <f>LEN(O13)</f>
        <v>4</v>
      </c>
      <c r="Z15">
        <f t="shared" si="2"/>
        <v>4</v>
      </c>
      <c r="AA15">
        <f t="shared" si="3"/>
        <v>4</v>
      </c>
      <c r="AC15" s="2">
        <v>5091</v>
      </c>
      <c r="AD15" t="str">
        <v>8222</v>
      </c>
      <c r="AE15" s="11">
        <v>475</v>
      </c>
      <c r="AF15" s="2" t="str">
        <v>1022</v>
      </c>
    </row>
    <row r="16" spans="1:33" x14ac:dyDescent="0.25">
      <c r="A16" s="4" t="s">
        <v>380</v>
      </c>
      <c r="B16" t="s">
        <v>13</v>
      </c>
      <c r="C16">
        <v>2</v>
      </c>
      <c r="D16">
        <v>1</v>
      </c>
      <c r="E16">
        <v>14</v>
      </c>
      <c r="F16" t="s">
        <v>14</v>
      </c>
      <c r="G16">
        <v>5.5</v>
      </c>
      <c r="I16">
        <v>4</v>
      </c>
      <c r="J16" t="s">
        <v>17</v>
      </c>
      <c r="K16" t="str">
        <f t="shared" si="0"/>
        <v>50293630135269200000</v>
      </c>
      <c r="L16" t="s">
        <v>16</v>
      </c>
      <c r="M16">
        <v>8</v>
      </c>
      <c r="O16" s="6" t="s">
        <v>1900</v>
      </c>
      <c r="P16" s="10">
        <v>5085</v>
      </c>
      <c r="T16">
        <f t="shared" si="1"/>
        <v>20</v>
      </c>
      <c r="U16" t="s">
        <v>150</v>
      </c>
      <c r="V16" s="4" t="s">
        <v>138</v>
      </c>
      <c r="W16">
        <v>15</v>
      </c>
      <c r="Y16">
        <f>LEN(O14)</f>
        <v>4</v>
      </c>
      <c r="Z16">
        <f t="shared" si="2"/>
        <v>4</v>
      </c>
      <c r="AA16">
        <f t="shared" si="3"/>
        <v>4</v>
      </c>
      <c r="AC16" s="2">
        <v>5089</v>
      </c>
      <c r="AD16" t="str">
        <v>817</v>
      </c>
      <c r="AE16" s="11">
        <v>476</v>
      </c>
      <c r="AF16" s="2" t="str">
        <v>1024</v>
      </c>
    </row>
    <row r="17" spans="1:32" x14ac:dyDescent="0.25">
      <c r="A17" s="4" t="s">
        <v>380</v>
      </c>
      <c r="B17" t="s">
        <v>13</v>
      </c>
      <c r="C17">
        <v>2</v>
      </c>
      <c r="D17">
        <v>1</v>
      </c>
      <c r="E17">
        <v>13</v>
      </c>
      <c r="F17" t="s">
        <v>14</v>
      </c>
      <c r="G17">
        <v>5.5</v>
      </c>
      <c r="I17">
        <v>4</v>
      </c>
      <c r="J17" t="s">
        <v>17</v>
      </c>
      <c r="K17" t="str">
        <f t="shared" si="0"/>
        <v>50293630135269200000</v>
      </c>
      <c r="L17" t="s">
        <v>16</v>
      </c>
      <c r="M17">
        <v>8</v>
      </c>
      <c r="O17" s="6" t="s">
        <v>467</v>
      </c>
      <c r="P17" s="10">
        <v>5075</v>
      </c>
      <c r="T17">
        <f t="shared" si="1"/>
        <v>20</v>
      </c>
      <c r="U17" t="s">
        <v>152</v>
      </c>
      <c r="V17" s="4" t="s">
        <v>138</v>
      </c>
      <c r="W17">
        <v>16</v>
      </c>
      <c r="Y17">
        <f>LEN(O15)</f>
        <v>4</v>
      </c>
      <c r="Z17">
        <f t="shared" si="2"/>
        <v>4</v>
      </c>
      <c r="AA17">
        <f t="shared" si="3"/>
        <v>4</v>
      </c>
      <c r="AC17" s="2">
        <v>5085</v>
      </c>
      <c r="AD17" t="str">
        <v>814</v>
      </c>
      <c r="AE17" s="11">
        <v>481</v>
      </c>
      <c r="AF17" s="2" t="str">
        <v>1026</v>
      </c>
    </row>
    <row r="18" spans="1:32" x14ac:dyDescent="0.25">
      <c r="A18" s="4" t="s">
        <v>380</v>
      </c>
      <c r="B18" t="s">
        <v>13</v>
      </c>
      <c r="C18">
        <v>2</v>
      </c>
      <c r="D18">
        <v>1</v>
      </c>
      <c r="E18">
        <v>16</v>
      </c>
      <c r="F18" t="s">
        <v>14</v>
      </c>
      <c r="G18">
        <v>5.5</v>
      </c>
      <c r="I18">
        <v>4</v>
      </c>
      <c r="J18" t="s">
        <v>15</v>
      </c>
      <c r="K18" t="str">
        <f t="shared" si="0"/>
        <v>50293630135269200000</v>
      </c>
      <c r="L18" t="s">
        <v>16</v>
      </c>
      <c r="M18">
        <v>5</v>
      </c>
      <c r="O18" s="6" t="s">
        <v>470</v>
      </c>
      <c r="P18" s="10">
        <v>5070</v>
      </c>
      <c r="T18">
        <f t="shared" si="1"/>
        <v>20</v>
      </c>
      <c r="U18" t="s">
        <v>155</v>
      </c>
      <c r="V18" s="4" t="s">
        <v>156</v>
      </c>
      <c r="W18">
        <v>17</v>
      </c>
      <c r="Y18">
        <f>LEN(O16)</f>
        <v>4</v>
      </c>
      <c r="Z18">
        <f t="shared" si="2"/>
        <v>4</v>
      </c>
      <c r="AA18">
        <f t="shared" si="3"/>
        <v>4</v>
      </c>
      <c r="AC18" s="2">
        <v>5075</v>
      </c>
      <c r="AD18" t="str">
        <v>8128</v>
      </c>
      <c r="AE18" s="11">
        <v>504</v>
      </c>
      <c r="AF18" s="2" t="str">
        <v>103</v>
      </c>
    </row>
    <row r="19" spans="1:32" x14ac:dyDescent="0.25">
      <c r="A19" s="4" t="s">
        <v>380</v>
      </c>
      <c r="B19" t="s">
        <v>13</v>
      </c>
      <c r="C19">
        <v>2</v>
      </c>
      <c r="D19">
        <v>1</v>
      </c>
      <c r="E19">
        <v>15</v>
      </c>
      <c r="F19" t="s">
        <v>14</v>
      </c>
      <c r="G19">
        <v>5.5</v>
      </c>
      <c r="I19">
        <v>4</v>
      </c>
      <c r="J19" t="s">
        <v>15</v>
      </c>
      <c r="K19" t="str">
        <f t="shared" si="0"/>
        <v>50293630135269200000</v>
      </c>
      <c r="L19" t="s">
        <v>16</v>
      </c>
      <c r="M19">
        <v>5</v>
      </c>
      <c r="O19" s="6" t="s">
        <v>3695</v>
      </c>
      <c r="P19" s="10">
        <v>5069</v>
      </c>
      <c r="T19">
        <f t="shared" si="1"/>
        <v>20</v>
      </c>
      <c r="U19" t="s">
        <v>161</v>
      </c>
      <c r="V19" s="4" t="s">
        <v>156</v>
      </c>
      <c r="W19">
        <v>18</v>
      </c>
      <c r="Y19">
        <f>LEN(O17)</f>
        <v>3</v>
      </c>
      <c r="Z19">
        <f t="shared" si="2"/>
        <v>4</v>
      </c>
      <c r="AA19">
        <f t="shared" si="3"/>
        <v>4</v>
      </c>
      <c r="AC19" s="2">
        <v>5070</v>
      </c>
      <c r="AD19" t="str">
        <v>8124</v>
      </c>
      <c r="AE19" s="11">
        <v>575</v>
      </c>
      <c r="AF19" s="2" t="str">
        <v>104</v>
      </c>
    </row>
    <row r="20" spans="1:32" x14ac:dyDescent="0.25">
      <c r="A20" s="4" t="s">
        <v>380</v>
      </c>
      <c r="B20" t="s">
        <v>13</v>
      </c>
      <c r="C20">
        <v>2</v>
      </c>
      <c r="D20">
        <v>1</v>
      </c>
      <c r="E20">
        <v>14</v>
      </c>
      <c r="F20" t="s">
        <v>14</v>
      </c>
      <c r="G20">
        <v>5.5</v>
      </c>
      <c r="I20">
        <v>4</v>
      </c>
      <c r="J20" t="s">
        <v>15</v>
      </c>
      <c r="K20" t="str">
        <f t="shared" si="0"/>
        <v>50293630135269200000</v>
      </c>
      <c r="L20" t="s">
        <v>16</v>
      </c>
      <c r="M20">
        <v>5</v>
      </c>
      <c r="O20" s="6" t="s">
        <v>1198</v>
      </c>
      <c r="P20" s="10">
        <v>5058</v>
      </c>
      <c r="T20">
        <f t="shared" si="1"/>
        <v>19</v>
      </c>
      <c r="U20" t="s">
        <v>164</v>
      </c>
      <c r="V20" s="4" t="s">
        <v>156</v>
      </c>
      <c r="W20">
        <v>19</v>
      </c>
      <c r="Y20">
        <f>LEN(O18)</f>
        <v>3</v>
      </c>
      <c r="Z20">
        <f t="shared" si="2"/>
        <v>4</v>
      </c>
      <c r="AA20">
        <f t="shared" si="3"/>
        <v>4</v>
      </c>
      <c r="AC20" s="2">
        <v>5069</v>
      </c>
      <c r="AD20" t="str">
        <v>812</v>
      </c>
      <c r="AE20" s="11">
        <v>576</v>
      </c>
      <c r="AF20" s="2" t="str">
        <v>1040</v>
      </c>
    </row>
    <row r="21" spans="1:32" x14ac:dyDescent="0.25">
      <c r="A21" s="4" t="s">
        <v>380</v>
      </c>
      <c r="B21" t="s">
        <v>13</v>
      </c>
      <c r="C21">
        <v>2</v>
      </c>
      <c r="D21">
        <v>1</v>
      </c>
      <c r="E21">
        <v>13</v>
      </c>
      <c r="F21" t="s">
        <v>14</v>
      </c>
      <c r="G21">
        <v>5.5</v>
      </c>
      <c r="I21">
        <v>4</v>
      </c>
      <c r="J21" t="s">
        <v>15</v>
      </c>
      <c r="K21" t="str">
        <f t="shared" si="0"/>
        <v>50293630135269200000</v>
      </c>
      <c r="L21" t="s">
        <v>16</v>
      </c>
      <c r="M21">
        <v>5</v>
      </c>
      <c r="O21" s="6" t="s">
        <v>3858</v>
      </c>
      <c r="P21" s="10">
        <v>5057</v>
      </c>
      <c r="T21">
        <f t="shared" si="1"/>
        <v>20</v>
      </c>
      <c r="U21" t="s">
        <v>167</v>
      </c>
      <c r="V21" s="4" t="s">
        <v>156</v>
      </c>
      <c r="W21">
        <v>20</v>
      </c>
      <c r="Y21">
        <f>LEN(O19)</f>
        <v>4</v>
      </c>
      <c r="Z21">
        <f t="shared" si="2"/>
        <v>4</v>
      </c>
      <c r="AA21">
        <f t="shared" si="3"/>
        <v>4</v>
      </c>
      <c r="AC21" s="2">
        <v>5058</v>
      </c>
      <c r="AD21" t="str">
        <v>808</v>
      </c>
      <c r="AE21" s="11">
        <v>581</v>
      </c>
      <c r="AF21" s="2" t="str">
        <v>1045</v>
      </c>
    </row>
    <row r="22" spans="1:32" x14ac:dyDescent="0.25">
      <c r="A22" s="4" t="s">
        <v>380</v>
      </c>
      <c r="B22" t="s">
        <v>13</v>
      </c>
      <c r="C22">
        <v>2</v>
      </c>
      <c r="D22">
        <v>1</v>
      </c>
      <c r="E22">
        <v>16</v>
      </c>
      <c r="F22" t="s">
        <v>14</v>
      </c>
      <c r="G22">
        <v>5.5</v>
      </c>
      <c r="I22">
        <v>4</v>
      </c>
      <c r="J22" t="s">
        <v>18</v>
      </c>
      <c r="K22" t="str">
        <f t="shared" si="0"/>
        <v>50293630135269200000</v>
      </c>
      <c r="L22" t="s">
        <v>16</v>
      </c>
      <c r="M22">
        <v>6</v>
      </c>
      <c r="O22" s="6" t="s">
        <v>934</v>
      </c>
      <c r="P22" s="10">
        <v>5054</v>
      </c>
      <c r="T22">
        <f t="shared" si="1"/>
        <v>20</v>
      </c>
      <c r="U22" t="s">
        <v>170</v>
      </c>
      <c r="V22" s="4" t="s">
        <v>171</v>
      </c>
      <c r="W22">
        <v>21</v>
      </c>
      <c r="Y22">
        <f>LEN(O20)</f>
        <v>4</v>
      </c>
      <c r="Z22">
        <f t="shared" si="2"/>
        <v>4</v>
      </c>
      <c r="AA22">
        <f t="shared" si="3"/>
        <v>4</v>
      </c>
      <c r="AC22" s="2">
        <v>5057</v>
      </c>
      <c r="AD22" t="str">
        <v>807</v>
      </c>
      <c r="AE22" s="11">
        <v>662</v>
      </c>
      <c r="AF22" s="2" t="str">
        <v>1047</v>
      </c>
    </row>
    <row r="23" spans="1:32" x14ac:dyDescent="0.25">
      <c r="A23" s="4" t="s">
        <v>380</v>
      </c>
      <c r="B23" t="s">
        <v>13</v>
      </c>
      <c r="C23">
        <v>2</v>
      </c>
      <c r="D23">
        <v>1</v>
      </c>
      <c r="E23">
        <v>15</v>
      </c>
      <c r="F23" t="s">
        <v>14</v>
      </c>
      <c r="G23">
        <v>5.5</v>
      </c>
      <c r="I23">
        <v>4</v>
      </c>
      <c r="J23" t="s">
        <v>18</v>
      </c>
      <c r="K23" t="str">
        <f t="shared" si="0"/>
        <v>50293630135269200000</v>
      </c>
      <c r="L23" t="s">
        <v>16</v>
      </c>
      <c r="M23">
        <v>6</v>
      </c>
      <c r="O23" s="6" t="s">
        <v>473</v>
      </c>
      <c r="P23" s="10">
        <v>5052</v>
      </c>
      <c r="T23">
        <f t="shared" si="1"/>
        <v>20</v>
      </c>
      <c r="U23" t="s">
        <v>175</v>
      </c>
      <c r="V23" s="4" t="s">
        <v>171</v>
      </c>
      <c r="W23">
        <v>22</v>
      </c>
      <c r="Y23">
        <f>LEN(O21)</f>
        <v>4</v>
      </c>
      <c r="Z23">
        <f t="shared" si="2"/>
        <v>4</v>
      </c>
      <c r="AA23">
        <f t="shared" si="3"/>
        <v>4</v>
      </c>
      <c r="AC23" s="2">
        <v>5054</v>
      </c>
      <c r="AD23" t="str">
        <v>803</v>
      </c>
      <c r="AE23" s="11">
        <v>676</v>
      </c>
      <c r="AF23" s="2" t="str">
        <v>1049</v>
      </c>
    </row>
    <row r="24" spans="1:32" x14ac:dyDescent="0.25">
      <c r="A24" s="4" t="s">
        <v>380</v>
      </c>
      <c r="B24" t="s">
        <v>13</v>
      </c>
      <c r="C24">
        <v>2</v>
      </c>
      <c r="D24">
        <v>1</v>
      </c>
      <c r="E24">
        <v>14</v>
      </c>
      <c r="F24" t="s">
        <v>14</v>
      </c>
      <c r="G24">
        <v>5.5</v>
      </c>
      <c r="I24">
        <v>4</v>
      </c>
      <c r="J24" t="s">
        <v>18</v>
      </c>
      <c r="K24" t="str">
        <f t="shared" si="0"/>
        <v>50293630135269200000</v>
      </c>
      <c r="L24" t="s">
        <v>16</v>
      </c>
      <c r="M24">
        <v>6</v>
      </c>
      <c r="O24" s="6" t="s">
        <v>1311</v>
      </c>
      <c r="P24" s="10">
        <v>5050</v>
      </c>
      <c r="T24">
        <f t="shared" si="1"/>
        <v>20</v>
      </c>
      <c r="U24" t="s">
        <v>178</v>
      </c>
      <c r="V24" s="4" t="s">
        <v>171</v>
      </c>
      <c r="W24">
        <v>23</v>
      </c>
      <c r="Y24">
        <f>LEN(O22)</f>
        <v>4</v>
      </c>
      <c r="Z24">
        <f t="shared" si="2"/>
        <v>4</v>
      </c>
      <c r="AA24">
        <f t="shared" si="3"/>
        <v>4</v>
      </c>
      <c r="AC24" s="2">
        <v>5052</v>
      </c>
      <c r="AD24" t="str">
        <v>7128</v>
      </c>
      <c r="AE24" s="11">
        <v>814</v>
      </c>
      <c r="AF24" s="2" t="str">
        <v>105</v>
      </c>
    </row>
    <row r="25" spans="1:32" x14ac:dyDescent="0.25">
      <c r="A25" s="4" t="s">
        <v>380</v>
      </c>
      <c r="B25" t="s">
        <v>13</v>
      </c>
      <c r="C25">
        <v>2</v>
      </c>
      <c r="D25">
        <v>1</v>
      </c>
      <c r="E25">
        <v>13</v>
      </c>
      <c r="F25" t="s">
        <v>14</v>
      </c>
      <c r="G25">
        <v>5.5</v>
      </c>
      <c r="I25">
        <v>4</v>
      </c>
      <c r="J25" t="s">
        <v>18</v>
      </c>
      <c r="K25" t="str">
        <f t="shared" si="0"/>
        <v>50293630135269200000</v>
      </c>
      <c r="L25" t="s">
        <v>16</v>
      </c>
      <c r="M25">
        <v>6</v>
      </c>
      <c r="O25" s="6" t="s">
        <v>1214</v>
      </c>
      <c r="P25" s="10">
        <v>5044</v>
      </c>
      <c r="T25">
        <f t="shared" si="1"/>
        <v>20</v>
      </c>
      <c r="U25" t="s">
        <v>181</v>
      </c>
      <c r="V25" s="4" t="s">
        <v>171</v>
      </c>
      <c r="W25">
        <v>24</v>
      </c>
      <c r="Y25">
        <f>LEN(O23)</f>
        <v>3</v>
      </c>
      <c r="Z25">
        <f t="shared" si="2"/>
        <v>4</v>
      </c>
      <c r="AA25">
        <f t="shared" si="3"/>
        <v>4</v>
      </c>
      <c r="AC25" s="2">
        <v>5050</v>
      </c>
      <c r="AD25" t="str">
        <v>7122</v>
      </c>
      <c r="AE25" s="11">
        <v>1001</v>
      </c>
      <c r="AF25" s="2" t="str">
        <v>1050</v>
      </c>
    </row>
    <row r="26" spans="1:32" x14ac:dyDescent="0.25">
      <c r="A26" s="4">
        <v>3601</v>
      </c>
      <c r="B26" t="s">
        <v>13</v>
      </c>
      <c r="C26">
        <v>2</v>
      </c>
      <c r="D26">
        <v>1</v>
      </c>
      <c r="E26">
        <v>4</v>
      </c>
      <c r="F26" t="s">
        <v>14</v>
      </c>
      <c r="G26">
        <v>4</v>
      </c>
      <c r="I26">
        <v>4</v>
      </c>
      <c r="J26" t="s">
        <v>15</v>
      </c>
      <c r="K26" t="str">
        <f t="shared" si="0"/>
        <v/>
      </c>
      <c r="L26" t="s">
        <v>16</v>
      </c>
      <c r="M26">
        <v>9</v>
      </c>
      <c r="O26" s="6" t="s">
        <v>1421</v>
      </c>
      <c r="P26" s="10">
        <v>5043</v>
      </c>
      <c r="T26">
        <f t="shared" si="1"/>
        <v>20</v>
      </c>
      <c r="U26" t="s">
        <v>184</v>
      </c>
      <c r="V26" s="4" t="s">
        <v>134</v>
      </c>
      <c r="W26">
        <v>25</v>
      </c>
      <c r="Y26">
        <f>LEN(O24)</f>
        <v>4</v>
      </c>
      <c r="Z26">
        <f t="shared" si="2"/>
        <v>4</v>
      </c>
      <c r="AA26">
        <f t="shared" si="3"/>
        <v>4</v>
      </c>
      <c r="AC26" s="2">
        <v>5044</v>
      </c>
      <c r="AD26" t="str">
        <v>705</v>
      </c>
      <c r="AE26" s="11">
        <v>1009</v>
      </c>
      <c r="AF26" s="2" t="str">
        <v>1058</v>
      </c>
    </row>
    <row r="27" spans="1:32" x14ac:dyDescent="0.25">
      <c r="A27" s="4">
        <v>3601</v>
      </c>
      <c r="B27" t="s">
        <v>13</v>
      </c>
      <c r="C27">
        <v>2</v>
      </c>
      <c r="D27">
        <v>1</v>
      </c>
      <c r="E27">
        <v>3</v>
      </c>
      <c r="F27" t="s">
        <v>14</v>
      </c>
      <c r="G27">
        <v>4</v>
      </c>
      <c r="I27">
        <v>4</v>
      </c>
      <c r="J27" t="s">
        <v>15</v>
      </c>
      <c r="K27" t="str">
        <f t="shared" si="0"/>
        <v/>
      </c>
      <c r="L27" t="s">
        <v>16</v>
      </c>
      <c r="M27">
        <v>9</v>
      </c>
      <c r="O27" s="6" t="s">
        <v>479</v>
      </c>
      <c r="P27" s="10">
        <v>5041</v>
      </c>
      <c r="T27">
        <f t="shared" si="1"/>
        <v>20</v>
      </c>
      <c r="U27" t="s">
        <v>191</v>
      </c>
      <c r="V27" s="4" t="s">
        <v>134</v>
      </c>
      <c r="W27">
        <v>26</v>
      </c>
      <c r="Y27">
        <f>LEN(O25)</f>
        <v>4</v>
      </c>
      <c r="Z27">
        <f t="shared" si="2"/>
        <v>4</v>
      </c>
      <c r="AA27">
        <f t="shared" si="3"/>
        <v>4</v>
      </c>
      <c r="AC27" s="2">
        <v>5043</v>
      </c>
      <c r="AD27" t="str">
        <v>702</v>
      </c>
      <c r="AE27" s="11">
        <v>1013</v>
      </c>
      <c r="AF27" s="2" t="str">
        <v>1059</v>
      </c>
    </row>
    <row r="28" spans="1:32" x14ac:dyDescent="0.25">
      <c r="A28" s="4">
        <v>3601</v>
      </c>
      <c r="B28" t="s">
        <v>13</v>
      </c>
      <c r="C28">
        <v>2</v>
      </c>
      <c r="D28">
        <v>1</v>
      </c>
      <c r="E28">
        <v>2</v>
      </c>
      <c r="F28" t="s">
        <v>14</v>
      </c>
      <c r="G28">
        <v>4</v>
      </c>
      <c r="I28">
        <v>4</v>
      </c>
      <c r="J28" t="s">
        <v>15</v>
      </c>
      <c r="K28" t="str">
        <f t="shared" si="0"/>
        <v/>
      </c>
      <c r="L28" t="s">
        <v>16</v>
      </c>
      <c r="M28">
        <v>9</v>
      </c>
      <c r="O28" s="6" t="s">
        <v>2909</v>
      </c>
      <c r="P28" s="10">
        <v>5022</v>
      </c>
      <c r="T28">
        <f t="shared" si="1"/>
        <v>19</v>
      </c>
      <c r="U28" t="s">
        <v>194</v>
      </c>
      <c r="V28" s="4" t="s">
        <v>134</v>
      </c>
      <c r="W28">
        <v>27</v>
      </c>
      <c r="Y28">
        <f>LEN(O26)</f>
        <v>4</v>
      </c>
      <c r="Z28">
        <f t="shared" si="2"/>
        <v>4</v>
      </c>
      <c r="AA28">
        <f t="shared" si="3"/>
        <v>4</v>
      </c>
      <c r="AC28" s="2">
        <v>5041</v>
      </c>
      <c r="AD28" t="str">
        <v>699</v>
      </c>
      <c r="AE28" s="11">
        <v>1022</v>
      </c>
      <c r="AF28" s="2" t="str">
        <v>106</v>
      </c>
    </row>
    <row r="29" spans="1:32" x14ac:dyDescent="0.25">
      <c r="A29" s="4">
        <v>3601</v>
      </c>
      <c r="B29" t="s">
        <v>13</v>
      </c>
      <c r="C29">
        <v>2</v>
      </c>
      <c r="D29">
        <v>1</v>
      </c>
      <c r="E29">
        <v>1</v>
      </c>
      <c r="F29" t="s">
        <v>14</v>
      </c>
      <c r="G29">
        <v>4</v>
      </c>
      <c r="I29">
        <v>4</v>
      </c>
      <c r="J29" t="s">
        <v>15</v>
      </c>
      <c r="K29" t="str">
        <f t="shared" si="0"/>
        <v/>
      </c>
      <c r="L29" t="s">
        <v>16</v>
      </c>
      <c r="M29">
        <v>9</v>
      </c>
      <c r="O29" s="6" t="s">
        <v>2219</v>
      </c>
      <c r="P29" s="10">
        <v>4015</v>
      </c>
      <c r="T29">
        <f t="shared" si="1"/>
        <v>20</v>
      </c>
      <c r="U29" t="s">
        <v>197</v>
      </c>
      <c r="V29" s="4" t="s">
        <v>105</v>
      </c>
      <c r="W29">
        <v>28</v>
      </c>
      <c r="Y29">
        <f>LEN(O27)</f>
        <v>3</v>
      </c>
      <c r="Z29">
        <f t="shared" si="2"/>
        <v>4</v>
      </c>
      <c r="AA29">
        <f t="shared" si="3"/>
        <v>4</v>
      </c>
      <c r="AC29" s="2">
        <v>5022</v>
      </c>
      <c r="AD29" t="str">
        <v>691</v>
      </c>
      <c r="AE29" s="11">
        <v>1024</v>
      </c>
      <c r="AF29" s="2" t="str">
        <v>1061</v>
      </c>
    </row>
    <row r="30" spans="1:32" x14ac:dyDescent="0.25">
      <c r="A30" s="4">
        <v>3601</v>
      </c>
      <c r="B30" t="s">
        <v>13</v>
      </c>
      <c r="C30">
        <v>2</v>
      </c>
      <c r="D30">
        <v>1</v>
      </c>
      <c r="E30">
        <v>8</v>
      </c>
      <c r="F30" t="s">
        <v>14</v>
      </c>
      <c r="G30">
        <v>4.5</v>
      </c>
      <c r="I30">
        <v>4</v>
      </c>
      <c r="J30" t="s">
        <v>15</v>
      </c>
      <c r="K30" t="str">
        <f t="shared" si="0"/>
        <v/>
      </c>
      <c r="L30" t="s">
        <v>16</v>
      </c>
      <c r="M30">
        <v>3</v>
      </c>
      <c r="O30" s="6" t="s">
        <v>3764</v>
      </c>
      <c r="P30" s="10">
        <v>4013</v>
      </c>
      <c r="T30">
        <f t="shared" si="1"/>
        <v>20</v>
      </c>
      <c r="U30" t="s">
        <v>203</v>
      </c>
      <c r="V30" s="4" t="s">
        <v>105</v>
      </c>
      <c r="W30">
        <v>29</v>
      </c>
      <c r="Y30">
        <f>LEN(O28)</f>
        <v>4</v>
      </c>
      <c r="Z30">
        <f t="shared" si="2"/>
        <v>4</v>
      </c>
      <c r="AA30">
        <f t="shared" si="3"/>
        <v>4</v>
      </c>
      <c r="AC30" s="2">
        <v>4015</v>
      </c>
      <c r="AD30" t="str">
        <v>681</v>
      </c>
      <c r="AE30" s="11">
        <v>1026</v>
      </c>
      <c r="AF30" s="2" t="str">
        <v>1062</v>
      </c>
    </row>
    <row r="31" spans="1:32" x14ac:dyDescent="0.25">
      <c r="A31" s="4">
        <v>3601</v>
      </c>
      <c r="B31" t="s">
        <v>13</v>
      </c>
      <c r="C31">
        <v>2</v>
      </c>
      <c r="D31">
        <v>1</v>
      </c>
      <c r="E31">
        <v>7</v>
      </c>
      <c r="F31" t="s">
        <v>14</v>
      </c>
      <c r="G31">
        <v>4.5</v>
      </c>
      <c r="I31">
        <v>4</v>
      </c>
      <c r="J31" t="s">
        <v>15</v>
      </c>
      <c r="K31" t="str">
        <f t="shared" si="0"/>
        <v/>
      </c>
      <c r="L31" t="s">
        <v>16</v>
      </c>
      <c r="M31">
        <v>3</v>
      </c>
      <c r="O31" s="6" t="s">
        <v>3514</v>
      </c>
      <c r="P31" s="10">
        <v>4012</v>
      </c>
      <c r="T31">
        <f t="shared" si="1"/>
        <v>20</v>
      </c>
      <c r="U31" t="s">
        <v>206</v>
      </c>
      <c r="V31" s="4" t="s">
        <v>105</v>
      </c>
      <c r="W31">
        <v>30</v>
      </c>
      <c r="Y31">
        <f>LEN(O29)</f>
        <v>4</v>
      </c>
      <c r="Z31">
        <f t="shared" si="2"/>
        <v>4</v>
      </c>
      <c r="AA31">
        <f t="shared" si="3"/>
        <v>4</v>
      </c>
      <c r="AC31" s="2">
        <v>4013</v>
      </c>
      <c r="AD31" t="str">
        <v>676</v>
      </c>
      <c r="AE31" s="11">
        <v>1040</v>
      </c>
      <c r="AF31" s="2" t="str">
        <v>1063</v>
      </c>
    </row>
    <row r="32" spans="1:32" x14ac:dyDescent="0.25">
      <c r="A32" s="4">
        <v>3601</v>
      </c>
      <c r="B32" t="s">
        <v>13</v>
      </c>
      <c r="C32">
        <v>2</v>
      </c>
      <c r="D32">
        <v>1</v>
      </c>
      <c r="E32">
        <v>6</v>
      </c>
      <c r="F32" t="s">
        <v>14</v>
      </c>
      <c r="G32">
        <v>4.5</v>
      </c>
      <c r="I32">
        <v>4</v>
      </c>
      <c r="J32" t="s">
        <v>15</v>
      </c>
      <c r="K32" t="str">
        <f t="shared" si="0"/>
        <v/>
      </c>
      <c r="L32" t="s">
        <v>16</v>
      </c>
      <c r="M32">
        <v>3</v>
      </c>
      <c r="O32" s="6" t="s">
        <v>482</v>
      </c>
      <c r="P32" s="10">
        <v>4008</v>
      </c>
      <c r="T32">
        <f t="shared" si="1"/>
        <v>20</v>
      </c>
      <c r="U32" t="s">
        <v>210</v>
      </c>
      <c r="V32" s="4" t="s">
        <v>143</v>
      </c>
      <c r="W32">
        <v>31</v>
      </c>
      <c r="Y32">
        <f>LEN(O30)</f>
        <v>4</v>
      </c>
      <c r="Z32">
        <f t="shared" si="2"/>
        <v>4</v>
      </c>
      <c r="AA32">
        <f t="shared" si="3"/>
        <v>4</v>
      </c>
      <c r="AC32" s="2">
        <v>4012</v>
      </c>
      <c r="AD32" t="str">
        <v>675</v>
      </c>
      <c r="AE32" s="11">
        <v>1045</v>
      </c>
      <c r="AF32" s="2" t="str">
        <v>1065</v>
      </c>
    </row>
    <row r="33" spans="1:32" x14ac:dyDescent="0.25">
      <c r="A33" s="4">
        <v>3601</v>
      </c>
      <c r="B33" t="s">
        <v>13</v>
      </c>
      <c r="C33">
        <v>2</v>
      </c>
      <c r="D33">
        <v>1</v>
      </c>
      <c r="E33">
        <v>5</v>
      </c>
      <c r="F33" t="s">
        <v>14</v>
      </c>
      <c r="G33">
        <v>4.5</v>
      </c>
      <c r="I33">
        <v>4</v>
      </c>
      <c r="J33" t="s">
        <v>15</v>
      </c>
      <c r="K33" t="str">
        <f t="shared" si="0"/>
        <v/>
      </c>
      <c r="L33" t="s">
        <v>16</v>
      </c>
      <c r="M33">
        <v>3</v>
      </c>
      <c r="O33" s="6" t="s">
        <v>3659</v>
      </c>
      <c r="P33" s="10">
        <v>4007</v>
      </c>
      <c r="T33">
        <f t="shared" si="1"/>
        <v>20</v>
      </c>
      <c r="U33" t="s">
        <v>214</v>
      </c>
      <c r="V33" s="4" t="s">
        <v>143</v>
      </c>
      <c r="W33">
        <v>32</v>
      </c>
      <c r="Y33">
        <f>LEN(O31)</f>
        <v>4</v>
      </c>
      <c r="Z33">
        <f t="shared" si="2"/>
        <v>4</v>
      </c>
      <c r="AA33">
        <f t="shared" si="3"/>
        <v>4</v>
      </c>
      <c r="AC33" s="2">
        <v>4008</v>
      </c>
      <c r="AD33" t="str">
        <v>662</v>
      </c>
      <c r="AE33" s="11">
        <v>1049</v>
      </c>
      <c r="AF33" s="2" t="str">
        <v>107</v>
      </c>
    </row>
    <row r="34" spans="1:32" x14ac:dyDescent="0.25">
      <c r="A34" s="4">
        <v>3601</v>
      </c>
      <c r="B34" t="s">
        <v>13</v>
      </c>
      <c r="C34">
        <v>2</v>
      </c>
      <c r="D34">
        <v>1</v>
      </c>
      <c r="E34">
        <v>12</v>
      </c>
      <c r="F34" t="s">
        <v>14</v>
      </c>
      <c r="G34">
        <v>5</v>
      </c>
      <c r="I34">
        <v>4</v>
      </c>
      <c r="J34" t="s">
        <v>15</v>
      </c>
      <c r="K34" t="str">
        <f t="shared" si="0"/>
        <v/>
      </c>
      <c r="L34" t="s">
        <v>16</v>
      </c>
      <c r="M34">
        <v>9</v>
      </c>
      <c r="O34" s="6" t="s">
        <v>3832</v>
      </c>
      <c r="P34" s="10">
        <v>4006</v>
      </c>
      <c r="T34">
        <f t="shared" si="1"/>
        <v>20</v>
      </c>
      <c r="U34" t="s">
        <v>217</v>
      </c>
      <c r="V34" s="4" t="s">
        <v>143</v>
      </c>
      <c r="W34">
        <v>33</v>
      </c>
      <c r="Y34">
        <f>LEN(O32)</f>
        <v>3</v>
      </c>
      <c r="Z34">
        <f t="shared" si="2"/>
        <v>4</v>
      </c>
      <c r="AA34">
        <f t="shared" si="3"/>
        <v>4</v>
      </c>
      <c r="AC34" s="2">
        <v>4007</v>
      </c>
      <c r="AD34" t="str">
        <v>653</v>
      </c>
      <c r="AE34" s="11">
        <v>1050</v>
      </c>
      <c r="AF34" s="2" t="str">
        <v>1070</v>
      </c>
    </row>
    <row r="35" spans="1:32" x14ac:dyDescent="0.25">
      <c r="A35" s="4">
        <v>3601</v>
      </c>
      <c r="B35" t="s">
        <v>13</v>
      </c>
      <c r="C35">
        <v>2</v>
      </c>
      <c r="D35">
        <v>1</v>
      </c>
      <c r="E35">
        <v>11</v>
      </c>
      <c r="F35" t="s">
        <v>14</v>
      </c>
      <c r="G35">
        <v>5</v>
      </c>
      <c r="I35">
        <v>4</v>
      </c>
      <c r="J35" t="s">
        <v>15</v>
      </c>
      <c r="K35" t="str">
        <f t="shared" si="0"/>
        <v/>
      </c>
      <c r="L35" t="s">
        <v>16</v>
      </c>
      <c r="M35">
        <v>9</v>
      </c>
      <c r="O35" s="6" t="s">
        <v>134</v>
      </c>
      <c r="P35" s="10">
        <v>4005</v>
      </c>
      <c r="T35">
        <f t="shared" si="1"/>
        <v>20</v>
      </c>
      <c r="U35" t="s">
        <v>220</v>
      </c>
      <c r="V35" s="4" t="s">
        <v>146</v>
      </c>
      <c r="W35">
        <v>34</v>
      </c>
      <c r="Y35">
        <f>LEN(O33)</f>
        <v>4</v>
      </c>
      <c r="Z35">
        <f t="shared" si="2"/>
        <v>4</v>
      </c>
      <c r="AA35">
        <f t="shared" si="3"/>
        <v>4</v>
      </c>
      <c r="AC35" s="2">
        <v>4006</v>
      </c>
      <c r="AD35" t="str">
        <v>642</v>
      </c>
      <c r="AE35" s="11">
        <v>1058</v>
      </c>
      <c r="AF35" s="2" t="str">
        <v>1076</v>
      </c>
    </row>
    <row r="36" spans="1:32" x14ac:dyDescent="0.25">
      <c r="A36" s="4">
        <v>3601</v>
      </c>
      <c r="B36" t="s">
        <v>13</v>
      </c>
      <c r="C36">
        <v>2</v>
      </c>
      <c r="D36">
        <v>1</v>
      </c>
      <c r="E36">
        <v>10</v>
      </c>
      <c r="F36" t="s">
        <v>14</v>
      </c>
      <c r="G36">
        <v>5</v>
      </c>
      <c r="I36">
        <v>4</v>
      </c>
      <c r="J36" t="s">
        <v>15</v>
      </c>
      <c r="K36" t="str">
        <f t="shared" si="0"/>
        <v/>
      </c>
      <c r="L36" t="s">
        <v>16</v>
      </c>
      <c r="M36">
        <v>9</v>
      </c>
      <c r="O36" s="6" t="s">
        <v>1939</v>
      </c>
      <c r="P36" s="10">
        <v>4002</v>
      </c>
      <c r="T36">
        <f t="shared" si="1"/>
        <v>20</v>
      </c>
      <c r="U36" t="s">
        <v>223</v>
      </c>
      <c r="V36" s="4" t="s">
        <v>146</v>
      </c>
      <c r="W36">
        <v>35</v>
      </c>
      <c r="Y36">
        <f>LEN(O34)</f>
        <v>4</v>
      </c>
      <c r="Z36">
        <f t="shared" si="2"/>
        <v>4</v>
      </c>
      <c r="AA36">
        <f t="shared" si="3"/>
        <v>4</v>
      </c>
      <c r="AC36" s="2">
        <v>4005</v>
      </c>
      <c r="AD36" t="str">
        <v>608</v>
      </c>
      <c r="AE36" s="11">
        <v>1059</v>
      </c>
      <c r="AF36" s="2" t="str">
        <v>11</v>
      </c>
    </row>
    <row r="37" spans="1:32" x14ac:dyDescent="0.25">
      <c r="A37" s="4">
        <v>3601</v>
      </c>
      <c r="B37" t="s">
        <v>13</v>
      </c>
      <c r="C37">
        <v>2</v>
      </c>
      <c r="D37">
        <v>1</v>
      </c>
      <c r="E37">
        <v>9</v>
      </c>
      <c r="F37" t="s">
        <v>14</v>
      </c>
      <c r="G37">
        <v>5</v>
      </c>
      <c r="I37">
        <v>4</v>
      </c>
      <c r="J37" t="s">
        <v>15</v>
      </c>
      <c r="K37" t="str">
        <f t="shared" si="0"/>
        <v/>
      </c>
      <c r="L37" t="s">
        <v>16</v>
      </c>
      <c r="M37">
        <v>9</v>
      </c>
      <c r="O37" s="6" t="s">
        <v>1949</v>
      </c>
      <c r="P37" s="10">
        <v>4001</v>
      </c>
      <c r="T37">
        <f t="shared" si="1"/>
        <v>20</v>
      </c>
      <c r="U37" t="s">
        <v>226</v>
      </c>
      <c r="V37" s="4" t="s">
        <v>146</v>
      </c>
      <c r="W37">
        <v>36</v>
      </c>
      <c r="Y37">
        <f>LEN(O35)</f>
        <v>2</v>
      </c>
      <c r="Z37">
        <f t="shared" si="2"/>
        <v>4</v>
      </c>
      <c r="AA37">
        <f t="shared" si="3"/>
        <v>4</v>
      </c>
      <c r="AC37" s="2">
        <v>4002</v>
      </c>
      <c r="AD37" t="str">
        <v>591</v>
      </c>
      <c r="AE37" s="11">
        <v>1061</v>
      </c>
      <c r="AF37" s="2" t="str">
        <v>1100</v>
      </c>
    </row>
    <row r="38" spans="1:32" x14ac:dyDescent="0.25">
      <c r="A38" s="4">
        <v>3601</v>
      </c>
      <c r="B38" t="s">
        <v>13</v>
      </c>
      <c r="C38">
        <v>2</v>
      </c>
      <c r="D38">
        <v>1</v>
      </c>
      <c r="E38">
        <v>16</v>
      </c>
      <c r="F38" t="s">
        <v>14</v>
      </c>
      <c r="G38">
        <v>5.5</v>
      </c>
      <c r="I38">
        <v>4</v>
      </c>
      <c r="J38" t="s">
        <v>17</v>
      </c>
      <c r="K38" t="str">
        <f t="shared" si="0"/>
        <v/>
      </c>
      <c r="L38" t="s">
        <v>16</v>
      </c>
      <c r="M38">
        <v>2</v>
      </c>
      <c r="O38" s="6" t="s">
        <v>2595</v>
      </c>
      <c r="P38" s="10">
        <v>3601</v>
      </c>
      <c r="T38">
        <f t="shared" si="1"/>
        <v>20</v>
      </c>
      <c r="U38" t="s">
        <v>229</v>
      </c>
      <c r="V38" s="4" t="s">
        <v>149</v>
      </c>
      <c r="W38">
        <v>37</v>
      </c>
      <c r="Y38">
        <f>LEN(O36)</f>
        <v>4</v>
      </c>
      <c r="Z38">
        <f t="shared" si="2"/>
        <v>4</v>
      </c>
      <c r="AA38">
        <f t="shared" si="3"/>
        <v>4</v>
      </c>
      <c r="AC38" s="2">
        <v>4001</v>
      </c>
      <c r="AD38" t="str">
        <v>581</v>
      </c>
      <c r="AE38" s="11">
        <v>1062</v>
      </c>
      <c r="AF38" s="2" t="str">
        <v>1101</v>
      </c>
    </row>
    <row r="39" spans="1:32" x14ac:dyDescent="0.25">
      <c r="A39" s="4">
        <v>3601</v>
      </c>
      <c r="B39" t="s">
        <v>13</v>
      </c>
      <c r="C39">
        <v>2</v>
      </c>
      <c r="D39">
        <v>1</v>
      </c>
      <c r="E39">
        <v>15</v>
      </c>
      <c r="F39" t="s">
        <v>14</v>
      </c>
      <c r="G39">
        <v>5.5</v>
      </c>
      <c r="I39">
        <v>4</v>
      </c>
      <c r="J39" t="s">
        <v>17</v>
      </c>
      <c r="K39" t="str">
        <f t="shared" si="0"/>
        <v/>
      </c>
      <c r="L39" t="s">
        <v>16</v>
      </c>
      <c r="M39">
        <v>2</v>
      </c>
      <c r="O39" s="6" t="s">
        <v>2605</v>
      </c>
      <c r="P39" s="10">
        <v>3600</v>
      </c>
      <c r="T39">
        <f t="shared" si="1"/>
        <v>20</v>
      </c>
      <c r="U39" t="s">
        <v>233</v>
      </c>
      <c r="V39" s="4" t="s">
        <v>149</v>
      </c>
      <c r="W39">
        <v>38</v>
      </c>
      <c r="Y39">
        <f>LEN(O37)</f>
        <v>4</v>
      </c>
      <c r="Z39">
        <f t="shared" si="2"/>
        <v>4</v>
      </c>
      <c r="AA39">
        <f t="shared" si="3"/>
        <v>4</v>
      </c>
      <c r="AC39" s="2">
        <v>3601</v>
      </c>
      <c r="AD39" t="str">
        <v>576</v>
      </c>
      <c r="AE39" s="11">
        <v>1063</v>
      </c>
      <c r="AF39" s="2" t="str">
        <v>1102</v>
      </c>
    </row>
    <row r="40" spans="1:32" x14ac:dyDescent="0.25">
      <c r="A40" s="4">
        <v>3601</v>
      </c>
      <c r="B40" t="s">
        <v>13</v>
      </c>
      <c r="C40">
        <v>2</v>
      </c>
      <c r="D40">
        <v>1</v>
      </c>
      <c r="E40">
        <v>14</v>
      </c>
      <c r="F40" t="s">
        <v>14</v>
      </c>
      <c r="G40">
        <v>5.5</v>
      </c>
      <c r="I40">
        <v>4</v>
      </c>
      <c r="J40" t="s">
        <v>17</v>
      </c>
      <c r="K40" t="str">
        <f t="shared" si="0"/>
        <v/>
      </c>
      <c r="L40" t="s">
        <v>16</v>
      </c>
      <c r="M40">
        <v>2</v>
      </c>
      <c r="O40" s="6" t="s">
        <v>3984</v>
      </c>
      <c r="P40" s="10">
        <v>3452</v>
      </c>
      <c r="T40">
        <f t="shared" si="1"/>
        <v>20</v>
      </c>
      <c r="U40" t="s">
        <v>236</v>
      </c>
      <c r="V40" s="4" t="s">
        <v>149</v>
      </c>
      <c r="W40">
        <v>39</v>
      </c>
      <c r="Y40">
        <f>LEN(O38)</f>
        <v>4</v>
      </c>
      <c r="Z40">
        <f t="shared" si="2"/>
        <v>4</v>
      </c>
      <c r="AA40">
        <f t="shared" si="3"/>
        <v>4</v>
      </c>
      <c r="AC40" s="2">
        <v>3452</v>
      </c>
      <c r="AD40" t="str">
        <v>575</v>
      </c>
      <c r="AE40" s="11">
        <v>1065</v>
      </c>
      <c r="AF40" s="2" t="str">
        <v>1103</v>
      </c>
    </row>
    <row r="41" spans="1:32" x14ac:dyDescent="0.25">
      <c r="A41" s="4">
        <v>3601</v>
      </c>
      <c r="B41" t="s">
        <v>13</v>
      </c>
      <c r="C41">
        <v>2</v>
      </c>
      <c r="D41">
        <v>1</v>
      </c>
      <c r="E41">
        <v>13</v>
      </c>
      <c r="F41" t="s">
        <v>14</v>
      </c>
      <c r="G41">
        <v>5.5</v>
      </c>
      <c r="I41">
        <v>4</v>
      </c>
      <c r="J41" t="s">
        <v>17</v>
      </c>
      <c r="K41" t="str">
        <f t="shared" si="0"/>
        <v/>
      </c>
      <c r="L41" t="s">
        <v>16</v>
      </c>
      <c r="M41">
        <v>2</v>
      </c>
      <c r="O41" s="6" t="s">
        <v>3998</v>
      </c>
      <c r="P41" s="10">
        <v>3451</v>
      </c>
      <c r="T41">
        <f t="shared" si="1"/>
        <v>20</v>
      </c>
      <c r="U41" t="s">
        <v>239</v>
      </c>
      <c r="V41" s="4" t="s">
        <v>106</v>
      </c>
      <c r="W41">
        <v>40</v>
      </c>
      <c r="Y41">
        <f>LEN(O39)</f>
        <v>4</v>
      </c>
      <c r="Z41">
        <f t="shared" si="2"/>
        <v>4</v>
      </c>
      <c r="AA41">
        <f t="shared" si="3"/>
        <v>4</v>
      </c>
      <c r="AC41" s="2">
        <v>3451</v>
      </c>
      <c r="AD41" t="str">
        <v>5094</v>
      </c>
      <c r="AE41" s="11">
        <v>1070</v>
      </c>
      <c r="AF41" s="2" t="str">
        <v>1123</v>
      </c>
    </row>
    <row r="42" spans="1:32" x14ac:dyDescent="0.25">
      <c r="A42" s="4">
        <v>3601</v>
      </c>
      <c r="B42" t="s">
        <v>13</v>
      </c>
      <c r="C42">
        <v>2</v>
      </c>
      <c r="D42">
        <v>1</v>
      </c>
      <c r="E42">
        <v>16</v>
      </c>
      <c r="F42" t="s">
        <v>14</v>
      </c>
      <c r="G42">
        <v>5.5</v>
      </c>
      <c r="I42">
        <v>4</v>
      </c>
      <c r="J42" t="s">
        <v>15</v>
      </c>
      <c r="K42" t="str">
        <f t="shared" si="0"/>
        <v/>
      </c>
      <c r="L42" t="s">
        <v>16</v>
      </c>
      <c r="M42">
        <v>10</v>
      </c>
      <c r="O42" s="6" t="s">
        <v>4046</v>
      </c>
      <c r="P42" s="10">
        <v>3438</v>
      </c>
      <c r="T42">
        <f t="shared" si="1"/>
        <v>20</v>
      </c>
      <c r="U42" t="s">
        <v>242</v>
      </c>
      <c r="V42" s="4" t="s">
        <v>106</v>
      </c>
      <c r="W42">
        <v>41</v>
      </c>
      <c r="Y42">
        <f>LEN(O40)</f>
        <v>4</v>
      </c>
      <c r="Z42">
        <f t="shared" si="2"/>
        <v>4</v>
      </c>
      <c r="AA42">
        <f t="shared" si="3"/>
        <v>4</v>
      </c>
      <c r="AC42" s="2">
        <v>3438</v>
      </c>
      <c r="AD42" t="str">
        <v>5091</v>
      </c>
      <c r="AE42" s="11">
        <v>1076</v>
      </c>
      <c r="AF42" s="2" t="str">
        <v>1130</v>
      </c>
    </row>
    <row r="43" spans="1:32" x14ac:dyDescent="0.25">
      <c r="A43" s="4">
        <v>3601</v>
      </c>
      <c r="B43" t="s">
        <v>13</v>
      </c>
      <c r="C43">
        <v>2</v>
      </c>
      <c r="D43">
        <v>1</v>
      </c>
      <c r="E43">
        <v>15</v>
      </c>
      <c r="F43" t="s">
        <v>14</v>
      </c>
      <c r="G43">
        <v>5.5</v>
      </c>
      <c r="I43">
        <v>4</v>
      </c>
      <c r="J43" t="s">
        <v>15</v>
      </c>
      <c r="K43" t="str">
        <f t="shared" si="0"/>
        <v/>
      </c>
      <c r="L43" t="s">
        <v>16</v>
      </c>
      <c r="M43">
        <v>10</v>
      </c>
      <c r="O43" s="6" t="s">
        <v>2493</v>
      </c>
      <c r="P43" s="10">
        <v>3437</v>
      </c>
      <c r="T43">
        <f t="shared" si="1"/>
        <v>20</v>
      </c>
      <c r="U43" t="s">
        <v>245</v>
      </c>
      <c r="V43" s="4" t="s">
        <v>106</v>
      </c>
      <c r="W43">
        <v>42</v>
      </c>
      <c r="Y43">
        <f>LEN(O41)</f>
        <v>4</v>
      </c>
      <c r="Z43">
        <f t="shared" si="2"/>
        <v>4</v>
      </c>
      <c r="AA43">
        <f t="shared" si="3"/>
        <v>4</v>
      </c>
      <c r="AC43" s="2">
        <v>3437</v>
      </c>
      <c r="AD43" t="str">
        <v>5089</v>
      </c>
      <c r="AE43" s="11">
        <v>1101</v>
      </c>
      <c r="AF43" s="2" t="str">
        <v>1134</v>
      </c>
    </row>
    <row r="44" spans="1:32" x14ac:dyDescent="0.25">
      <c r="A44" s="4">
        <v>3601</v>
      </c>
      <c r="B44" t="s">
        <v>13</v>
      </c>
      <c r="C44">
        <v>2</v>
      </c>
      <c r="D44">
        <v>1</v>
      </c>
      <c r="E44">
        <v>14</v>
      </c>
      <c r="F44" t="s">
        <v>14</v>
      </c>
      <c r="G44">
        <v>5.5</v>
      </c>
      <c r="I44">
        <v>4</v>
      </c>
      <c r="J44" t="s">
        <v>15</v>
      </c>
      <c r="K44" t="str">
        <f t="shared" si="0"/>
        <v/>
      </c>
      <c r="L44" t="s">
        <v>16</v>
      </c>
      <c r="M44">
        <v>10</v>
      </c>
      <c r="O44" s="6" t="s">
        <v>2993</v>
      </c>
      <c r="P44" s="10">
        <v>3436</v>
      </c>
      <c r="T44">
        <f t="shared" si="1"/>
        <v>20</v>
      </c>
      <c r="U44" t="s">
        <v>248</v>
      </c>
      <c r="V44" s="4" t="s">
        <v>163</v>
      </c>
      <c r="W44">
        <v>43</v>
      </c>
      <c r="Y44">
        <f>LEN(O42)</f>
        <v>4</v>
      </c>
      <c r="Z44">
        <f t="shared" si="2"/>
        <v>4</v>
      </c>
      <c r="AA44">
        <f t="shared" si="3"/>
        <v>4</v>
      </c>
      <c r="AC44" s="2">
        <v>3436</v>
      </c>
      <c r="AD44" t="str">
        <v>5085</v>
      </c>
      <c r="AE44" s="11">
        <v>1123</v>
      </c>
      <c r="AF44" s="2" t="str">
        <v>1151</v>
      </c>
    </row>
    <row r="45" spans="1:32" x14ac:dyDescent="0.25">
      <c r="A45" s="4">
        <v>3601</v>
      </c>
      <c r="B45" t="s">
        <v>13</v>
      </c>
      <c r="C45">
        <v>2</v>
      </c>
      <c r="D45">
        <v>1</v>
      </c>
      <c r="E45">
        <v>13</v>
      </c>
      <c r="F45" t="s">
        <v>14</v>
      </c>
      <c r="G45">
        <v>5.5</v>
      </c>
      <c r="I45">
        <v>4</v>
      </c>
      <c r="J45" t="s">
        <v>15</v>
      </c>
      <c r="K45" t="str">
        <f t="shared" si="0"/>
        <v/>
      </c>
      <c r="L45" t="s">
        <v>16</v>
      </c>
      <c r="M45">
        <v>10</v>
      </c>
      <c r="O45" s="6" t="s">
        <v>105</v>
      </c>
      <c r="P45" s="10">
        <v>3432</v>
      </c>
      <c r="T45">
        <f t="shared" si="1"/>
        <v>20</v>
      </c>
      <c r="U45" t="s">
        <v>252</v>
      </c>
      <c r="V45" s="4" t="s">
        <v>163</v>
      </c>
      <c r="W45">
        <v>44</v>
      </c>
      <c r="Y45">
        <f>LEN(O43)</f>
        <v>4</v>
      </c>
      <c r="Z45">
        <f t="shared" si="2"/>
        <v>4</v>
      </c>
      <c r="AA45">
        <f t="shared" si="3"/>
        <v>4</v>
      </c>
      <c r="AC45" s="2">
        <v>3432</v>
      </c>
      <c r="AD45" t="str">
        <v>508</v>
      </c>
      <c r="AE45" s="11">
        <v>1130</v>
      </c>
      <c r="AF45" s="2" t="str">
        <v>1152</v>
      </c>
    </row>
    <row r="46" spans="1:32" x14ac:dyDescent="0.25">
      <c r="A46" s="4">
        <v>3601</v>
      </c>
      <c r="B46" t="s">
        <v>13</v>
      </c>
      <c r="C46">
        <v>2</v>
      </c>
      <c r="D46">
        <v>1</v>
      </c>
      <c r="E46">
        <v>16</v>
      </c>
      <c r="F46" t="s">
        <v>14</v>
      </c>
      <c r="G46">
        <v>5.5</v>
      </c>
      <c r="I46">
        <v>4</v>
      </c>
      <c r="J46" t="s">
        <v>18</v>
      </c>
      <c r="K46" t="str">
        <f t="shared" si="0"/>
        <v/>
      </c>
      <c r="L46" t="s">
        <v>16</v>
      </c>
      <c r="M46">
        <v>1</v>
      </c>
      <c r="O46" s="6" t="s">
        <v>2662</v>
      </c>
      <c r="P46" s="10">
        <v>3426</v>
      </c>
      <c r="T46">
        <f t="shared" si="1"/>
        <v>20</v>
      </c>
      <c r="U46" t="s">
        <v>255</v>
      </c>
      <c r="V46" s="4" t="s">
        <v>163</v>
      </c>
      <c r="W46">
        <v>45</v>
      </c>
      <c r="Y46">
        <f>LEN(O44)</f>
        <v>4</v>
      </c>
      <c r="Z46">
        <f t="shared" si="2"/>
        <v>4</v>
      </c>
      <c r="AA46">
        <f t="shared" si="3"/>
        <v>4</v>
      </c>
      <c r="AC46" s="2">
        <v>3426</v>
      </c>
      <c r="AD46" t="str">
        <v>5075</v>
      </c>
      <c r="AE46" s="11">
        <v>1134</v>
      </c>
      <c r="AF46" s="2" t="str">
        <v>12</v>
      </c>
    </row>
    <row r="47" spans="1:32" x14ac:dyDescent="0.25">
      <c r="A47" s="4">
        <v>3601</v>
      </c>
      <c r="B47" t="s">
        <v>13</v>
      </c>
      <c r="C47">
        <v>2</v>
      </c>
      <c r="D47">
        <v>1</v>
      </c>
      <c r="E47">
        <v>15</v>
      </c>
      <c r="F47" t="s">
        <v>14</v>
      </c>
      <c r="G47">
        <v>5.5</v>
      </c>
      <c r="I47">
        <v>4</v>
      </c>
      <c r="J47" t="s">
        <v>18</v>
      </c>
      <c r="K47" t="str">
        <f t="shared" si="0"/>
        <v/>
      </c>
      <c r="L47" t="s">
        <v>16</v>
      </c>
      <c r="M47">
        <v>1</v>
      </c>
      <c r="O47" s="6" t="s">
        <v>2673</v>
      </c>
      <c r="P47" s="10">
        <v>2329</v>
      </c>
      <c r="T47">
        <f t="shared" si="1"/>
        <v>20</v>
      </c>
      <c r="U47" t="s">
        <v>258</v>
      </c>
      <c r="V47" s="4" t="s">
        <v>166</v>
      </c>
      <c r="W47">
        <v>46</v>
      </c>
      <c r="Y47">
        <f>LEN(O45)</f>
        <v>2</v>
      </c>
      <c r="Z47">
        <f t="shared" si="2"/>
        <v>4</v>
      </c>
      <c r="AA47">
        <f t="shared" si="3"/>
        <v>4</v>
      </c>
      <c r="AC47" s="2">
        <v>2329</v>
      </c>
      <c r="AD47" t="str">
        <v>5070</v>
      </c>
      <c r="AE47" s="11">
        <v>1201</v>
      </c>
      <c r="AF47" s="2" t="str">
        <v>1200</v>
      </c>
    </row>
    <row r="48" spans="1:32" x14ac:dyDescent="0.25">
      <c r="A48" s="4">
        <v>3601</v>
      </c>
      <c r="B48" t="s">
        <v>13</v>
      </c>
      <c r="C48">
        <v>2</v>
      </c>
      <c r="D48">
        <v>1</v>
      </c>
      <c r="E48">
        <v>14</v>
      </c>
      <c r="F48" t="s">
        <v>14</v>
      </c>
      <c r="G48">
        <v>5.5</v>
      </c>
      <c r="I48">
        <v>4</v>
      </c>
      <c r="J48" t="s">
        <v>18</v>
      </c>
      <c r="K48" t="str">
        <f t="shared" si="0"/>
        <v/>
      </c>
      <c r="L48" t="s">
        <v>16</v>
      </c>
      <c r="M48">
        <v>1</v>
      </c>
      <c r="O48" s="6" t="s">
        <v>557</v>
      </c>
      <c r="P48" s="10">
        <v>1201</v>
      </c>
      <c r="T48">
        <f t="shared" si="1"/>
        <v>20</v>
      </c>
      <c r="U48" t="s">
        <v>261</v>
      </c>
      <c r="V48" s="4" t="s">
        <v>166</v>
      </c>
      <c r="W48">
        <v>47</v>
      </c>
      <c r="Y48">
        <f>LEN(O46)</f>
        <v>4</v>
      </c>
      <c r="Z48">
        <f t="shared" si="2"/>
        <v>4</v>
      </c>
      <c r="AA48">
        <f t="shared" si="3"/>
        <v>4</v>
      </c>
      <c r="AC48" s="2">
        <v>1201</v>
      </c>
      <c r="AD48" t="str">
        <v>507</v>
      </c>
      <c r="AE48" s="11">
        <v>2329</v>
      </c>
      <c r="AF48" s="2" t="str">
        <v>1201</v>
      </c>
    </row>
    <row r="49" spans="1:32" x14ac:dyDescent="0.25">
      <c r="A49" s="4">
        <v>3601</v>
      </c>
      <c r="B49" t="s">
        <v>13</v>
      </c>
      <c r="C49">
        <v>2</v>
      </c>
      <c r="D49">
        <v>1</v>
      </c>
      <c r="E49">
        <v>13</v>
      </c>
      <c r="F49" t="s">
        <v>14</v>
      </c>
      <c r="G49">
        <v>5.5</v>
      </c>
      <c r="I49">
        <v>4</v>
      </c>
      <c r="J49" t="s">
        <v>18</v>
      </c>
      <c r="K49" t="str">
        <f t="shared" si="0"/>
        <v/>
      </c>
      <c r="L49" t="s">
        <v>16</v>
      </c>
      <c r="M49">
        <v>1</v>
      </c>
      <c r="O49" s="6" t="s">
        <v>560</v>
      </c>
      <c r="P49" s="10">
        <v>1134</v>
      </c>
      <c r="T49">
        <f t="shared" si="1"/>
        <v>18</v>
      </c>
      <c r="U49" t="s">
        <v>264</v>
      </c>
      <c r="V49" s="4" t="s">
        <v>166</v>
      </c>
      <c r="W49">
        <v>48</v>
      </c>
      <c r="Y49">
        <f>LEN(O47)</f>
        <v>4</v>
      </c>
      <c r="Z49">
        <f t="shared" si="2"/>
        <v>4</v>
      </c>
      <c r="AA49">
        <f t="shared" si="3"/>
        <v>4</v>
      </c>
      <c r="AC49" s="2">
        <v>1134</v>
      </c>
      <c r="AD49" t="str">
        <v>5069</v>
      </c>
      <c r="AE49" s="11">
        <v>3426</v>
      </c>
      <c r="AF49" s="2" t="str">
        <v>124</v>
      </c>
    </row>
    <row r="50" spans="1:32" x14ac:dyDescent="0.25">
      <c r="A50" s="4">
        <v>1022</v>
      </c>
      <c r="B50" t="s">
        <v>13</v>
      </c>
      <c r="C50">
        <v>2</v>
      </c>
      <c r="D50">
        <v>1</v>
      </c>
      <c r="E50">
        <v>8</v>
      </c>
      <c r="F50" t="s">
        <v>14</v>
      </c>
      <c r="G50">
        <v>4.5</v>
      </c>
      <c r="I50">
        <v>4</v>
      </c>
      <c r="J50" t="s">
        <v>18</v>
      </c>
      <c r="K50" t="str">
        <f t="shared" si="0"/>
        <v/>
      </c>
      <c r="L50" t="s">
        <v>16</v>
      </c>
      <c r="M50">
        <v>1</v>
      </c>
      <c r="O50" s="6" t="s">
        <v>563</v>
      </c>
      <c r="P50" s="10">
        <v>1130</v>
      </c>
      <c r="T50">
        <f t="shared" si="1"/>
        <v>20</v>
      </c>
      <c r="U50" t="s">
        <v>268</v>
      </c>
      <c r="V50" s="4" t="s">
        <v>166</v>
      </c>
      <c r="W50">
        <v>49</v>
      </c>
      <c r="Y50">
        <f>LEN(O48)</f>
        <v>3</v>
      </c>
      <c r="Z50">
        <f t="shared" si="2"/>
        <v>4</v>
      </c>
      <c r="AA50">
        <f t="shared" si="3"/>
        <v>4</v>
      </c>
      <c r="AC50" s="2">
        <v>1130</v>
      </c>
      <c r="AD50" t="str">
        <v>5058</v>
      </c>
      <c r="AE50" s="11">
        <v>3432</v>
      </c>
      <c r="AF50" s="2" t="str">
        <v>125</v>
      </c>
    </row>
    <row r="51" spans="1:32" x14ac:dyDescent="0.25">
      <c r="A51" s="4">
        <v>1022</v>
      </c>
      <c r="B51" t="s">
        <v>13</v>
      </c>
      <c r="C51">
        <v>2</v>
      </c>
      <c r="D51">
        <v>1</v>
      </c>
      <c r="E51">
        <v>7</v>
      </c>
      <c r="F51" t="s">
        <v>14</v>
      </c>
      <c r="G51">
        <v>4.5</v>
      </c>
      <c r="I51">
        <v>4</v>
      </c>
      <c r="J51" t="s">
        <v>18</v>
      </c>
      <c r="K51" t="str">
        <f t="shared" si="0"/>
        <v/>
      </c>
      <c r="L51" t="s">
        <v>16</v>
      </c>
      <c r="M51">
        <v>1</v>
      </c>
      <c r="O51" s="6" t="s">
        <v>566</v>
      </c>
      <c r="P51" s="10">
        <v>1123</v>
      </c>
      <c r="T51">
        <f t="shared" si="1"/>
        <v>20</v>
      </c>
      <c r="U51" t="s">
        <v>271</v>
      </c>
      <c r="V51" s="4" t="s">
        <v>169</v>
      </c>
      <c r="W51">
        <v>50</v>
      </c>
      <c r="Y51">
        <f>LEN(O49)</f>
        <v>3</v>
      </c>
      <c r="Z51">
        <f t="shared" si="2"/>
        <v>4</v>
      </c>
      <c r="AA51">
        <f t="shared" si="3"/>
        <v>4</v>
      </c>
      <c r="AC51" s="2">
        <v>1123</v>
      </c>
      <c r="AD51" t="str">
        <v>5057</v>
      </c>
      <c r="AE51" s="11">
        <v>3436</v>
      </c>
      <c r="AF51" s="2" t="str">
        <v>126</v>
      </c>
    </row>
    <row r="52" spans="1:32" x14ac:dyDescent="0.25">
      <c r="A52" s="4">
        <v>1022</v>
      </c>
      <c r="B52" t="s">
        <v>13</v>
      </c>
      <c r="C52">
        <v>2</v>
      </c>
      <c r="D52">
        <v>1</v>
      </c>
      <c r="E52">
        <v>6</v>
      </c>
      <c r="F52" t="s">
        <v>14</v>
      </c>
      <c r="G52">
        <v>4.5</v>
      </c>
      <c r="I52">
        <v>4</v>
      </c>
      <c r="J52" t="s">
        <v>18</v>
      </c>
      <c r="K52" t="str">
        <f t="shared" si="0"/>
        <v/>
      </c>
      <c r="L52" t="s">
        <v>16</v>
      </c>
      <c r="M52">
        <v>1</v>
      </c>
      <c r="O52" s="6" t="s">
        <v>569</v>
      </c>
      <c r="P52" s="10">
        <v>1101</v>
      </c>
      <c r="T52">
        <f t="shared" si="1"/>
        <v>20</v>
      </c>
      <c r="U52" t="s">
        <v>275</v>
      </c>
      <c r="V52" s="4" t="s">
        <v>169</v>
      </c>
      <c r="W52">
        <v>51</v>
      </c>
      <c r="Y52">
        <f>LEN(O50)</f>
        <v>3</v>
      </c>
      <c r="Z52">
        <f t="shared" si="2"/>
        <v>4</v>
      </c>
      <c r="AA52">
        <f t="shared" si="3"/>
        <v>4</v>
      </c>
      <c r="AC52" s="2">
        <v>1101</v>
      </c>
      <c r="AD52" t="str">
        <v>5054</v>
      </c>
      <c r="AE52" s="11">
        <v>3437</v>
      </c>
      <c r="AF52" s="2" t="str">
        <v>127</v>
      </c>
    </row>
    <row r="53" spans="1:32" x14ac:dyDescent="0.25">
      <c r="A53" s="4">
        <v>1022</v>
      </c>
      <c r="B53" t="s">
        <v>13</v>
      </c>
      <c r="C53">
        <v>2</v>
      </c>
      <c r="D53">
        <v>1</v>
      </c>
      <c r="E53">
        <v>5</v>
      </c>
      <c r="F53" t="s">
        <v>14</v>
      </c>
      <c r="G53">
        <v>4.5</v>
      </c>
      <c r="I53">
        <v>4</v>
      </c>
      <c r="J53" t="s">
        <v>18</v>
      </c>
      <c r="K53" t="str">
        <f t="shared" si="0"/>
        <v/>
      </c>
      <c r="L53" t="s">
        <v>16</v>
      </c>
      <c r="M53">
        <v>1</v>
      </c>
      <c r="O53" s="6" t="s">
        <v>143</v>
      </c>
      <c r="P53" s="10">
        <v>1076</v>
      </c>
      <c r="T53">
        <f t="shared" si="1"/>
        <v>20</v>
      </c>
      <c r="U53" t="s">
        <v>278</v>
      </c>
      <c r="V53" s="4" t="s">
        <v>169</v>
      </c>
      <c r="W53">
        <v>52</v>
      </c>
      <c r="Y53">
        <f>LEN(O51)</f>
        <v>3</v>
      </c>
      <c r="Z53">
        <f t="shared" si="2"/>
        <v>4</v>
      </c>
      <c r="AA53">
        <f t="shared" si="3"/>
        <v>4</v>
      </c>
      <c r="AC53" s="2">
        <v>1076</v>
      </c>
      <c r="AD53" t="str">
        <v>5052</v>
      </c>
      <c r="AE53" s="11">
        <v>3438</v>
      </c>
      <c r="AF53" s="2" t="str">
        <v>129</v>
      </c>
    </row>
    <row r="54" spans="1:32" x14ac:dyDescent="0.25">
      <c r="A54" s="4">
        <v>1022</v>
      </c>
      <c r="B54" t="s">
        <v>13</v>
      </c>
      <c r="C54">
        <v>2</v>
      </c>
      <c r="D54">
        <v>1</v>
      </c>
      <c r="E54">
        <v>12</v>
      </c>
      <c r="F54" t="s">
        <v>14</v>
      </c>
      <c r="G54">
        <v>5</v>
      </c>
      <c r="I54">
        <v>4</v>
      </c>
      <c r="J54" t="s">
        <v>17</v>
      </c>
      <c r="K54" t="str">
        <f t="shared" si="0"/>
        <v/>
      </c>
      <c r="L54" t="s">
        <v>16</v>
      </c>
      <c r="M54">
        <v>1</v>
      </c>
      <c r="O54" s="6" t="s">
        <v>574</v>
      </c>
      <c r="P54" s="10">
        <v>1070</v>
      </c>
      <c r="T54">
        <f t="shared" si="1"/>
        <v>19</v>
      </c>
      <c r="U54" t="s">
        <v>281</v>
      </c>
      <c r="V54" s="4" t="s">
        <v>174</v>
      </c>
      <c r="W54">
        <v>53</v>
      </c>
      <c r="Y54">
        <f>LEN(O52)</f>
        <v>3</v>
      </c>
      <c r="Z54">
        <f t="shared" si="2"/>
        <v>4</v>
      </c>
      <c r="AA54">
        <f t="shared" si="3"/>
        <v>4</v>
      </c>
      <c r="AC54" s="2">
        <v>1070</v>
      </c>
      <c r="AD54" t="str">
        <v>5051</v>
      </c>
      <c r="AE54" s="11">
        <v>3451</v>
      </c>
      <c r="AF54" s="2" t="str">
        <v>13</v>
      </c>
    </row>
    <row r="55" spans="1:32" x14ac:dyDescent="0.25">
      <c r="A55" s="4">
        <v>1022</v>
      </c>
      <c r="B55" t="s">
        <v>13</v>
      </c>
      <c r="C55">
        <v>2</v>
      </c>
      <c r="D55">
        <v>1</v>
      </c>
      <c r="E55">
        <v>11</v>
      </c>
      <c r="F55" t="s">
        <v>14</v>
      </c>
      <c r="G55">
        <v>5</v>
      </c>
      <c r="I55">
        <v>4</v>
      </c>
      <c r="J55" t="s">
        <v>17</v>
      </c>
      <c r="K55" t="str">
        <f t="shared" si="0"/>
        <v/>
      </c>
      <c r="L55" t="s">
        <v>16</v>
      </c>
      <c r="M55">
        <v>1</v>
      </c>
      <c r="O55" s="6" t="s">
        <v>368</v>
      </c>
      <c r="P55" s="10">
        <v>1065</v>
      </c>
      <c r="T55">
        <f t="shared" si="1"/>
        <v>20</v>
      </c>
      <c r="U55" t="s">
        <v>284</v>
      </c>
      <c r="V55" s="4" t="s">
        <v>174</v>
      </c>
      <c r="W55">
        <v>54</v>
      </c>
      <c r="Y55">
        <f>LEN(O53)</f>
        <v>2</v>
      </c>
      <c r="Z55">
        <f t="shared" si="2"/>
        <v>4</v>
      </c>
      <c r="AA55">
        <f t="shared" si="3"/>
        <v>4</v>
      </c>
      <c r="AC55" s="2">
        <v>1065</v>
      </c>
      <c r="AD55" t="str">
        <v>5050</v>
      </c>
      <c r="AE55" s="11">
        <v>3452</v>
      </c>
      <c r="AF55" s="2" t="str">
        <v>130</v>
      </c>
    </row>
    <row r="56" spans="1:32" x14ac:dyDescent="0.25">
      <c r="A56" s="4">
        <v>1022</v>
      </c>
      <c r="B56" t="s">
        <v>13</v>
      </c>
      <c r="C56">
        <v>2</v>
      </c>
      <c r="D56">
        <v>1</v>
      </c>
      <c r="E56">
        <v>10</v>
      </c>
      <c r="F56" t="s">
        <v>14</v>
      </c>
      <c r="G56">
        <v>5</v>
      </c>
      <c r="I56">
        <v>4</v>
      </c>
      <c r="J56" t="s">
        <v>17</v>
      </c>
      <c r="K56" t="str">
        <f t="shared" si="0"/>
        <v/>
      </c>
      <c r="L56" t="s">
        <v>16</v>
      </c>
      <c r="M56">
        <v>1</v>
      </c>
      <c r="O56" s="6" t="s">
        <v>579</v>
      </c>
      <c r="P56" s="10">
        <v>1063</v>
      </c>
      <c r="T56">
        <f t="shared" si="1"/>
        <v>20</v>
      </c>
      <c r="U56" t="s">
        <v>287</v>
      </c>
      <c r="V56" s="4" t="s">
        <v>174</v>
      </c>
      <c r="W56">
        <v>55</v>
      </c>
      <c r="Y56">
        <f>LEN(O54)</f>
        <v>3</v>
      </c>
      <c r="Z56">
        <f t="shared" si="2"/>
        <v>4</v>
      </c>
      <c r="AC56" s="2">
        <v>1063</v>
      </c>
      <c r="AD56" t="str">
        <v>5044</v>
      </c>
      <c r="AE56" s="11">
        <v>3600</v>
      </c>
      <c r="AF56" s="2" t="str">
        <v>131</v>
      </c>
    </row>
    <row r="57" spans="1:32" x14ac:dyDescent="0.25">
      <c r="A57" s="4">
        <v>1022</v>
      </c>
      <c r="B57" t="s">
        <v>13</v>
      </c>
      <c r="C57">
        <v>2</v>
      </c>
      <c r="D57">
        <v>1</v>
      </c>
      <c r="E57">
        <v>9</v>
      </c>
      <c r="F57" t="s">
        <v>14</v>
      </c>
      <c r="G57">
        <v>5</v>
      </c>
      <c r="I57">
        <v>4</v>
      </c>
      <c r="J57" t="s">
        <v>17</v>
      </c>
      <c r="K57" t="str">
        <f t="shared" si="0"/>
        <v/>
      </c>
      <c r="L57" t="s">
        <v>16</v>
      </c>
      <c r="M57">
        <v>1</v>
      </c>
      <c r="O57" s="6" t="s">
        <v>146</v>
      </c>
      <c r="P57" s="10">
        <v>1062</v>
      </c>
      <c r="T57">
        <f t="shared" si="1"/>
        <v>20</v>
      </c>
      <c r="U57" t="s">
        <v>290</v>
      </c>
      <c r="V57" s="4" t="s">
        <v>193</v>
      </c>
      <c r="W57">
        <v>56</v>
      </c>
      <c r="Y57">
        <f>LEN(O55)</f>
        <v>3</v>
      </c>
      <c r="Z57">
        <f t="shared" si="2"/>
        <v>4</v>
      </c>
      <c r="AC57" s="2">
        <v>1062</v>
      </c>
      <c r="AD57" t="str">
        <v>5043</v>
      </c>
      <c r="AE57" s="11">
        <v>3601</v>
      </c>
      <c r="AF57" s="2" t="str">
        <v>132</v>
      </c>
    </row>
    <row r="58" spans="1:32" x14ac:dyDescent="0.25">
      <c r="A58" s="4">
        <v>1022</v>
      </c>
      <c r="B58" t="s">
        <v>13</v>
      </c>
      <c r="C58">
        <v>2</v>
      </c>
      <c r="D58">
        <v>1</v>
      </c>
      <c r="E58">
        <v>12</v>
      </c>
      <c r="F58" t="s">
        <v>14</v>
      </c>
      <c r="G58">
        <v>5</v>
      </c>
      <c r="I58">
        <v>4</v>
      </c>
      <c r="J58" t="s">
        <v>15</v>
      </c>
      <c r="K58" t="str">
        <f t="shared" si="0"/>
        <v/>
      </c>
      <c r="L58" t="s">
        <v>16</v>
      </c>
      <c r="M58">
        <v>1</v>
      </c>
      <c r="O58" s="6" t="s">
        <v>364</v>
      </c>
      <c r="P58" s="10">
        <v>1061</v>
      </c>
      <c r="T58">
        <f t="shared" si="1"/>
        <v>20</v>
      </c>
      <c r="U58" t="s">
        <v>294</v>
      </c>
      <c r="V58" s="4" t="s">
        <v>193</v>
      </c>
      <c r="W58">
        <v>57</v>
      </c>
      <c r="Y58">
        <f>LEN(O56)</f>
        <v>3</v>
      </c>
      <c r="Z58">
        <f t="shared" si="2"/>
        <v>4</v>
      </c>
      <c r="AC58" s="2">
        <v>1061</v>
      </c>
      <c r="AD58" t="str">
        <v>5041</v>
      </c>
      <c r="AE58" s="11">
        <v>4001</v>
      </c>
      <c r="AF58" s="2" t="str">
        <v>14</v>
      </c>
    </row>
    <row r="59" spans="1:32" x14ac:dyDescent="0.25">
      <c r="A59" s="4">
        <v>1022</v>
      </c>
      <c r="B59" t="s">
        <v>13</v>
      </c>
      <c r="C59">
        <v>2</v>
      </c>
      <c r="D59">
        <v>1</v>
      </c>
      <c r="E59">
        <v>11</v>
      </c>
      <c r="F59" t="s">
        <v>14</v>
      </c>
      <c r="G59">
        <v>5</v>
      </c>
      <c r="I59">
        <v>4</v>
      </c>
      <c r="J59" t="s">
        <v>15</v>
      </c>
      <c r="K59" t="str">
        <f t="shared" si="0"/>
        <v/>
      </c>
      <c r="L59" t="s">
        <v>16</v>
      </c>
      <c r="M59">
        <v>1</v>
      </c>
      <c r="O59" s="6" t="s">
        <v>352</v>
      </c>
      <c r="P59" s="10">
        <v>1059</v>
      </c>
      <c r="T59">
        <f t="shared" si="1"/>
        <v>20</v>
      </c>
      <c r="U59" t="s">
        <v>297</v>
      </c>
      <c r="V59" s="4" t="s">
        <v>193</v>
      </c>
      <c r="W59">
        <v>58</v>
      </c>
      <c r="Y59">
        <f>LEN(O57)</f>
        <v>2</v>
      </c>
      <c r="Z59">
        <f t="shared" si="2"/>
        <v>4</v>
      </c>
      <c r="AC59" s="2">
        <v>1059</v>
      </c>
      <c r="AD59" t="str">
        <v>5040</v>
      </c>
      <c r="AE59" s="11">
        <v>4002</v>
      </c>
      <c r="AF59" s="2" t="str">
        <v>140</v>
      </c>
    </row>
    <row r="60" spans="1:32" x14ac:dyDescent="0.25">
      <c r="A60" s="4">
        <v>1022</v>
      </c>
      <c r="B60" t="s">
        <v>13</v>
      </c>
      <c r="C60">
        <v>2</v>
      </c>
      <c r="D60">
        <v>1</v>
      </c>
      <c r="E60">
        <v>10</v>
      </c>
      <c r="F60" t="s">
        <v>14</v>
      </c>
      <c r="G60">
        <v>5</v>
      </c>
      <c r="I60">
        <v>4</v>
      </c>
      <c r="J60" t="s">
        <v>15</v>
      </c>
      <c r="K60" t="str">
        <f t="shared" si="0"/>
        <v/>
      </c>
      <c r="L60" t="s">
        <v>16</v>
      </c>
      <c r="M60">
        <v>1</v>
      </c>
      <c r="O60" s="6" t="s">
        <v>1748</v>
      </c>
      <c r="P60" s="10">
        <v>1058</v>
      </c>
      <c r="T60">
        <f t="shared" si="1"/>
        <v>20</v>
      </c>
      <c r="U60" t="s">
        <v>300</v>
      </c>
      <c r="V60" s="4" t="s">
        <v>193</v>
      </c>
      <c r="W60">
        <v>59</v>
      </c>
      <c r="Y60">
        <f>LEN(O58)</f>
        <v>3</v>
      </c>
      <c r="Z60">
        <f t="shared" si="2"/>
        <v>4</v>
      </c>
      <c r="AC60" s="2">
        <v>1058</v>
      </c>
      <c r="AD60" t="str">
        <v>504</v>
      </c>
      <c r="AE60" s="11">
        <v>4005</v>
      </c>
      <c r="AF60" s="2" t="str">
        <v>142</v>
      </c>
    </row>
    <row r="61" spans="1:32" x14ac:dyDescent="0.25">
      <c r="A61" s="4">
        <v>1022</v>
      </c>
      <c r="B61" t="s">
        <v>13</v>
      </c>
      <c r="C61">
        <v>2</v>
      </c>
      <c r="D61">
        <v>1</v>
      </c>
      <c r="E61">
        <v>9</v>
      </c>
      <c r="F61" t="s">
        <v>14</v>
      </c>
      <c r="G61">
        <v>5</v>
      </c>
      <c r="I61">
        <v>4</v>
      </c>
      <c r="J61" t="s">
        <v>15</v>
      </c>
      <c r="K61" t="str">
        <f t="shared" si="0"/>
        <v/>
      </c>
      <c r="L61" t="s">
        <v>16</v>
      </c>
      <c r="M61">
        <v>1</v>
      </c>
      <c r="O61" s="6" t="s">
        <v>359</v>
      </c>
      <c r="P61" s="10">
        <v>1050</v>
      </c>
      <c r="T61">
        <f t="shared" si="1"/>
        <v>20</v>
      </c>
      <c r="U61" t="s">
        <v>303</v>
      </c>
      <c r="V61" s="4" t="s">
        <v>196</v>
      </c>
      <c r="W61">
        <v>60</v>
      </c>
      <c r="Y61">
        <f>LEN(O59)</f>
        <v>3</v>
      </c>
      <c r="Z61">
        <f t="shared" si="2"/>
        <v>4</v>
      </c>
      <c r="AC61" s="2">
        <v>1050</v>
      </c>
      <c r="AD61" t="str">
        <v>503</v>
      </c>
      <c r="AE61" s="11">
        <v>4006</v>
      </c>
      <c r="AF61" s="2" t="str">
        <v>1456</v>
      </c>
    </row>
    <row r="62" spans="1:32" x14ac:dyDescent="0.25">
      <c r="A62" s="4">
        <v>1022</v>
      </c>
      <c r="B62" t="s">
        <v>13</v>
      </c>
      <c r="C62">
        <v>2</v>
      </c>
      <c r="D62">
        <v>1</v>
      </c>
      <c r="E62">
        <v>12</v>
      </c>
      <c r="F62" t="s">
        <v>14</v>
      </c>
      <c r="G62">
        <v>5</v>
      </c>
      <c r="I62">
        <v>4</v>
      </c>
      <c r="J62" t="s">
        <v>18</v>
      </c>
      <c r="K62" t="str">
        <f t="shared" si="0"/>
        <v/>
      </c>
      <c r="L62" t="s">
        <v>16</v>
      </c>
      <c r="M62">
        <v>1</v>
      </c>
      <c r="O62" s="6" t="s">
        <v>372</v>
      </c>
      <c r="P62" s="10">
        <v>1049</v>
      </c>
      <c r="T62">
        <f t="shared" si="1"/>
        <v>20</v>
      </c>
      <c r="U62" t="s">
        <v>306</v>
      </c>
      <c r="V62" s="4" t="s">
        <v>196</v>
      </c>
      <c r="W62">
        <v>61</v>
      </c>
      <c r="Y62">
        <f>LEN(O60)</f>
        <v>4</v>
      </c>
      <c r="Z62">
        <f t="shared" si="2"/>
        <v>4</v>
      </c>
      <c r="AC62" s="2">
        <v>1049</v>
      </c>
      <c r="AD62" t="str">
        <v>5022</v>
      </c>
      <c r="AE62" s="11">
        <v>4007</v>
      </c>
      <c r="AF62" s="2" t="str">
        <v>148</v>
      </c>
    </row>
    <row r="63" spans="1:32" x14ac:dyDescent="0.25">
      <c r="A63" s="4">
        <v>1022</v>
      </c>
      <c r="B63" t="s">
        <v>13</v>
      </c>
      <c r="C63">
        <v>2</v>
      </c>
      <c r="D63">
        <v>1</v>
      </c>
      <c r="E63">
        <v>11</v>
      </c>
      <c r="F63" t="s">
        <v>14</v>
      </c>
      <c r="G63">
        <v>5</v>
      </c>
      <c r="I63">
        <v>4</v>
      </c>
      <c r="J63" t="s">
        <v>18</v>
      </c>
      <c r="K63" t="str">
        <f t="shared" si="0"/>
        <v/>
      </c>
      <c r="L63" t="s">
        <v>16</v>
      </c>
      <c r="M63">
        <v>1</v>
      </c>
      <c r="O63" s="6" t="s">
        <v>149</v>
      </c>
      <c r="P63" s="10">
        <v>1045</v>
      </c>
      <c r="T63">
        <f t="shared" si="1"/>
        <v>20</v>
      </c>
      <c r="U63" t="s">
        <v>309</v>
      </c>
      <c r="V63" s="4" t="s">
        <v>196</v>
      </c>
      <c r="W63">
        <v>62</v>
      </c>
      <c r="Y63">
        <f>LEN(O61)</f>
        <v>3</v>
      </c>
      <c r="Z63">
        <f t="shared" si="2"/>
        <v>4</v>
      </c>
      <c r="AC63" s="2">
        <v>1045</v>
      </c>
      <c r="AD63" t="str">
        <v>5014</v>
      </c>
      <c r="AE63" s="11">
        <v>4008</v>
      </c>
      <c r="AF63" s="2" t="str">
        <v>149</v>
      </c>
    </row>
    <row r="64" spans="1:32" x14ac:dyDescent="0.25">
      <c r="A64" s="4">
        <v>1022</v>
      </c>
      <c r="B64" t="s">
        <v>13</v>
      </c>
      <c r="C64">
        <v>2</v>
      </c>
      <c r="D64">
        <v>1</v>
      </c>
      <c r="E64">
        <v>10</v>
      </c>
      <c r="F64" t="s">
        <v>14</v>
      </c>
      <c r="G64">
        <v>5</v>
      </c>
      <c r="I64">
        <v>4</v>
      </c>
      <c r="J64" t="s">
        <v>18</v>
      </c>
      <c r="K64" t="str">
        <f t="shared" si="0"/>
        <v/>
      </c>
      <c r="L64" t="s">
        <v>16</v>
      </c>
      <c r="M64">
        <v>1</v>
      </c>
      <c r="O64" s="6" t="s">
        <v>344</v>
      </c>
      <c r="P64" s="10">
        <v>1040</v>
      </c>
      <c r="T64">
        <f t="shared" si="1"/>
        <v>20</v>
      </c>
      <c r="U64" t="s">
        <v>312</v>
      </c>
      <c r="V64" s="4" t="s">
        <v>196</v>
      </c>
      <c r="W64">
        <v>63</v>
      </c>
      <c r="Y64">
        <f>LEN(O62)</f>
        <v>3</v>
      </c>
      <c r="Z64">
        <f t="shared" si="2"/>
        <v>4</v>
      </c>
      <c r="AC64" s="2">
        <v>1040</v>
      </c>
      <c r="AD64" t="str">
        <v>491</v>
      </c>
      <c r="AE64" s="11">
        <v>4012</v>
      </c>
      <c r="AF64" s="2" t="str">
        <v>15</v>
      </c>
    </row>
    <row r="65" spans="1:32" x14ac:dyDescent="0.25">
      <c r="A65" s="4">
        <v>1022</v>
      </c>
      <c r="B65" t="s">
        <v>13</v>
      </c>
      <c r="C65">
        <v>2</v>
      </c>
      <c r="D65">
        <v>1</v>
      </c>
      <c r="E65">
        <v>9</v>
      </c>
      <c r="F65" t="s">
        <v>14</v>
      </c>
      <c r="G65">
        <v>5</v>
      </c>
      <c r="I65">
        <v>4</v>
      </c>
      <c r="J65" t="s">
        <v>18</v>
      </c>
      <c r="K65" t="str">
        <f t="shared" si="0"/>
        <v/>
      </c>
      <c r="L65" t="s">
        <v>16</v>
      </c>
      <c r="M65">
        <v>1</v>
      </c>
      <c r="O65" s="6" t="s">
        <v>2048</v>
      </c>
      <c r="P65" s="10">
        <v>1026</v>
      </c>
      <c r="T65">
        <f t="shared" si="1"/>
        <v>20</v>
      </c>
      <c r="U65" t="s">
        <v>315</v>
      </c>
      <c r="V65" s="4" t="s">
        <v>316</v>
      </c>
      <c r="W65">
        <v>64</v>
      </c>
      <c r="Y65">
        <f>LEN(O63)</f>
        <v>2</v>
      </c>
      <c r="Z65">
        <f t="shared" si="2"/>
        <v>4</v>
      </c>
      <c r="AC65" s="2">
        <v>1026</v>
      </c>
      <c r="AD65" t="str">
        <v>481</v>
      </c>
      <c r="AE65" s="11">
        <v>4013</v>
      </c>
      <c r="AF65" s="2" t="str">
        <v>151</v>
      </c>
    </row>
    <row r="66" spans="1:32" x14ac:dyDescent="0.25">
      <c r="A66" s="4">
        <v>1022</v>
      </c>
      <c r="B66" t="s">
        <v>13</v>
      </c>
      <c r="C66">
        <v>2</v>
      </c>
      <c r="D66">
        <v>1</v>
      </c>
      <c r="E66">
        <v>16</v>
      </c>
      <c r="F66" t="s">
        <v>14</v>
      </c>
      <c r="G66">
        <v>5.5</v>
      </c>
      <c r="I66">
        <v>4</v>
      </c>
      <c r="J66" t="s">
        <v>18</v>
      </c>
      <c r="K66" t="str">
        <f t="shared" si="0"/>
        <v/>
      </c>
      <c r="L66" t="s">
        <v>16</v>
      </c>
      <c r="M66">
        <v>1</v>
      </c>
      <c r="O66" s="6" t="s">
        <v>2203</v>
      </c>
      <c r="P66" s="10">
        <v>1024</v>
      </c>
      <c r="T66">
        <f t="shared" si="1"/>
        <v>20</v>
      </c>
      <c r="U66" t="s">
        <v>325</v>
      </c>
      <c r="V66" s="4" t="s">
        <v>316</v>
      </c>
      <c r="W66">
        <v>65</v>
      </c>
      <c r="Y66">
        <f>LEN(O64)</f>
        <v>3</v>
      </c>
      <c r="Z66">
        <f t="shared" si="2"/>
        <v>4</v>
      </c>
      <c r="AC66" s="2">
        <v>1024</v>
      </c>
      <c r="AD66" t="str">
        <v>476</v>
      </c>
      <c r="AE66" s="11">
        <v>4015</v>
      </c>
      <c r="AF66" s="2" t="str">
        <v>1510</v>
      </c>
    </row>
    <row r="67" spans="1:32" x14ac:dyDescent="0.25">
      <c r="A67" s="4">
        <v>1022</v>
      </c>
      <c r="B67" t="s">
        <v>13</v>
      </c>
      <c r="C67">
        <v>2</v>
      </c>
      <c r="D67">
        <v>1</v>
      </c>
      <c r="E67">
        <v>15</v>
      </c>
      <c r="F67" t="s">
        <v>14</v>
      </c>
      <c r="G67">
        <v>5.5</v>
      </c>
      <c r="I67">
        <v>4</v>
      </c>
      <c r="J67" t="s">
        <v>18</v>
      </c>
      <c r="K67" t="str">
        <f t="shared" ref="K67:K130" si="4">_xlfn.XLOOKUP(A67,V:V,U:U,"",0)</f>
        <v/>
      </c>
      <c r="L67" t="s">
        <v>16</v>
      </c>
      <c r="M67">
        <v>1</v>
      </c>
      <c r="O67" s="6" t="s">
        <v>106</v>
      </c>
      <c r="P67" s="10">
        <v>1022</v>
      </c>
      <c r="T67">
        <f t="shared" ref="T67:T130" si="5">LEN(U67)</f>
        <v>19</v>
      </c>
      <c r="U67" t="s">
        <v>329</v>
      </c>
      <c r="V67" s="4" t="s">
        <v>316</v>
      </c>
      <c r="W67">
        <v>66</v>
      </c>
      <c r="Y67">
        <f>LEN(O65)</f>
        <v>4</v>
      </c>
      <c r="Z67">
        <f t="shared" ref="Z67:Z130" si="6">LEN(P67)</f>
        <v>4</v>
      </c>
      <c r="AC67" s="2">
        <v>1022</v>
      </c>
      <c r="AD67" t="str">
        <v>475</v>
      </c>
      <c r="AE67" s="11">
        <v>5022</v>
      </c>
      <c r="AF67" s="2" t="str">
        <v>1511</v>
      </c>
    </row>
    <row r="68" spans="1:32" x14ac:dyDescent="0.25">
      <c r="A68" s="4">
        <v>1022</v>
      </c>
      <c r="B68" t="s">
        <v>13</v>
      </c>
      <c r="C68">
        <v>2</v>
      </c>
      <c r="D68">
        <v>1</v>
      </c>
      <c r="E68">
        <v>14</v>
      </c>
      <c r="F68" t="s">
        <v>14</v>
      </c>
      <c r="G68">
        <v>5.5</v>
      </c>
      <c r="I68">
        <v>4</v>
      </c>
      <c r="J68" t="s">
        <v>18</v>
      </c>
      <c r="K68" t="str">
        <f t="shared" si="4"/>
        <v/>
      </c>
      <c r="L68" t="s">
        <v>16</v>
      </c>
      <c r="M68">
        <v>1</v>
      </c>
      <c r="O68" s="6" t="s">
        <v>713</v>
      </c>
      <c r="P68" s="10">
        <v>1013</v>
      </c>
      <c r="T68">
        <f t="shared" si="5"/>
        <v>20</v>
      </c>
      <c r="U68" t="s">
        <v>333</v>
      </c>
      <c r="V68" s="4" t="s">
        <v>334</v>
      </c>
      <c r="W68">
        <v>67</v>
      </c>
      <c r="Y68">
        <f>LEN(O66)</f>
        <v>4</v>
      </c>
      <c r="Z68">
        <f t="shared" si="6"/>
        <v>4</v>
      </c>
      <c r="AC68" s="2">
        <v>1013</v>
      </c>
      <c r="AD68" t="str">
        <v>450</v>
      </c>
      <c r="AE68" s="11">
        <v>5041</v>
      </c>
      <c r="AF68" s="2" t="str">
        <v>16</v>
      </c>
    </row>
    <row r="69" spans="1:32" x14ac:dyDescent="0.25">
      <c r="A69" s="4">
        <v>1022</v>
      </c>
      <c r="B69" t="s">
        <v>13</v>
      </c>
      <c r="C69">
        <v>2</v>
      </c>
      <c r="D69">
        <v>1</v>
      </c>
      <c r="E69">
        <v>13</v>
      </c>
      <c r="F69" t="s">
        <v>14</v>
      </c>
      <c r="G69">
        <v>5.5</v>
      </c>
      <c r="I69">
        <v>4</v>
      </c>
      <c r="J69" t="s">
        <v>18</v>
      </c>
      <c r="K69" t="str">
        <f t="shared" si="4"/>
        <v/>
      </c>
      <c r="L69" t="s">
        <v>16</v>
      </c>
      <c r="M69">
        <v>1</v>
      </c>
      <c r="O69" s="6" t="s">
        <v>719</v>
      </c>
      <c r="P69" s="10">
        <v>1009</v>
      </c>
      <c r="T69">
        <f t="shared" si="5"/>
        <v>20</v>
      </c>
      <c r="U69" t="s">
        <v>339</v>
      </c>
      <c r="V69" s="4" t="s">
        <v>334</v>
      </c>
      <c r="W69">
        <v>68</v>
      </c>
      <c r="Y69">
        <f>LEN(O67)</f>
        <v>2</v>
      </c>
      <c r="Z69">
        <f t="shared" si="6"/>
        <v>4</v>
      </c>
      <c r="AC69" s="2">
        <v>1009</v>
      </c>
      <c r="AD69" t="str">
        <v>448</v>
      </c>
      <c r="AE69" s="11">
        <v>5043</v>
      </c>
      <c r="AF69" s="2" t="str">
        <v>165</v>
      </c>
    </row>
    <row r="70" spans="1:32" x14ac:dyDescent="0.25">
      <c r="A70" s="4">
        <v>1058</v>
      </c>
      <c r="B70" t="s">
        <v>19</v>
      </c>
      <c r="C70">
        <v>2</v>
      </c>
      <c r="D70">
        <v>1</v>
      </c>
      <c r="E70">
        <v>4</v>
      </c>
      <c r="F70" t="s">
        <v>14</v>
      </c>
      <c r="G70">
        <v>4.5</v>
      </c>
      <c r="I70">
        <v>4</v>
      </c>
      <c r="J70" t="s">
        <v>17</v>
      </c>
      <c r="K70" t="str">
        <f t="shared" si="4"/>
        <v/>
      </c>
      <c r="L70" t="s">
        <v>16</v>
      </c>
      <c r="M70">
        <v>1</v>
      </c>
      <c r="O70" s="6" t="s">
        <v>722</v>
      </c>
      <c r="P70" s="10">
        <v>1001</v>
      </c>
      <c r="T70">
        <f t="shared" si="5"/>
        <v>20</v>
      </c>
      <c r="U70" t="s">
        <v>343</v>
      </c>
      <c r="V70" s="4" t="s">
        <v>344</v>
      </c>
      <c r="W70">
        <v>69</v>
      </c>
      <c r="Y70">
        <f>LEN(O68)</f>
        <v>3</v>
      </c>
      <c r="Z70">
        <f t="shared" si="6"/>
        <v>4</v>
      </c>
      <c r="AC70" s="2">
        <v>1001</v>
      </c>
      <c r="AD70" t="str">
        <v>4450</v>
      </c>
      <c r="AE70" s="11">
        <v>5044</v>
      </c>
      <c r="AF70" s="2" t="str">
        <v>166</v>
      </c>
    </row>
    <row r="71" spans="1:32" x14ac:dyDescent="0.25">
      <c r="A71" s="4">
        <v>1058</v>
      </c>
      <c r="B71" t="s">
        <v>19</v>
      </c>
      <c r="C71">
        <v>2</v>
      </c>
      <c r="D71">
        <v>1</v>
      </c>
      <c r="E71">
        <v>3</v>
      </c>
      <c r="F71" t="s">
        <v>14</v>
      </c>
      <c r="G71">
        <v>4.5</v>
      </c>
      <c r="I71">
        <v>4</v>
      </c>
      <c r="J71" t="s">
        <v>17</v>
      </c>
      <c r="K71" t="str">
        <f t="shared" si="4"/>
        <v/>
      </c>
      <c r="L71" t="s">
        <v>16</v>
      </c>
      <c r="M71">
        <v>1</v>
      </c>
      <c r="O71" s="6" t="s">
        <v>1298</v>
      </c>
      <c r="P71" s="10">
        <v>814</v>
      </c>
      <c r="T71">
        <f t="shared" si="5"/>
        <v>20</v>
      </c>
      <c r="U71" t="s">
        <v>351</v>
      </c>
      <c r="V71" s="4" t="s">
        <v>352</v>
      </c>
      <c r="W71">
        <v>70</v>
      </c>
      <c r="Y71">
        <f>LEN(O69)</f>
        <v>3</v>
      </c>
      <c r="Z71">
        <f t="shared" si="6"/>
        <v>3</v>
      </c>
      <c r="AC71" s="2">
        <v>814</v>
      </c>
      <c r="AD71" t="str">
        <v>443</v>
      </c>
      <c r="AE71" s="11">
        <v>5050</v>
      </c>
      <c r="AF71" s="2" t="str">
        <v>167</v>
      </c>
    </row>
    <row r="72" spans="1:32" x14ac:dyDescent="0.25">
      <c r="A72" s="4">
        <v>1058</v>
      </c>
      <c r="B72" t="s">
        <v>19</v>
      </c>
      <c r="C72">
        <v>2</v>
      </c>
      <c r="D72">
        <v>1</v>
      </c>
      <c r="E72">
        <v>2</v>
      </c>
      <c r="F72" t="s">
        <v>14</v>
      </c>
      <c r="G72">
        <v>4.5</v>
      </c>
      <c r="I72">
        <v>4</v>
      </c>
      <c r="J72" t="s">
        <v>17</v>
      </c>
      <c r="K72" t="str">
        <f t="shared" si="4"/>
        <v/>
      </c>
      <c r="L72" t="s">
        <v>16</v>
      </c>
      <c r="M72">
        <v>1</v>
      </c>
      <c r="O72" s="6" t="s">
        <v>1877</v>
      </c>
      <c r="P72" s="10">
        <v>676</v>
      </c>
      <c r="T72">
        <f t="shared" si="5"/>
        <v>20</v>
      </c>
      <c r="U72" t="s">
        <v>358</v>
      </c>
      <c r="V72" s="4" t="s">
        <v>359</v>
      </c>
      <c r="W72">
        <v>71</v>
      </c>
      <c r="Y72">
        <f>LEN(O70)</f>
        <v>3</v>
      </c>
      <c r="Z72">
        <f t="shared" si="6"/>
        <v>3</v>
      </c>
      <c r="AC72" s="2">
        <v>676</v>
      </c>
      <c r="AD72" t="str">
        <v>440</v>
      </c>
      <c r="AE72" s="11">
        <v>5052</v>
      </c>
      <c r="AF72" s="2" t="str">
        <v>170</v>
      </c>
    </row>
    <row r="73" spans="1:32" x14ac:dyDescent="0.25">
      <c r="A73" s="4">
        <v>1058</v>
      </c>
      <c r="B73" t="s">
        <v>19</v>
      </c>
      <c r="C73">
        <v>2</v>
      </c>
      <c r="D73">
        <v>1</v>
      </c>
      <c r="E73">
        <v>1</v>
      </c>
      <c r="F73" t="s">
        <v>14</v>
      </c>
      <c r="G73">
        <v>4.5</v>
      </c>
      <c r="I73">
        <v>4</v>
      </c>
      <c r="J73" t="s">
        <v>17</v>
      </c>
      <c r="K73" t="str">
        <f t="shared" si="4"/>
        <v/>
      </c>
      <c r="L73" t="s">
        <v>16</v>
      </c>
      <c r="M73">
        <v>1</v>
      </c>
      <c r="O73" s="6" t="s">
        <v>163</v>
      </c>
      <c r="P73" s="10">
        <v>662</v>
      </c>
      <c r="T73">
        <f t="shared" si="5"/>
        <v>20</v>
      </c>
      <c r="U73" t="s">
        <v>363</v>
      </c>
      <c r="V73" s="4" t="s">
        <v>364</v>
      </c>
      <c r="W73">
        <v>72</v>
      </c>
      <c r="Y73">
        <f>LEN(O71)</f>
        <v>3</v>
      </c>
      <c r="Z73">
        <f t="shared" si="6"/>
        <v>3</v>
      </c>
      <c r="AC73" s="2">
        <v>662</v>
      </c>
      <c r="AD73" t="str">
        <v>439</v>
      </c>
      <c r="AE73" s="11">
        <v>5054</v>
      </c>
      <c r="AF73" s="2" t="str">
        <v>175</v>
      </c>
    </row>
    <row r="74" spans="1:32" x14ac:dyDescent="0.25">
      <c r="A74" s="4">
        <v>1058</v>
      </c>
      <c r="B74" t="s">
        <v>19</v>
      </c>
      <c r="C74">
        <v>2</v>
      </c>
      <c r="D74">
        <v>1</v>
      </c>
      <c r="E74">
        <v>4</v>
      </c>
      <c r="F74" t="s">
        <v>14</v>
      </c>
      <c r="G74">
        <v>4.5</v>
      </c>
      <c r="I74">
        <v>4</v>
      </c>
      <c r="J74" t="s">
        <v>20</v>
      </c>
      <c r="K74" t="str">
        <f t="shared" si="4"/>
        <v/>
      </c>
      <c r="L74" t="s">
        <v>16</v>
      </c>
      <c r="M74">
        <v>2</v>
      </c>
      <c r="O74" s="6" t="s">
        <v>2396</v>
      </c>
      <c r="P74" s="10">
        <v>581</v>
      </c>
      <c r="T74">
        <f t="shared" si="5"/>
        <v>20</v>
      </c>
      <c r="U74" t="s">
        <v>367</v>
      </c>
      <c r="V74" s="4" t="s">
        <v>368</v>
      </c>
      <c r="W74">
        <v>73</v>
      </c>
      <c r="Y74">
        <f>LEN(O72)</f>
        <v>3</v>
      </c>
      <c r="Z74">
        <f t="shared" si="6"/>
        <v>3</v>
      </c>
      <c r="AC74" s="2">
        <v>581</v>
      </c>
      <c r="AD74" t="str">
        <v>4225</v>
      </c>
      <c r="AE74" s="11">
        <v>5057</v>
      </c>
      <c r="AF74" s="2" t="str">
        <v>19</v>
      </c>
    </row>
    <row r="75" spans="1:32" x14ac:dyDescent="0.25">
      <c r="A75" s="4">
        <v>1058</v>
      </c>
      <c r="B75" t="s">
        <v>19</v>
      </c>
      <c r="C75">
        <v>2</v>
      </c>
      <c r="D75">
        <v>1</v>
      </c>
      <c r="E75">
        <v>3</v>
      </c>
      <c r="F75" t="s">
        <v>14</v>
      </c>
      <c r="G75">
        <v>4.5</v>
      </c>
      <c r="I75">
        <v>4</v>
      </c>
      <c r="J75" t="s">
        <v>20</v>
      </c>
      <c r="K75" t="str">
        <f t="shared" si="4"/>
        <v/>
      </c>
      <c r="L75" t="s">
        <v>16</v>
      </c>
      <c r="M75">
        <v>2</v>
      </c>
      <c r="O75" s="6" t="s">
        <v>166</v>
      </c>
      <c r="P75" s="10">
        <v>576</v>
      </c>
      <c r="T75">
        <f t="shared" si="5"/>
        <v>20</v>
      </c>
      <c r="U75" t="s">
        <v>371</v>
      </c>
      <c r="V75" s="4" t="s">
        <v>372</v>
      </c>
      <c r="W75">
        <v>74</v>
      </c>
      <c r="Y75">
        <f>LEN(O73)</f>
        <v>2</v>
      </c>
      <c r="Z75">
        <f t="shared" si="6"/>
        <v>3</v>
      </c>
      <c r="AC75" s="2">
        <v>576</v>
      </c>
      <c r="AD75" t="str">
        <v>419</v>
      </c>
      <c r="AE75" s="11">
        <v>5058</v>
      </c>
      <c r="AF75" s="2" t="str">
        <v>19058</v>
      </c>
    </row>
    <row r="76" spans="1:32" x14ac:dyDescent="0.25">
      <c r="A76" s="4">
        <v>1058</v>
      </c>
      <c r="B76" t="s">
        <v>19</v>
      </c>
      <c r="C76">
        <v>2</v>
      </c>
      <c r="D76">
        <v>1</v>
      </c>
      <c r="E76">
        <v>2</v>
      </c>
      <c r="F76" t="s">
        <v>14</v>
      </c>
      <c r="G76">
        <v>4.5</v>
      </c>
      <c r="I76">
        <v>4</v>
      </c>
      <c r="J76" t="s">
        <v>20</v>
      </c>
      <c r="K76" t="str">
        <f t="shared" si="4"/>
        <v/>
      </c>
      <c r="L76" t="s">
        <v>16</v>
      </c>
      <c r="M76">
        <v>2</v>
      </c>
      <c r="O76" s="6" t="s">
        <v>2036</v>
      </c>
      <c r="P76" s="10">
        <v>575</v>
      </c>
      <c r="T76">
        <f t="shared" si="5"/>
        <v>20</v>
      </c>
      <c r="U76" t="s">
        <v>379</v>
      </c>
      <c r="V76" s="4" t="s">
        <v>380</v>
      </c>
      <c r="W76">
        <v>75</v>
      </c>
      <c r="Y76">
        <f>LEN(O74)</f>
        <v>5</v>
      </c>
      <c r="Z76">
        <f t="shared" si="6"/>
        <v>3</v>
      </c>
      <c r="AC76" s="2">
        <v>575</v>
      </c>
      <c r="AD76" t="str">
        <v>418</v>
      </c>
      <c r="AE76" s="11">
        <v>5069</v>
      </c>
      <c r="AF76" s="2" t="str">
        <v>20</v>
      </c>
    </row>
    <row r="77" spans="1:32" x14ac:dyDescent="0.25">
      <c r="A77" s="4">
        <v>1058</v>
      </c>
      <c r="B77" t="s">
        <v>19</v>
      </c>
      <c r="C77">
        <v>2</v>
      </c>
      <c r="D77">
        <v>1</v>
      </c>
      <c r="E77">
        <v>1</v>
      </c>
      <c r="F77" t="s">
        <v>14</v>
      </c>
      <c r="G77">
        <v>4.5</v>
      </c>
      <c r="I77">
        <v>4</v>
      </c>
      <c r="J77" t="s">
        <v>20</v>
      </c>
      <c r="K77" t="str">
        <f t="shared" si="4"/>
        <v/>
      </c>
      <c r="L77" t="s">
        <v>16</v>
      </c>
      <c r="M77">
        <v>2</v>
      </c>
      <c r="O77" s="6" t="s">
        <v>169</v>
      </c>
      <c r="P77" s="10">
        <v>504</v>
      </c>
      <c r="T77">
        <f t="shared" si="5"/>
        <v>20</v>
      </c>
      <c r="U77" t="s">
        <v>387</v>
      </c>
      <c r="V77" s="4" t="s">
        <v>380</v>
      </c>
      <c r="W77">
        <v>76</v>
      </c>
      <c r="Y77">
        <f>LEN(O75)</f>
        <v>2</v>
      </c>
      <c r="Z77">
        <f t="shared" si="6"/>
        <v>3</v>
      </c>
      <c r="AC77" s="2">
        <v>504</v>
      </c>
      <c r="AD77" t="str">
        <v>416</v>
      </c>
      <c r="AE77" s="11">
        <v>5070</v>
      </c>
      <c r="AF77" s="2" t="str">
        <v>2060</v>
      </c>
    </row>
    <row r="78" spans="1:32" x14ac:dyDescent="0.25">
      <c r="A78" s="4">
        <v>1058</v>
      </c>
      <c r="B78" t="s">
        <v>19</v>
      </c>
      <c r="C78">
        <v>2</v>
      </c>
      <c r="D78">
        <v>1</v>
      </c>
      <c r="E78">
        <v>4</v>
      </c>
      <c r="F78" t="s">
        <v>14</v>
      </c>
      <c r="G78">
        <v>4.5</v>
      </c>
      <c r="I78">
        <v>4</v>
      </c>
      <c r="J78" t="s">
        <v>15</v>
      </c>
      <c r="K78" t="str">
        <f t="shared" si="4"/>
        <v/>
      </c>
      <c r="L78" t="s">
        <v>16</v>
      </c>
      <c r="M78">
        <v>1</v>
      </c>
      <c r="O78" s="6" t="s">
        <v>553</v>
      </c>
      <c r="P78" s="10">
        <v>481</v>
      </c>
      <c r="T78">
        <f t="shared" si="5"/>
        <v>20</v>
      </c>
      <c r="U78" t="s">
        <v>390</v>
      </c>
      <c r="V78" s="4" t="s">
        <v>380</v>
      </c>
      <c r="W78">
        <v>77</v>
      </c>
      <c r="Y78">
        <f>LEN(O76)</f>
        <v>4</v>
      </c>
      <c r="Z78">
        <f t="shared" si="6"/>
        <v>3</v>
      </c>
      <c r="AC78" s="2">
        <v>481</v>
      </c>
      <c r="AD78" t="str">
        <v>413</v>
      </c>
      <c r="AE78" s="11">
        <v>5075</v>
      </c>
      <c r="AF78" s="2" t="str">
        <v>21</v>
      </c>
    </row>
    <row r="79" spans="1:32" x14ac:dyDescent="0.25">
      <c r="A79" s="4">
        <v>1058</v>
      </c>
      <c r="B79" t="s">
        <v>19</v>
      </c>
      <c r="C79">
        <v>2</v>
      </c>
      <c r="D79">
        <v>1</v>
      </c>
      <c r="E79">
        <v>3</v>
      </c>
      <c r="F79" t="s">
        <v>14</v>
      </c>
      <c r="G79">
        <v>4.5</v>
      </c>
      <c r="I79">
        <v>4</v>
      </c>
      <c r="J79" t="s">
        <v>15</v>
      </c>
      <c r="K79" t="str">
        <f t="shared" si="4"/>
        <v/>
      </c>
      <c r="L79" t="s">
        <v>16</v>
      </c>
      <c r="M79">
        <v>1</v>
      </c>
      <c r="O79" s="6" t="s">
        <v>3007</v>
      </c>
      <c r="P79" s="10">
        <v>476</v>
      </c>
      <c r="T79">
        <f t="shared" si="5"/>
        <v>19</v>
      </c>
      <c r="U79" t="s">
        <v>393</v>
      </c>
      <c r="V79" s="4" t="s">
        <v>380</v>
      </c>
      <c r="W79">
        <v>78</v>
      </c>
      <c r="Y79">
        <f>LEN(O77)</f>
        <v>2</v>
      </c>
      <c r="Z79">
        <f t="shared" si="6"/>
        <v>3</v>
      </c>
      <c r="AC79" s="2">
        <v>476</v>
      </c>
      <c r="AD79" t="str">
        <v>410</v>
      </c>
      <c r="AE79" s="11">
        <v>5085</v>
      </c>
      <c r="AF79" s="2" t="str">
        <v>2151</v>
      </c>
    </row>
    <row r="80" spans="1:32" x14ac:dyDescent="0.25">
      <c r="A80" s="4">
        <v>1058</v>
      </c>
      <c r="B80" t="s">
        <v>19</v>
      </c>
      <c r="C80">
        <v>2</v>
      </c>
      <c r="D80">
        <v>1</v>
      </c>
      <c r="E80">
        <v>2</v>
      </c>
      <c r="F80" t="s">
        <v>14</v>
      </c>
      <c r="G80">
        <v>4.5</v>
      </c>
      <c r="I80">
        <v>4</v>
      </c>
      <c r="J80" t="s">
        <v>15</v>
      </c>
      <c r="K80" t="str">
        <f t="shared" si="4"/>
        <v/>
      </c>
      <c r="L80" t="s">
        <v>16</v>
      </c>
      <c r="M80">
        <v>1</v>
      </c>
      <c r="O80" s="6" t="s">
        <v>571</v>
      </c>
      <c r="P80" s="10">
        <v>475</v>
      </c>
      <c r="T80">
        <f t="shared" si="5"/>
        <v>20</v>
      </c>
      <c r="U80" t="s">
        <v>396</v>
      </c>
      <c r="V80" s="4" t="s">
        <v>380</v>
      </c>
      <c r="W80">
        <v>79</v>
      </c>
      <c r="Y80">
        <f>LEN(O78)</f>
        <v>4</v>
      </c>
      <c r="Z80">
        <f t="shared" si="6"/>
        <v>3</v>
      </c>
      <c r="AC80" s="2">
        <v>475</v>
      </c>
      <c r="AD80" t="str">
        <v>408</v>
      </c>
      <c r="AE80" s="11">
        <v>5089</v>
      </c>
      <c r="AF80" s="2" t="str">
        <v>2152</v>
      </c>
    </row>
    <row r="81" spans="1:32" x14ac:dyDescent="0.25">
      <c r="A81" s="4">
        <v>1058</v>
      </c>
      <c r="B81" t="s">
        <v>19</v>
      </c>
      <c r="C81">
        <v>2</v>
      </c>
      <c r="D81">
        <v>1</v>
      </c>
      <c r="E81">
        <v>1</v>
      </c>
      <c r="F81" t="s">
        <v>14</v>
      </c>
      <c r="G81">
        <v>4.5</v>
      </c>
      <c r="I81">
        <v>4</v>
      </c>
      <c r="J81" t="s">
        <v>15</v>
      </c>
      <c r="K81" t="str">
        <f t="shared" si="4"/>
        <v/>
      </c>
      <c r="L81" t="s">
        <v>16</v>
      </c>
      <c r="M81">
        <v>1</v>
      </c>
      <c r="O81" s="6" t="s">
        <v>634</v>
      </c>
      <c r="P81" s="10">
        <v>450</v>
      </c>
      <c r="T81">
        <f t="shared" si="5"/>
        <v>20</v>
      </c>
      <c r="U81" t="s">
        <v>401</v>
      </c>
      <c r="V81" s="4" t="s">
        <v>380</v>
      </c>
      <c r="W81">
        <v>80</v>
      </c>
      <c r="Y81">
        <f>LEN(O79)</f>
        <v>4</v>
      </c>
      <c r="Z81">
        <f t="shared" si="6"/>
        <v>3</v>
      </c>
      <c r="AC81" s="2">
        <v>450</v>
      </c>
      <c r="AD81" t="str">
        <v>4015</v>
      </c>
      <c r="AE81" s="11">
        <v>5091</v>
      </c>
      <c r="AF81" s="2" t="str">
        <v>2155</v>
      </c>
    </row>
    <row r="82" spans="1:32" x14ac:dyDescent="0.25">
      <c r="A82" s="4">
        <v>1058</v>
      </c>
      <c r="B82" t="s">
        <v>19</v>
      </c>
      <c r="C82">
        <v>2</v>
      </c>
      <c r="D82">
        <v>1</v>
      </c>
      <c r="E82">
        <v>8</v>
      </c>
      <c r="F82" t="s">
        <v>14</v>
      </c>
      <c r="G82">
        <v>5</v>
      </c>
      <c r="I82">
        <v>4</v>
      </c>
      <c r="J82" t="s">
        <v>17</v>
      </c>
      <c r="K82" t="str">
        <f t="shared" si="4"/>
        <v/>
      </c>
      <c r="L82" t="s">
        <v>16</v>
      </c>
      <c r="M82">
        <v>1</v>
      </c>
      <c r="O82" s="6" t="s">
        <v>174</v>
      </c>
      <c r="P82" s="10">
        <v>419</v>
      </c>
      <c r="T82">
        <f t="shared" si="5"/>
        <v>20</v>
      </c>
      <c r="U82" t="s">
        <v>403</v>
      </c>
      <c r="V82" s="4" t="s">
        <v>380</v>
      </c>
      <c r="W82">
        <v>81</v>
      </c>
      <c r="Y82">
        <f>LEN(O80)</f>
        <v>4</v>
      </c>
      <c r="Z82">
        <f t="shared" si="6"/>
        <v>3</v>
      </c>
      <c r="AC82" s="2">
        <v>419</v>
      </c>
      <c r="AD82" t="str">
        <v>4013</v>
      </c>
      <c r="AE82" s="11">
        <v>5094</v>
      </c>
      <c r="AF82" s="2" t="str">
        <v>2158</v>
      </c>
    </row>
    <row r="83" spans="1:32" x14ac:dyDescent="0.25">
      <c r="A83" s="4">
        <v>1058</v>
      </c>
      <c r="B83" t="s">
        <v>19</v>
      </c>
      <c r="C83">
        <v>2</v>
      </c>
      <c r="D83">
        <v>1</v>
      </c>
      <c r="E83">
        <v>7</v>
      </c>
      <c r="F83" t="s">
        <v>14</v>
      </c>
      <c r="G83">
        <v>5</v>
      </c>
      <c r="I83">
        <v>4</v>
      </c>
      <c r="J83" t="s">
        <v>17</v>
      </c>
      <c r="K83" t="str">
        <f t="shared" si="4"/>
        <v/>
      </c>
      <c r="L83" t="s">
        <v>16</v>
      </c>
      <c r="M83">
        <v>1</v>
      </c>
      <c r="O83" s="6" t="s">
        <v>1459</v>
      </c>
      <c r="P83" s="10">
        <v>418</v>
      </c>
      <c r="T83">
        <f t="shared" si="5"/>
        <v>19</v>
      </c>
      <c r="U83" t="s">
        <v>405</v>
      </c>
      <c r="V83" s="4" t="s">
        <v>380</v>
      </c>
      <c r="W83">
        <v>82</v>
      </c>
      <c r="Y83">
        <f>LEN(O81)</f>
        <v>4</v>
      </c>
      <c r="Z83">
        <f t="shared" si="6"/>
        <v>3</v>
      </c>
      <c r="AC83" s="2">
        <v>418</v>
      </c>
      <c r="AD83" t="str">
        <v>4012</v>
      </c>
      <c r="AE83" s="11">
        <v>7122</v>
      </c>
      <c r="AF83" s="2" t="str">
        <v>22</v>
      </c>
    </row>
    <row r="84" spans="1:32" x14ac:dyDescent="0.25">
      <c r="A84" s="4">
        <v>1058</v>
      </c>
      <c r="B84" t="s">
        <v>19</v>
      </c>
      <c r="C84">
        <v>2</v>
      </c>
      <c r="D84">
        <v>1</v>
      </c>
      <c r="E84">
        <v>6</v>
      </c>
      <c r="F84" t="s">
        <v>14</v>
      </c>
      <c r="G84">
        <v>5</v>
      </c>
      <c r="I84">
        <v>4</v>
      </c>
      <c r="J84" t="s">
        <v>17</v>
      </c>
      <c r="K84" t="str">
        <f t="shared" si="4"/>
        <v/>
      </c>
      <c r="L84" t="s">
        <v>16</v>
      </c>
      <c r="M84">
        <v>1</v>
      </c>
      <c r="O84" s="6" t="s">
        <v>529</v>
      </c>
      <c r="P84" s="10">
        <v>343</v>
      </c>
      <c r="T84">
        <f t="shared" si="5"/>
        <v>20</v>
      </c>
      <c r="U84" t="s">
        <v>407</v>
      </c>
      <c r="V84" s="4" t="s">
        <v>380</v>
      </c>
      <c r="W84">
        <v>83</v>
      </c>
      <c r="Y84">
        <f>LEN(O82)</f>
        <v>2</v>
      </c>
      <c r="Z84">
        <f t="shared" si="6"/>
        <v>3</v>
      </c>
      <c r="AC84" s="2">
        <v>343</v>
      </c>
      <c r="AD84" t="str">
        <v>4008</v>
      </c>
      <c r="AE84" s="11">
        <v>7128</v>
      </c>
      <c r="AF84" s="2" t="str">
        <v>2329</v>
      </c>
    </row>
    <row r="85" spans="1:32" x14ac:dyDescent="0.25">
      <c r="A85" s="4">
        <v>1058</v>
      </c>
      <c r="B85" t="s">
        <v>19</v>
      </c>
      <c r="C85">
        <v>2</v>
      </c>
      <c r="D85">
        <v>1</v>
      </c>
      <c r="E85">
        <v>5</v>
      </c>
      <c r="F85" t="s">
        <v>14</v>
      </c>
      <c r="G85">
        <v>5</v>
      </c>
      <c r="I85">
        <v>4</v>
      </c>
      <c r="J85" t="s">
        <v>17</v>
      </c>
      <c r="K85" t="str">
        <f t="shared" si="4"/>
        <v/>
      </c>
      <c r="L85" t="s">
        <v>16</v>
      </c>
      <c r="M85">
        <v>1</v>
      </c>
      <c r="O85" s="6" t="s">
        <v>584</v>
      </c>
      <c r="P85" s="10">
        <v>339</v>
      </c>
      <c r="T85">
        <f t="shared" si="5"/>
        <v>20</v>
      </c>
      <c r="U85" t="s">
        <v>412</v>
      </c>
      <c r="V85" s="4" t="s">
        <v>380</v>
      </c>
      <c r="W85">
        <v>84</v>
      </c>
      <c r="Y85">
        <f>LEN(O83)</f>
        <v>4</v>
      </c>
      <c r="Z85">
        <f t="shared" si="6"/>
        <v>3</v>
      </c>
      <c r="AC85" s="2">
        <v>339</v>
      </c>
      <c r="AD85" t="str">
        <v>4007</v>
      </c>
      <c r="AE85" s="11">
        <v>9040</v>
      </c>
      <c r="AF85" s="2" t="str">
        <v>2351</v>
      </c>
    </row>
    <row r="86" spans="1:32" x14ac:dyDescent="0.25">
      <c r="A86" s="4">
        <v>1058</v>
      </c>
      <c r="B86" t="s">
        <v>19</v>
      </c>
      <c r="C86">
        <v>2</v>
      </c>
      <c r="D86">
        <v>1</v>
      </c>
      <c r="E86">
        <v>8</v>
      </c>
      <c r="F86" t="s">
        <v>14</v>
      </c>
      <c r="G86">
        <v>5</v>
      </c>
      <c r="I86">
        <v>4</v>
      </c>
      <c r="J86" t="s">
        <v>18</v>
      </c>
      <c r="K86" t="str">
        <f t="shared" si="4"/>
        <v/>
      </c>
      <c r="L86" t="s">
        <v>16</v>
      </c>
      <c r="M86">
        <v>1</v>
      </c>
      <c r="O86" s="6" t="s">
        <v>827</v>
      </c>
      <c r="P86" s="10">
        <v>336</v>
      </c>
      <c r="T86">
        <f t="shared" si="5"/>
        <v>20</v>
      </c>
      <c r="U86" t="s">
        <v>414</v>
      </c>
      <c r="V86" s="4" t="s">
        <v>380</v>
      </c>
      <c r="W86">
        <v>85</v>
      </c>
      <c r="Y86">
        <f>LEN(O84)</f>
        <v>4</v>
      </c>
      <c r="Z86">
        <f t="shared" si="6"/>
        <v>3</v>
      </c>
      <c r="AC86" s="2">
        <v>336</v>
      </c>
      <c r="AD86" t="str">
        <v>4006</v>
      </c>
      <c r="AE86" s="11">
        <v>26007</v>
      </c>
      <c r="AF86" s="2" t="str">
        <v>2355</v>
      </c>
    </row>
    <row r="87" spans="1:32" x14ac:dyDescent="0.25">
      <c r="A87" s="4">
        <v>1058</v>
      </c>
      <c r="B87" t="s">
        <v>19</v>
      </c>
      <c r="C87">
        <v>2</v>
      </c>
      <c r="D87">
        <v>1</v>
      </c>
      <c r="E87">
        <v>7</v>
      </c>
      <c r="F87" t="s">
        <v>14</v>
      </c>
      <c r="G87">
        <v>5</v>
      </c>
      <c r="I87">
        <v>4</v>
      </c>
      <c r="J87" t="s">
        <v>18</v>
      </c>
      <c r="K87" t="str">
        <f t="shared" si="4"/>
        <v/>
      </c>
      <c r="L87" t="s">
        <v>16</v>
      </c>
      <c r="M87">
        <v>1</v>
      </c>
      <c r="O87" s="6" t="s">
        <v>658</v>
      </c>
      <c r="P87" s="10">
        <v>314</v>
      </c>
      <c r="T87">
        <f t="shared" si="5"/>
        <v>20</v>
      </c>
      <c r="U87" t="s">
        <v>416</v>
      </c>
      <c r="V87" s="4" t="s">
        <v>380</v>
      </c>
      <c r="W87">
        <v>86</v>
      </c>
      <c r="Y87">
        <f>LEN(O85)</f>
        <v>4</v>
      </c>
      <c r="Z87">
        <f t="shared" si="6"/>
        <v>3</v>
      </c>
      <c r="AC87" s="2">
        <v>314</v>
      </c>
      <c r="AD87" t="str">
        <v>4005</v>
      </c>
      <c r="AE87" s="11">
        <v>26009</v>
      </c>
      <c r="AF87" s="2" t="str">
        <v>2356</v>
      </c>
    </row>
    <row r="88" spans="1:32" x14ac:dyDescent="0.25">
      <c r="A88" s="4">
        <v>1058</v>
      </c>
      <c r="B88" t="s">
        <v>19</v>
      </c>
      <c r="C88">
        <v>2</v>
      </c>
      <c r="D88">
        <v>1</v>
      </c>
      <c r="E88">
        <v>6</v>
      </c>
      <c r="F88" t="s">
        <v>14</v>
      </c>
      <c r="G88">
        <v>5</v>
      </c>
      <c r="I88">
        <v>4</v>
      </c>
      <c r="J88" t="s">
        <v>18</v>
      </c>
      <c r="K88" t="str">
        <f t="shared" si="4"/>
        <v/>
      </c>
      <c r="L88" t="s">
        <v>16</v>
      </c>
      <c r="M88">
        <v>1</v>
      </c>
      <c r="O88" s="6" t="s">
        <v>1019</v>
      </c>
      <c r="P88" s="10">
        <v>313</v>
      </c>
      <c r="T88">
        <f t="shared" si="5"/>
        <v>20</v>
      </c>
      <c r="U88" t="s">
        <v>418</v>
      </c>
      <c r="V88" s="4" t="s">
        <v>380</v>
      </c>
      <c r="W88">
        <v>87</v>
      </c>
      <c r="Y88">
        <f>LEN(O86)</f>
        <v>4</v>
      </c>
      <c r="Z88">
        <f t="shared" si="6"/>
        <v>3</v>
      </c>
      <c r="AC88" s="2">
        <v>313</v>
      </c>
      <c r="AD88" t="str">
        <v>4002</v>
      </c>
      <c r="AE88" s="11">
        <v>26114</v>
      </c>
      <c r="AF88" s="2" t="str">
        <v>2358</v>
      </c>
    </row>
    <row r="89" spans="1:32" x14ac:dyDescent="0.25">
      <c r="A89" s="4">
        <v>1058</v>
      </c>
      <c r="B89" t="s">
        <v>19</v>
      </c>
      <c r="C89">
        <v>2</v>
      </c>
      <c r="D89">
        <v>1</v>
      </c>
      <c r="E89">
        <v>5</v>
      </c>
      <c r="F89" t="s">
        <v>14</v>
      </c>
      <c r="G89">
        <v>5</v>
      </c>
      <c r="I89">
        <v>4</v>
      </c>
      <c r="J89" t="s">
        <v>18</v>
      </c>
      <c r="K89" t="str">
        <f t="shared" si="4"/>
        <v/>
      </c>
      <c r="L89" t="s">
        <v>16</v>
      </c>
      <c r="M89">
        <v>1</v>
      </c>
      <c r="O89" s="6" t="s">
        <v>1491</v>
      </c>
      <c r="P89" s="10">
        <v>312</v>
      </c>
      <c r="T89">
        <f t="shared" si="5"/>
        <v>20</v>
      </c>
      <c r="U89" t="s">
        <v>423</v>
      </c>
      <c r="V89" s="4" t="s">
        <v>380</v>
      </c>
      <c r="W89">
        <v>88</v>
      </c>
      <c r="Y89">
        <f>LEN(O87)</f>
        <v>4</v>
      </c>
      <c r="Z89">
        <f t="shared" si="6"/>
        <v>3</v>
      </c>
      <c r="AC89" s="2">
        <v>312</v>
      </c>
      <c r="AD89" t="str">
        <v>4001</v>
      </c>
      <c r="AE89" s="11">
        <v>26164</v>
      </c>
      <c r="AF89" s="2" t="str">
        <v>239</v>
      </c>
    </row>
    <row r="90" spans="1:32" x14ac:dyDescent="0.25">
      <c r="A90" s="4">
        <v>1058</v>
      </c>
      <c r="B90" t="s">
        <v>19</v>
      </c>
      <c r="C90">
        <v>2</v>
      </c>
      <c r="D90">
        <v>1</v>
      </c>
      <c r="E90">
        <v>12</v>
      </c>
      <c r="F90" t="s">
        <v>14</v>
      </c>
      <c r="G90">
        <v>5.5</v>
      </c>
      <c r="I90">
        <v>4</v>
      </c>
      <c r="J90" t="s">
        <v>17</v>
      </c>
      <c r="K90" t="str">
        <f t="shared" si="4"/>
        <v/>
      </c>
      <c r="L90" t="s">
        <v>16</v>
      </c>
      <c r="M90">
        <v>1</v>
      </c>
      <c r="O90" s="6" t="s">
        <v>1022</v>
      </c>
      <c r="P90" s="10">
        <v>132</v>
      </c>
      <c r="T90">
        <f t="shared" si="5"/>
        <v>20</v>
      </c>
      <c r="U90" t="s">
        <v>425</v>
      </c>
      <c r="V90" s="4" t="s">
        <v>380</v>
      </c>
      <c r="W90">
        <v>89</v>
      </c>
      <c r="Y90">
        <f>LEN(O88)</f>
        <v>3</v>
      </c>
      <c r="Z90">
        <f t="shared" si="6"/>
        <v>3</v>
      </c>
      <c r="AC90" s="2">
        <v>132</v>
      </c>
      <c r="AD90" t="str">
        <v>39</v>
      </c>
      <c r="AE90" s="11">
        <v>26312</v>
      </c>
      <c r="AF90" s="2" t="str">
        <v>2398</v>
      </c>
    </row>
    <row r="91" spans="1:32" x14ac:dyDescent="0.25">
      <c r="A91" s="4">
        <v>1058</v>
      </c>
      <c r="B91" t="s">
        <v>19</v>
      </c>
      <c r="C91">
        <v>2</v>
      </c>
      <c r="D91">
        <v>1</v>
      </c>
      <c r="E91">
        <v>11</v>
      </c>
      <c r="F91" t="s">
        <v>14</v>
      </c>
      <c r="G91">
        <v>5.5</v>
      </c>
      <c r="I91">
        <v>4</v>
      </c>
      <c r="J91" t="s">
        <v>17</v>
      </c>
      <c r="K91" t="str">
        <f t="shared" si="4"/>
        <v/>
      </c>
      <c r="L91" t="s">
        <v>16</v>
      </c>
      <c r="M91">
        <v>1</v>
      </c>
      <c r="O91" s="6" t="s">
        <v>1036</v>
      </c>
      <c r="P91" s="10">
        <v>129</v>
      </c>
      <c r="T91">
        <f t="shared" si="5"/>
        <v>20</v>
      </c>
      <c r="U91" t="s">
        <v>427</v>
      </c>
      <c r="V91" s="4" t="s">
        <v>380</v>
      </c>
      <c r="W91">
        <v>90</v>
      </c>
      <c r="Y91">
        <f>LEN(O89)</f>
        <v>4</v>
      </c>
      <c r="Z91">
        <f t="shared" si="6"/>
        <v>3</v>
      </c>
      <c r="AC91" s="2">
        <v>129</v>
      </c>
      <c r="AD91" t="str">
        <v>3811</v>
      </c>
      <c r="AE91" s="11">
        <v>26314</v>
      </c>
      <c r="AF91" s="2" t="str">
        <v>240</v>
      </c>
    </row>
    <row r="92" spans="1:32" x14ac:dyDescent="0.25">
      <c r="A92" s="4">
        <v>1058</v>
      </c>
      <c r="B92" t="s">
        <v>19</v>
      </c>
      <c r="C92">
        <v>2</v>
      </c>
      <c r="D92">
        <v>1</v>
      </c>
      <c r="E92">
        <v>10</v>
      </c>
      <c r="F92" t="s">
        <v>14</v>
      </c>
      <c r="G92">
        <v>5.5</v>
      </c>
      <c r="I92">
        <v>4</v>
      </c>
      <c r="J92" t="s">
        <v>17</v>
      </c>
      <c r="K92" t="str">
        <f t="shared" si="4"/>
        <v/>
      </c>
      <c r="L92" t="s">
        <v>16</v>
      </c>
      <c r="M92">
        <v>1</v>
      </c>
      <c r="O92" s="6" t="s">
        <v>1043</v>
      </c>
      <c r="P92" s="10">
        <v>124</v>
      </c>
      <c r="T92">
        <f t="shared" si="5"/>
        <v>20</v>
      </c>
      <c r="U92" t="s">
        <v>429</v>
      </c>
      <c r="V92" s="4" t="s">
        <v>430</v>
      </c>
      <c r="W92">
        <v>91</v>
      </c>
      <c r="Y92">
        <f>LEN(O90)</f>
        <v>3</v>
      </c>
      <c r="Z92">
        <f t="shared" si="6"/>
        <v>3</v>
      </c>
      <c r="AC92" s="2">
        <v>124</v>
      </c>
      <c r="AD92" t="str">
        <v>38</v>
      </c>
      <c r="AE92" s="11" t="str">
        <v>08</v>
      </c>
      <c r="AF92" s="2" t="str">
        <v>243</v>
      </c>
    </row>
    <row r="93" spans="1:32" x14ac:dyDescent="0.25">
      <c r="A93" s="4">
        <v>1058</v>
      </c>
      <c r="B93" t="s">
        <v>19</v>
      </c>
      <c r="C93">
        <v>2</v>
      </c>
      <c r="D93">
        <v>1</v>
      </c>
      <c r="E93">
        <v>9</v>
      </c>
      <c r="F93" t="s">
        <v>14</v>
      </c>
      <c r="G93">
        <v>5.5</v>
      </c>
      <c r="I93">
        <v>4</v>
      </c>
      <c r="J93" t="s">
        <v>17</v>
      </c>
      <c r="K93" t="str">
        <f t="shared" si="4"/>
        <v/>
      </c>
      <c r="L93" t="s">
        <v>16</v>
      </c>
      <c r="M93">
        <v>1</v>
      </c>
      <c r="O93" s="6" t="s">
        <v>1055</v>
      </c>
      <c r="P93" s="10">
        <v>62</v>
      </c>
      <c r="T93">
        <f t="shared" si="5"/>
        <v>20</v>
      </c>
      <c r="U93" t="s">
        <v>435</v>
      </c>
      <c r="V93" s="4" t="s">
        <v>430</v>
      </c>
      <c r="W93">
        <v>92</v>
      </c>
      <c r="Y93">
        <f>LEN(O91)</f>
        <v>3</v>
      </c>
      <c r="Z93">
        <f t="shared" si="6"/>
        <v>2</v>
      </c>
      <c r="AC93" s="2">
        <v>62</v>
      </c>
      <c r="AD93" t="str">
        <v>376</v>
      </c>
      <c r="AE93" s="11" t="str">
        <v>11</v>
      </c>
      <c r="AF93" s="2" t="str">
        <v>245</v>
      </c>
    </row>
    <row r="94" spans="1:32" x14ac:dyDescent="0.25">
      <c r="A94" s="4">
        <v>1058</v>
      </c>
      <c r="B94" t="s">
        <v>19</v>
      </c>
      <c r="C94">
        <v>2</v>
      </c>
      <c r="D94">
        <v>1</v>
      </c>
      <c r="E94">
        <v>16</v>
      </c>
      <c r="F94" t="s">
        <v>14</v>
      </c>
      <c r="G94">
        <v>6.5</v>
      </c>
      <c r="I94">
        <v>4</v>
      </c>
      <c r="J94" t="s">
        <v>17</v>
      </c>
      <c r="K94" t="str">
        <f t="shared" si="4"/>
        <v/>
      </c>
      <c r="L94" t="s">
        <v>16</v>
      </c>
      <c r="M94">
        <v>2</v>
      </c>
      <c r="O94" s="6" t="s">
        <v>1066</v>
      </c>
      <c r="P94" s="10">
        <v>57</v>
      </c>
      <c r="T94">
        <f t="shared" si="5"/>
        <v>20</v>
      </c>
      <c r="U94" t="s">
        <v>438</v>
      </c>
      <c r="V94" s="4" t="s">
        <v>430</v>
      </c>
      <c r="W94">
        <v>93</v>
      </c>
      <c r="Y94">
        <f>LEN(O92)</f>
        <v>3</v>
      </c>
      <c r="Z94">
        <f t="shared" si="6"/>
        <v>2</v>
      </c>
      <c r="AC94" s="2">
        <v>57</v>
      </c>
      <c r="AD94" t="str">
        <v>374</v>
      </c>
      <c r="AE94" s="11" t="str">
        <v>3600</v>
      </c>
      <c r="AF94" s="2" t="str">
        <v>247</v>
      </c>
    </row>
    <row r="95" spans="1:32" x14ac:dyDescent="0.25">
      <c r="A95" s="4">
        <v>1058</v>
      </c>
      <c r="B95" t="s">
        <v>19</v>
      </c>
      <c r="C95">
        <v>2</v>
      </c>
      <c r="D95">
        <v>1</v>
      </c>
      <c r="E95">
        <v>15</v>
      </c>
      <c r="F95" t="s">
        <v>14</v>
      </c>
      <c r="G95">
        <v>6.5</v>
      </c>
      <c r="I95">
        <v>4</v>
      </c>
      <c r="J95" t="s">
        <v>17</v>
      </c>
      <c r="K95" t="str">
        <f t="shared" si="4"/>
        <v/>
      </c>
      <c r="L95" t="s">
        <v>16</v>
      </c>
      <c r="M95">
        <v>2</v>
      </c>
      <c r="O95" s="6" t="s">
        <v>1069</v>
      </c>
      <c r="T95">
        <f t="shared" si="5"/>
        <v>20</v>
      </c>
      <c r="U95" t="s">
        <v>441</v>
      </c>
      <c r="V95" s="4" t="s">
        <v>430</v>
      </c>
      <c r="W95">
        <v>94</v>
      </c>
      <c r="Y95">
        <f>LEN(O93)</f>
        <v>3</v>
      </c>
      <c r="Z95">
        <f t="shared" si="6"/>
        <v>0</v>
      </c>
      <c r="AC95" s="2">
        <v>0</v>
      </c>
      <c r="AD95" t="str">
        <v>3601</v>
      </c>
      <c r="AE95" s="11">
        <v>0</v>
      </c>
      <c r="AF95" s="2" t="str">
        <v>249</v>
      </c>
    </row>
    <row r="96" spans="1:32" x14ac:dyDescent="0.25">
      <c r="A96" s="4">
        <v>1058</v>
      </c>
      <c r="B96" t="s">
        <v>19</v>
      </c>
      <c r="C96">
        <v>2</v>
      </c>
      <c r="D96">
        <v>1</v>
      </c>
      <c r="E96">
        <v>14</v>
      </c>
      <c r="F96" t="s">
        <v>14</v>
      </c>
      <c r="G96">
        <v>6.5</v>
      </c>
      <c r="I96">
        <v>4</v>
      </c>
      <c r="J96" t="s">
        <v>17</v>
      </c>
      <c r="K96" t="str">
        <f t="shared" si="4"/>
        <v/>
      </c>
      <c r="L96" t="s">
        <v>16</v>
      </c>
      <c r="M96">
        <v>2</v>
      </c>
      <c r="O96" s="6" t="s">
        <v>1868</v>
      </c>
      <c r="T96">
        <f t="shared" si="5"/>
        <v>20</v>
      </c>
      <c r="U96" t="s">
        <v>444</v>
      </c>
      <c r="V96" s="4" t="s">
        <v>430</v>
      </c>
      <c r="W96">
        <v>95</v>
      </c>
      <c r="Y96">
        <f>LEN(O94)</f>
        <v>3</v>
      </c>
      <c r="Z96">
        <f t="shared" si="6"/>
        <v>0</v>
      </c>
      <c r="AD96" t="str">
        <v>3600</v>
      </c>
      <c r="AF96" s="2" t="str">
        <v>250</v>
      </c>
    </row>
    <row r="97" spans="1:32" x14ac:dyDescent="0.25">
      <c r="A97" s="4">
        <v>1058</v>
      </c>
      <c r="B97" t="s">
        <v>19</v>
      </c>
      <c r="C97">
        <v>2</v>
      </c>
      <c r="D97">
        <v>1</v>
      </c>
      <c r="E97">
        <v>13</v>
      </c>
      <c r="F97" t="s">
        <v>14</v>
      </c>
      <c r="G97">
        <v>6.5</v>
      </c>
      <c r="I97">
        <v>4</v>
      </c>
      <c r="J97" t="s">
        <v>17</v>
      </c>
      <c r="K97" t="str">
        <f t="shared" si="4"/>
        <v/>
      </c>
      <c r="L97" t="s">
        <v>16</v>
      </c>
      <c r="M97">
        <v>2</v>
      </c>
      <c r="O97" s="6" t="s">
        <v>1481</v>
      </c>
      <c r="T97">
        <f t="shared" si="5"/>
        <v>20</v>
      </c>
      <c r="U97" t="s">
        <v>450</v>
      </c>
      <c r="V97" s="4" t="s">
        <v>430</v>
      </c>
      <c r="W97">
        <v>96</v>
      </c>
      <c r="Y97">
        <f>LEN(O95)</f>
        <v>3</v>
      </c>
      <c r="Z97">
        <f t="shared" si="6"/>
        <v>0</v>
      </c>
      <c r="AD97" t="str">
        <v>352</v>
      </c>
      <c r="AF97" s="2" t="str">
        <v>2528</v>
      </c>
    </row>
    <row r="98" spans="1:32" x14ac:dyDescent="0.25">
      <c r="A98" s="4">
        <v>1058</v>
      </c>
      <c r="B98" t="s">
        <v>19</v>
      </c>
      <c r="C98">
        <v>2</v>
      </c>
      <c r="D98">
        <v>1</v>
      </c>
      <c r="E98">
        <v>16</v>
      </c>
      <c r="F98" t="s">
        <v>14</v>
      </c>
      <c r="G98">
        <v>6.5</v>
      </c>
      <c r="I98">
        <v>4</v>
      </c>
      <c r="J98" t="s">
        <v>20</v>
      </c>
      <c r="K98" t="str">
        <f t="shared" si="4"/>
        <v/>
      </c>
      <c r="L98" t="s">
        <v>16</v>
      </c>
      <c r="M98">
        <v>2</v>
      </c>
      <c r="O98" s="6" t="s">
        <v>3393</v>
      </c>
      <c r="T98">
        <f t="shared" si="5"/>
        <v>20</v>
      </c>
      <c r="U98" t="s">
        <v>453</v>
      </c>
      <c r="V98" s="4" t="s">
        <v>430</v>
      </c>
      <c r="W98">
        <v>97</v>
      </c>
      <c r="Y98">
        <f>LEN(O96)</f>
        <v>4</v>
      </c>
      <c r="Z98">
        <f t="shared" si="6"/>
        <v>0</v>
      </c>
      <c r="AD98" t="str">
        <v>350</v>
      </c>
      <c r="AF98" s="2" t="str">
        <v>2529</v>
      </c>
    </row>
    <row r="99" spans="1:32" x14ac:dyDescent="0.25">
      <c r="A99" s="4">
        <v>1058</v>
      </c>
      <c r="B99" t="s">
        <v>19</v>
      </c>
      <c r="C99">
        <v>2</v>
      </c>
      <c r="D99">
        <v>1</v>
      </c>
      <c r="E99">
        <v>15</v>
      </c>
      <c r="F99" t="s">
        <v>14</v>
      </c>
      <c r="G99">
        <v>6.5</v>
      </c>
      <c r="I99">
        <v>4</v>
      </c>
      <c r="J99" t="s">
        <v>20</v>
      </c>
      <c r="K99" t="str">
        <f t="shared" si="4"/>
        <v/>
      </c>
      <c r="L99" t="s">
        <v>16</v>
      </c>
      <c r="M99">
        <v>2</v>
      </c>
      <c r="O99" s="6" t="s">
        <v>3860</v>
      </c>
      <c r="T99">
        <f t="shared" si="5"/>
        <v>20</v>
      </c>
      <c r="U99" t="s">
        <v>456</v>
      </c>
      <c r="V99" s="4" t="s">
        <v>430</v>
      </c>
      <c r="W99">
        <v>98</v>
      </c>
      <c r="Y99">
        <f>LEN(O97)</f>
        <v>4</v>
      </c>
      <c r="Z99">
        <f t="shared" si="6"/>
        <v>0</v>
      </c>
      <c r="AD99" t="str">
        <v>348</v>
      </c>
      <c r="AF99" s="2" t="str">
        <v>2539</v>
      </c>
    </row>
    <row r="100" spans="1:32" x14ac:dyDescent="0.25">
      <c r="A100" s="4">
        <v>1058</v>
      </c>
      <c r="B100" t="s">
        <v>19</v>
      </c>
      <c r="C100">
        <v>2</v>
      </c>
      <c r="D100">
        <v>1</v>
      </c>
      <c r="E100">
        <v>14</v>
      </c>
      <c r="F100" t="s">
        <v>14</v>
      </c>
      <c r="G100">
        <v>6.5</v>
      </c>
      <c r="I100">
        <v>4</v>
      </c>
      <c r="J100" t="s">
        <v>20</v>
      </c>
      <c r="K100" t="str">
        <f t="shared" si="4"/>
        <v/>
      </c>
      <c r="L100" t="s">
        <v>16</v>
      </c>
      <c r="M100">
        <v>2</v>
      </c>
      <c r="O100" s="6" t="s">
        <v>3871</v>
      </c>
      <c r="T100">
        <f t="shared" si="5"/>
        <v>20</v>
      </c>
      <c r="U100" t="s">
        <v>459</v>
      </c>
      <c r="V100" s="4" t="s">
        <v>430</v>
      </c>
      <c r="W100">
        <v>99</v>
      </c>
      <c r="Y100">
        <f>LEN(O98)</f>
        <v>4</v>
      </c>
      <c r="Z100">
        <f t="shared" si="6"/>
        <v>0</v>
      </c>
      <c r="AD100" t="str">
        <v>347</v>
      </c>
      <c r="AF100" s="2" t="str">
        <v>2553</v>
      </c>
    </row>
    <row r="101" spans="1:32" x14ac:dyDescent="0.25">
      <c r="A101" s="4">
        <v>1058</v>
      </c>
      <c r="B101" t="s">
        <v>19</v>
      </c>
      <c r="C101">
        <v>2</v>
      </c>
      <c r="D101">
        <v>1</v>
      </c>
      <c r="E101">
        <v>13</v>
      </c>
      <c r="F101" t="s">
        <v>14</v>
      </c>
      <c r="G101">
        <v>6.5</v>
      </c>
      <c r="I101">
        <v>4</v>
      </c>
      <c r="J101" t="s">
        <v>20</v>
      </c>
      <c r="K101" t="str">
        <f t="shared" si="4"/>
        <v/>
      </c>
      <c r="L101" t="s">
        <v>16</v>
      </c>
      <c r="M101">
        <v>2</v>
      </c>
      <c r="O101" s="6" t="s">
        <v>1117</v>
      </c>
      <c r="T101">
        <f t="shared" si="5"/>
        <v>20</v>
      </c>
      <c r="U101" t="s">
        <v>465</v>
      </c>
      <c r="V101" s="4" t="s">
        <v>430</v>
      </c>
      <c r="W101">
        <v>100</v>
      </c>
      <c r="Y101">
        <f>LEN(O99)</f>
        <v>4</v>
      </c>
      <c r="Z101">
        <f t="shared" si="6"/>
        <v>0</v>
      </c>
      <c r="AD101" t="str">
        <v>3455</v>
      </c>
      <c r="AF101" s="2" t="str">
        <v>2554</v>
      </c>
    </row>
    <row r="102" spans="1:32" x14ac:dyDescent="0.25">
      <c r="A102" s="4">
        <v>1050</v>
      </c>
      <c r="B102" t="s">
        <v>13</v>
      </c>
      <c r="C102">
        <v>2</v>
      </c>
      <c r="D102">
        <v>1</v>
      </c>
      <c r="E102">
        <v>4</v>
      </c>
      <c r="F102" t="s">
        <v>14</v>
      </c>
      <c r="G102">
        <v>4.25</v>
      </c>
      <c r="I102">
        <v>4</v>
      </c>
      <c r="J102" t="s">
        <v>17</v>
      </c>
      <c r="K102" t="str">
        <f t="shared" si="4"/>
        <v/>
      </c>
      <c r="L102" t="s">
        <v>16</v>
      </c>
      <c r="M102">
        <v>1</v>
      </c>
      <c r="O102" s="6" t="s">
        <v>3183</v>
      </c>
      <c r="T102">
        <f t="shared" si="5"/>
        <v>20</v>
      </c>
      <c r="U102" t="s">
        <v>468</v>
      </c>
      <c r="V102" s="4" t="s">
        <v>430</v>
      </c>
      <c r="W102">
        <v>101</v>
      </c>
      <c r="Y102">
        <f>LEN(O100)</f>
        <v>4</v>
      </c>
      <c r="Z102">
        <f t="shared" si="6"/>
        <v>0</v>
      </c>
      <c r="AD102" t="str">
        <v>3452</v>
      </c>
      <c r="AF102" s="2" t="str">
        <v>260</v>
      </c>
    </row>
    <row r="103" spans="1:32" x14ac:dyDescent="0.25">
      <c r="A103" s="4">
        <v>1050</v>
      </c>
      <c r="B103" t="s">
        <v>13</v>
      </c>
      <c r="C103">
        <v>2</v>
      </c>
      <c r="D103">
        <v>1</v>
      </c>
      <c r="E103">
        <v>3</v>
      </c>
      <c r="F103" t="s">
        <v>14</v>
      </c>
      <c r="G103">
        <v>4.25</v>
      </c>
      <c r="I103">
        <v>4</v>
      </c>
      <c r="J103" t="s">
        <v>17</v>
      </c>
      <c r="K103" t="str">
        <f t="shared" si="4"/>
        <v/>
      </c>
      <c r="L103" t="s">
        <v>16</v>
      </c>
      <c r="M103">
        <v>1</v>
      </c>
      <c r="O103" s="6" t="s">
        <v>3186</v>
      </c>
      <c r="T103">
        <f t="shared" si="5"/>
        <v>20</v>
      </c>
      <c r="U103" t="s">
        <v>471</v>
      </c>
      <c r="V103" s="4" t="s">
        <v>430</v>
      </c>
      <c r="W103">
        <v>102</v>
      </c>
      <c r="Y103">
        <f>LEN(O101)</f>
        <v>3</v>
      </c>
      <c r="Z103">
        <f t="shared" si="6"/>
        <v>0</v>
      </c>
      <c r="AD103" t="str">
        <v>3451</v>
      </c>
      <c r="AF103" s="2" t="str">
        <v>26007</v>
      </c>
    </row>
    <row r="104" spans="1:32" x14ac:dyDescent="0.25">
      <c r="A104" s="4">
        <v>1050</v>
      </c>
      <c r="B104" t="s">
        <v>13</v>
      </c>
      <c r="C104">
        <v>2</v>
      </c>
      <c r="D104">
        <v>1</v>
      </c>
      <c r="E104">
        <v>2</v>
      </c>
      <c r="F104" t="s">
        <v>14</v>
      </c>
      <c r="G104">
        <v>4.25</v>
      </c>
      <c r="I104">
        <v>4</v>
      </c>
      <c r="J104" t="s">
        <v>17</v>
      </c>
      <c r="K104" t="str">
        <f t="shared" si="4"/>
        <v/>
      </c>
      <c r="L104" t="s">
        <v>16</v>
      </c>
      <c r="M104">
        <v>1</v>
      </c>
      <c r="O104" s="6" t="s">
        <v>3190</v>
      </c>
      <c r="T104">
        <f t="shared" si="5"/>
        <v>20</v>
      </c>
      <c r="U104" t="s">
        <v>474</v>
      </c>
      <c r="V104" s="4" t="s">
        <v>430</v>
      </c>
      <c r="W104">
        <v>103</v>
      </c>
      <c r="Y104">
        <f>LEN(O102)</f>
        <v>5</v>
      </c>
      <c r="Z104">
        <f t="shared" si="6"/>
        <v>0</v>
      </c>
      <c r="AD104" t="str">
        <v>345</v>
      </c>
      <c r="AF104" s="2" t="str">
        <v>26008</v>
      </c>
    </row>
    <row r="105" spans="1:32" x14ac:dyDescent="0.25">
      <c r="A105" s="4">
        <v>1050</v>
      </c>
      <c r="B105" t="s">
        <v>13</v>
      </c>
      <c r="C105">
        <v>2</v>
      </c>
      <c r="D105">
        <v>1</v>
      </c>
      <c r="E105">
        <v>1</v>
      </c>
      <c r="F105" t="s">
        <v>14</v>
      </c>
      <c r="G105">
        <v>4.25</v>
      </c>
      <c r="I105">
        <v>4</v>
      </c>
      <c r="J105" t="s">
        <v>17</v>
      </c>
      <c r="K105" t="str">
        <f t="shared" si="4"/>
        <v/>
      </c>
      <c r="L105" t="s">
        <v>16</v>
      </c>
      <c r="M105">
        <v>1</v>
      </c>
      <c r="O105" s="6" t="s">
        <v>3374</v>
      </c>
      <c r="T105">
        <f t="shared" si="5"/>
        <v>20</v>
      </c>
      <c r="U105" t="s">
        <v>480</v>
      </c>
      <c r="V105" s="4" t="s">
        <v>430</v>
      </c>
      <c r="W105">
        <v>104</v>
      </c>
      <c r="Y105">
        <f>LEN(O103)</f>
        <v>5</v>
      </c>
      <c r="Z105">
        <f t="shared" si="6"/>
        <v>0</v>
      </c>
      <c r="AD105" t="str">
        <v>3439</v>
      </c>
      <c r="AF105" s="2" t="str">
        <v>26009</v>
      </c>
    </row>
    <row r="106" spans="1:32" x14ac:dyDescent="0.25">
      <c r="A106" s="4">
        <v>1050</v>
      </c>
      <c r="B106" t="s">
        <v>13</v>
      </c>
      <c r="C106">
        <v>2</v>
      </c>
      <c r="D106">
        <v>1</v>
      </c>
      <c r="E106">
        <v>4</v>
      </c>
      <c r="F106" t="s">
        <v>14</v>
      </c>
      <c r="G106">
        <v>4.25</v>
      </c>
      <c r="I106">
        <v>4</v>
      </c>
      <c r="J106" t="s">
        <v>20</v>
      </c>
      <c r="K106" t="str">
        <f t="shared" si="4"/>
        <v/>
      </c>
      <c r="L106" t="s">
        <v>16</v>
      </c>
      <c r="M106">
        <v>2</v>
      </c>
      <c r="O106" s="6" t="s">
        <v>1121</v>
      </c>
      <c r="T106">
        <f t="shared" si="5"/>
        <v>20</v>
      </c>
      <c r="U106" t="s">
        <v>483</v>
      </c>
      <c r="V106" s="4" t="s">
        <v>430</v>
      </c>
      <c r="W106">
        <v>105</v>
      </c>
      <c r="Y106">
        <f>LEN(O104)</f>
        <v>5</v>
      </c>
      <c r="Z106">
        <f t="shared" si="6"/>
        <v>0</v>
      </c>
      <c r="AD106" t="str">
        <v>3438</v>
      </c>
      <c r="AF106" s="2" t="str">
        <v>2605</v>
      </c>
    </row>
    <row r="107" spans="1:32" x14ac:dyDescent="0.25">
      <c r="A107" s="4">
        <v>1050</v>
      </c>
      <c r="B107" t="s">
        <v>13</v>
      </c>
      <c r="C107">
        <v>2</v>
      </c>
      <c r="D107">
        <v>1</v>
      </c>
      <c r="E107">
        <v>3</v>
      </c>
      <c r="F107" t="s">
        <v>14</v>
      </c>
      <c r="G107">
        <v>4.25</v>
      </c>
      <c r="I107">
        <v>4</v>
      </c>
      <c r="J107" t="s">
        <v>20</v>
      </c>
      <c r="K107" t="str">
        <f t="shared" si="4"/>
        <v/>
      </c>
      <c r="L107" t="s">
        <v>16</v>
      </c>
      <c r="M107">
        <v>2</v>
      </c>
      <c r="O107" s="6" t="s">
        <v>3194</v>
      </c>
      <c r="T107">
        <f t="shared" si="5"/>
        <v>20</v>
      </c>
      <c r="U107" t="s">
        <v>486</v>
      </c>
      <c r="V107" s="4" t="s">
        <v>430</v>
      </c>
      <c r="W107">
        <v>106</v>
      </c>
      <c r="Y107">
        <f>LEN(O105)</f>
        <v>4</v>
      </c>
      <c r="Z107">
        <f t="shared" si="6"/>
        <v>0</v>
      </c>
      <c r="AD107" t="str">
        <v>3437</v>
      </c>
      <c r="AF107" s="2" t="str">
        <v>261</v>
      </c>
    </row>
    <row r="108" spans="1:32" x14ac:dyDescent="0.25">
      <c r="A108" s="4">
        <v>1050</v>
      </c>
      <c r="B108" t="s">
        <v>13</v>
      </c>
      <c r="C108">
        <v>2</v>
      </c>
      <c r="D108">
        <v>1</v>
      </c>
      <c r="E108">
        <v>2</v>
      </c>
      <c r="F108" t="s">
        <v>14</v>
      </c>
      <c r="G108">
        <v>4.25</v>
      </c>
      <c r="I108">
        <v>4</v>
      </c>
      <c r="J108" t="s">
        <v>20</v>
      </c>
      <c r="K108" t="str">
        <f t="shared" si="4"/>
        <v/>
      </c>
      <c r="L108" t="s">
        <v>16</v>
      </c>
      <c r="M108">
        <v>2</v>
      </c>
      <c r="O108" s="6" t="s">
        <v>3759</v>
      </c>
      <c r="T108">
        <f t="shared" si="5"/>
        <v>20</v>
      </c>
      <c r="U108" t="s">
        <v>489</v>
      </c>
      <c r="V108" s="4" t="s">
        <v>490</v>
      </c>
      <c r="W108">
        <v>107</v>
      </c>
      <c r="Y108">
        <f>LEN(O106)</f>
        <v>3</v>
      </c>
      <c r="Z108">
        <f t="shared" si="6"/>
        <v>0</v>
      </c>
      <c r="AD108" t="str">
        <v>3436</v>
      </c>
      <c r="AF108" s="2" t="str">
        <v>26114</v>
      </c>
    </row>
    <row r="109" spans="1:32" x14ac:dyDescent="0.25">
      <c r="A109" s="4">
        <v>1050</v>
      </c>
      <c r="B109" t="s">
        <v>13</v>
      </c>
      <c r="C109">
        <v>2</v>
      </c>
      <c r="D109">
        <v>1</v>
      </c>
      <c r="E109">
        <v>1</v>
      </c>
      <c r="F109" t="s">
        <v>14</v>
      </c>
      <c r="G109">
        <v>4.25</v>
      </c>
      <c r="I109">
        <v>4</v>
      </c>
      <c r="J109" t="s">
        <v>20</v>
      </c>
      <c r="K109" t="str">
        <f t="shared" si="4"/>
        <v/>
      </c>
      <c r="L109" t="s">
        <v>16</v>
      </c>
      <c r="M109">
        <v>2</v>
      </c>
      <c r="O109" s="6" t="s">
        <v>3507</v>
      </c>
      <c r="T109">
        <f t="shared" si="5"/>
        <v>20</v>
      </c>
      <c r="U109" t="s">
        <v>498</v>
      </c>
      <c r="V109" s="4" t="s">
        <v>490</v>
      </c>
      <c r="W109">
        <v>108</v>
      </c>
      <c r="Y109">
        <f>LEN(O107)</f>
        <v>5</v>
      </c>
      <c r="Z109">
        <f t="shared" si="6"/>
        <v>0</v>
      </c>
      <c r="AD109" t="str">
        <v>3434</v>
      </c>
      <c r="AF109" s="2" t="str">
        <v>2612</v>
      </c>
    </row>
    <row r="110" spans="1:32" x14ac:dyDescent="0.25">
      <c r="A110" s="4">
        <v>1050</v>
      </c>
      <c r="B110" t="s">
        <v>13</v>
      </c>
      <c r="C110">
        <v>2</v>
      </c>
      <c r="D110">
        <v>1</v>
      </c>
      <c r="E110">
        <v>8</v>
      </c>
      <c r="F110" t="s">
        <v>14</v>
      </c>
      <c r="G110">
        <v>4.8</v>
      </c>
      <c r="I110">
        <v>4</v>
      </c>
      <c r="J110" t="s">
        <v>15</v>
      </c>
      <c r="K110" t="str">
        <f t="shared" si="4"/>
        <v/>
      </c>
      <c r="L110" t="s">
        <v>16</v>
      </c>
      <c r="M110">
        <v>1</v>
      </c>
      <c r="O110" s="6" t="s">
        <v>3199</v>
      </c>
      <c r="T110">
        <f t="shared" si="5"/>
        <v>20</v>
      </c>
      <c r="U110" t="s">
        <v>501</v>
      </c>
      <c r="V110" s="4" t="s">
        <v>490</v>
      </c>
      <c r="W110">
        <v>109</v>
      </c>
      <c r="Y110">
        <f>LEN(O108)</f>
        <v>4</v>
      </c>
      <c r="Z110">
        <f t="shared" si="6"/>
        <v>0</v>
      </c>
      <c r="AD110" t="str">
        <v>3433</v>
      </c>
      <c r="AF110" s="2" t="str">
        <v>2613</v>
      </c>
    </row>
    <row r="111" spans="1:32" x14ac:dyDescent="0.25">
      <c r="A111" s="4">
        <v>1050</v>
      </c>
      <c r="B111" t="s">
        <v>13</v>
      </c>
      <c r="C111">
        <v>2</v>
      </c>
      <c r="D111">
        <v>1</v>
      </c>
      <c r="E111">
        <v>7</v>
      </c>
      <c r="F111" t="s">
        <v>14</v>
      </c>
      <c r="G111">
        <v>4.8</v>
      </c>
      <c r="I111">
        <v>4</v>
      </c>
      <c r="J111" t="s">
        <v>15</v>
      </c>
      <c r="K111" t="str">
        <f t="shared" si="4"/>
        <v/>
      </c>
      <c r="L111" t="s">
        <v>16</v>
      </c>
      <c r="M111">
        <v>1</v>
      </c>
      <c r="O111" s="6" t="s">
        <v>3202</v>
      </c>
      <c r="T111">
        <f t="shared" si="5"/>
        <v>19</v>
      </c>
      <c r="U111" t="s">
        <v>504</v>
      </c>
      <c r="V111" s="4" t="s">
        <v>490</v>
      </c>
      <c r="W111">
        <v>110</v>
      </c>
      <c r="Y111">
        <f>LEN(O109)</f>
        <v>4</v>
      </c>
      <c r="Z111">
        <f t="shared" si="6"/>
        <v>0</v>
      </c>
      <c r="AD111" t="str">
        <v>3432</v>
      </c>
      <c r="AF111" s="2" t="str">
        <v>26164</v>
      </c>
    </row>
    <row r="112" spans="1:32" x14ac:dyDescent="0.25">
      <c r="A112" s="4">
        <v>1050</v>
      </c>
      <c r="B112" t="s">
        <v>13</v>
      </c>
      <c r="C112">
        <v>2</v>
      </c>
      <c r="D112">
        <v>1</v>
      </c>
      <c r="E112">
        <v>6</v>
      </c>
      <c r="F112" t="s">
        <v>14</v>
      </c>
      <c r="G112">
        <v>4.8</v>
      </c>
      <c r="I112">
        <v>4</v>
      </c>
      <c r="J112" t="s">
        <v>15</v>
      </c>
      <c r="K112" t="str">
        <f t="shared" si="4"/>
        <v/>
      </c>
      <c r="L112" t="s">
        <v>16</v>
      </c>
      <c r="M112">
        <v>1</v>
      </c>
      <c r="O112" s="6" t="s">
        <v>3206</v>
      </c>
      <c r="T112">
        <f t="shared" si="5"/>
        <v>20</v>
      </c>
      <c r="U112" t="s">
        <v>510</v>
      </c>
      <c r="V112" s="4" t="s">
        <v>490</v>
      </c>
      <c r="W112">
        <v>111</v>
      </c>
      <c r="Y112">
        <f>LEN(O110)</f>
        <v>5</v>
      </c>
      <c r="Z112">
        <f t="shared" si="6"/>
        <v>0</v>
      </c>
      <c r="AD112" t="str">
        <v>343</v>
      </c>
      <c r="AF112" s="2" t="str">
        <v>26312</v>
      </c>
    </row>
    <row r="113" spans="1:32" x14ac:dyDescent="0.25">
      <c r="A113" s="4">
        <v>1050</v>
      </c>
      <c r="B113" t="s">
        <v>13</v>
      </c>
      <c r="C113">
        <v>2</v>
      </c>
      <c r="D113">
        <v>1</v>
      </c>
      <c r="E113">
        <v>5</v>
      </c>
      <c r="F113" t="s">
        <v>14</v>
      </c>
      <c r="G113">
        <v>4.8</v>
      </c>
      <c r="I113">
        <v>4</v>
      </c>
      <c r="J113" t="s">
        <v>15</v>
      </c>
      <c r="K113" t="str">
        <f t="shared" si="4"/>
        <v/>
      </c>
      <c r="L113" t="s">
        <v>16</v>
      </c>
      <c r="M113">
        <v>1</v>
      </c>
      <c r="O113" s="6" t="s">
        <v>3210</v>
      </c>
      <c r="T113">
        <f t="shared" si="5"/>
        <v>20</v>
      </c>
      <c r="U113" t="s">
        <v>513</v>
      </c>
      <c r="V113" s="4" t="s">
        <v>490</v>
      </c>
      <c r="W113">
        <v>112</v>
      </c>
      <c r="Y113">
        <f>LEN(O111)</f>
        <v>5</v>
      </c>
      <c r="Z113">
        <f t="shared" si="6"/>
        <v>0</v>
      </c>
      <c r="AD113" t="str">
        <v>3426</v>
      </c>
      <c r="AF113" s="2" t="str">
        <v>26314</v>
      </c>
    </row>
    <row r="114" spans="1:32" x14ac:dyDescent="0.25">
      <c r="A114" s="4">
        <v>1059</v>
      </c>
      <c r="B114" t="s">
        <v>13</v>
      </c>
      <c r="C114">
        <v>2</v>
      </c>
      <c r="D114">
        <v>1</v>
      </c>
      <c r="E114">
        <v>4</v>
      </c>
      <c r="F114" t="s">
        <v>14</v>
      </c>
      <c r="G114">
        <v>4.2300000000000004</v>
      </c>
      <c r="I114">
        <v>4</v>
      </c>
      <c r="J114" t="s">
        <v>21</v>
      </c>
      <c r="K114" t="str">
        <f t="shared" si="4"/>
        <v/>
      </c>
      <c r="L114" t="s">
        <v>16</v>
      </c>
      <c r="M114">
        <v>4</v>
      </c>
      <c r="O114" s="6" t="s">
        <v>193</v>
      </c>
      <c r="T114">
        <f t="shared" si="5"/>
        <v>20</v>
      </c>
      <c r="U114" t="s">
        <v>516</v>
      </c>
      <c r="V114" s="4" t="s">
        <v>490</v>
      </c>
      <c r="W114">
        <v>113</v>
      </c>
      <c r="Y114">
        <f>LEN(O112)</f>
        <v>5</v>
      </c>
      <c r="Z114">
        <f t="shared" si="6"/>
        <v>0</v>
      </c>
      <c r="AD114" t="str">
        <v>342</v>
      </c>
      <c r="AF114" s="2" t="str">
        <v>26512</v>
      </c>
    </row>
    <row r="115" spans="1:32" x14ac:dyDescent="0.25">
      <c r="A115" s="4">
        <v>1059</v>
      </c>
      <c r="B115" t="s">
        <v>13</v>
      </c>
      <c r="C115">
        <v>2</v>
      </c>
      <c r="D115">
        <v>1</v>
      </c>
      <c r="E115">
        <v>3</v>
      </c>
      <c r="F115" t="s">
        <v>14</v>
      </c>
      <c r="G115">
        <v>4.2300000000000004</v>
      </c>
      <c r="I115">
        <v>4</v>
      </c>
      <c r="J115" t="s">
        <v>21</v>
      </c>
      <c r="K115" t="str">
        <f t="shared" si="4"/>
        <v/>
      </c>
      <c r="L115" t="s">
        <v>16</v>
      </c>
      <c r="M115">
        <v>4</v>
      </c>
      <c r="O115" s="6" t="s">
        <v>196</v>
      </c>
      <c r="T115">
        <f t="shared" si="5"/>
        <v>20</v>
      </c>
      <c r="U115" t="s">
        <v>522</v>
      </c>
      <c r="V115" s="4" t="s">
        <v>490</v>
      </c>
      <c r="W115">
        <v>114</v>
      </c>
      <c r="Y115">
        <f>LEN(O113)</f>
        <v>5</v>
      </c>
      <c r="Z115">
        <f t="shared" si="6"/>
        <v>0</v>
      </c>
      <c r="AD115" t="str">
        <v>340</v>
      </c>
      <c r="AF115" s="2" t="str">
        <v>27</v>
      </c>
    </row>
    <row r="116" spans="1:32" x14ac:dyDescent="0.25">
      <c r="A116" s="4">
        <v>1059</v>
      </c>
      <c r="B116" t="s">
        <v>13</v>
      </c>
      <c r="C116">
        <v>2</v>
      </c>
      <c r="D116">
        <v>1</v>
      </c>
      <c r="E116">
        <v>2</v>
      </c>
      <c r="F116" t="s">
        <v>14</v>
      </c>
      <c r="G116">
        <v>4.2300000000000004</v>
      </c>
      <c r="I116">
        <v>4</v>
      </c>
      <c r="J116" t="s">
        <v>21</v>
      </c>
      <c r="K116" t="str">
        <f t="shared" si="4"/>
        <v/>
      </c>
      <c r="L116" t="s">
        <v>16</v>
      </c>
      <c r="M116">
        <v>4</v>
      </c>
      <c r="O116" s="6" t="s">
        <v>334</v>
      </c>
      <c r="T116">
        <f t="shared" si="5"/>
        <v>20</v>
      </c>
      <c r="U116" t="s">
        <v>525</v>
      </c>
      <c r="V116" s="4" t="s">
        <v>490</v>
      </c>
      <c r="W116">
        <v>115</v>
      </c>
      <c r="Y116">
        <f>LEN(O114)</f>
        <v>2</v>
      </c>
      <c r="Z116">
        <f t="shared" si="6"/>
        <v>0</v>
      </c>
      <c r="AD116" t="str">
        <v>339</v>
      </c>
      <c r="AF116" s="2" t="str">
        <v>28</v>
      </c>
    </row>
    <row r="117" spans="1:32" x14ac:dyDescent="0.25">
      <c r="A117" s="4">
        <v>1059</v>
      </c>
      <c r="B117" t="s">
        <v>13</v>
      </c>
      <c r="C117">
        <v>2</v>
      </c>
      <c r="D117">
        <v>1</v>
      </c>
      <c r="E117">
        <v>1</v>
      </c>
      <c r="F117" t="s">
        <v>14</v>
      </c>
      <c r="G117">
        <v>4.2300000000000004</v>
      </c>
      <c r="I117">
        <v>4</v>
      </c>
      <c r="J117" t="s">
        <v>21</v>
      </c>
      <c r="K117" t="str">
        <f t="shared" si="4"/>
        <v/>
      </c>
      <c r="L117" t="s">
        <v>16</v>
      </c>
      <c r="M117">
        <v>4</v>
      </c>
      <c r="O117" s="6" t="s">
        <v>316</v>
      </c>
      <c r="T117">
        <f t="shared" si="5"/>
        <v>20</v>
      </c>
      <c r="U117" t="s">
        <v>528</v>
      </c>
      <c r="V117" s="4" t="s">
        <v>529</v>
      </c>
      <c r="W117">
        <v>116</v>
      </c>
      <c r="Y117">
        <f>LEN(O115)</f>
        <v>2</v>
      </c>
      <c r="Z117">
        <f t="shared" si="6"/>
        <v>0</v>
      </c>
      <c r="AD117" t="str">
        <v>336</v>
      </c>
      <c r="AF117" s="2" t="str">
        <v>3004</v>
      </c>
    </row>
    <row r="118" spans="1:32" x14ac:dyDescent="0.25">
      <c r="A118" s="4">
        <v>1059</v>
      </c>
      <c r="B118" t="s">
        <v>13</v>
      </c>
      <c r="C118">
        <v>2</v>
      </c>
      <c r="D118">
        <v>1</v>
      </c>
      <c r="E118">
        <v>4</v>
      </c>
      <c r="F118" t="s">
        <v>14</v>
      </c>
      <c r="G118">
        <v>4.2300000000000004</v>
      </c>
      <c r="I118">
        <v>4</v>
      </c>
      <c r="J118" t="s">
        <v>17</v>
      </c>
      <c r="K118" t="str">
        <f t="shared" si="4"/>
        <v/>
      </c>
      <c r="L118" t="s">
        <v>16</v>
      </c>
      <c r="M118">
        <v>4</v>
      </c>
      <c r="O118" s="6" t="s">
        <v>1260</v>
      </c>
      <c r="T118">
        <f t="shared" si="5"/>
        <v>20</v>
      </c>
      <c r="U118" t="s">
        <v>536</v>
      </c>
      <c r="V118" s="4" t="s">
        <v>529</v>
      </c>
      <c r="W118">
        <v>117</v>
      </c>
      <c r="Y118">
        <f>LEN(O116)</f>
        <v>4</v>
      </c>
      <c r="Z118">
        <f t="shared" si="6"/>
        <v>0</v>
      </c>
      <c r="AD118" t="str">
        <v>329</v>
      </c>
      <c r="AF118" s="2" t="str">
        <v>3005</v>
      </c>
    </row>
    <row r="119" spans="1:32" x14ac:dyDescent="0.25">
      <c r="A119" s="4">
        <v>1059</v>
      </c>
      <c r="B119" t="s">
        <v>13</v>
      </c>
      <c r="C119">
        <v>2</v>
      </c>
      <c r="D119">
        <v>1</v>
      </c>
      <c r="E119">
        <v>3</v>
      </c>
      <c r="F119" t="s">
        <v>14</v>
      </c>
      <c r="G119">
        <v>4.2300000000000004</v>
      </c>
      <c r="I119">
        <v>4</v>
      </c>
      <c r="J119" t="s">
        <v>17</v>
      </c>
      <c r="K119" t="str">
        <f t="shared" si="4"/>
        <v/>
      </c>
      <c r="L119" t="s">
        <v>16</v>
      </c>
      <c r="M119">
        <v>4</v>
      </c>
      <c r="O119" s="6" t="s">
        <v>1279</v>
      </c>
      <c r="T119">
        <f t="shared" si="5"/>
        <v>20</v>
      </c>
      <c r="U119" t="s">
        <v>541</v>
      </c>
      <c r="V119" s="4" t="s">
        <v>529</v>
      </c>
      <c r="W119">
        <v>118</v>
      </c>
      <c r="Y119">
        <f>LEN(O117)</f>
        <v>4</v>
      </c>
      <c r="Z119">
        <f t="shared" si="6"/>
        <v>0</v>
      </c>
      <c r="AD119" t="str">
        <v>325</v>
      </c>
      <c r="AF119" s="2" t="str">
        <v>303</v>
      </c>
    </row>
    <row r="120" spans="1:32" x14ac:dyDescent="0.25">
      <c r="A120" s="4">
        <v>1059</v>
      </c>
      <c r="B120" t="s">
        <v>13</v>
      </c>
      <c r="C120">
        <v>2</v>
      </c>
      <c r="D120">
        <v>1</v>
      </c>
      <c r="E120">
        <v>2</v>
      </c>
      <c r="F120" t="s">
        <v>14</v>
      </c>
      <c r="G120">
        <v>4.2300000000000004</v>
      </c>
      <c r="I120">
        <v>4</v>
      </c>
      <c r="J120" t="s">
        <v>17</v>
      </c>
      <c r="K120" t="str">
        <f t="shared" si="4"/>
        <v/>
      </c>
      <c r="L120" t="s">
        <v>16</v>
      </c>
      <c r="M120">
        <v>4</v>
      </c>
      <c r="O120" s="6" t="s">
        <v>1288</v>
      </c>
      <c r="T120">
        <f t="shared" si="5"/>
        <v>20</v>
      </c>
      <c r="U120" t="s">
        <v>545</v>
      </c>
      <c r="V120" s="4" t="s">
        <v>529</v>
      </c>
      <c r="W120">
        <v>119</v>
      </c>
      <c r="Y120">
        <f>LEN(O118)</f>
        <v>3</v>
      </c>
      <c r="Z120">
        <f t="shared" si="6"/>
        <v>0</v>
      </c>
      <c r="AD120" t="str">
        <v>324</v>
      </c>
      <c r="AF120" s="2" t="str">
        <v>307</v>
      </c>
    </row>
    <row r="121" spans="1:32" x14ac:dyDescent="0.25">
      <c r="A121" s="4">
        <v>1059</v>
      </c>
      <c r="B121" t="s">
        <v>13</v>
      </c>
      <c r="C121">
        <v>2</v>
      </c>
      <c r="D121">
        <v>1</v>
      </c>
      <c r="E121">
        <v>1</v>
      </c>
      <c r="F121" t="s">
        <v>14</v>
      </c>
      <c r="G121">
        <v>4.2300000000000004</v>
      </c>
      <c r="I121">
        <v>4</v>
      </c>
      <c r="J121" t="s">
        <v>17</v>
      </c>
      <c r="K121" t="str">
        <f t="shared" si="4"/>
        <v/>
      </c>
      <c r="L121" t="s">
        <v>16</v>
      </c>
      <c r="M121">
        <v>4</v>
      </c>
      <c r="O121" s="6" t="s">
        <v>1294</v>
      </c>
      <c r="T121">
        <f t="shared" si="5"/>
        <v>20</v>
      </c>
      <c r="U121" t="s">
        <v>549</v>
      </c>
      <c r="V121" s="4" t="s">
        <v>529</v>
      </c>
      <c r="W121">
        <v>120</v>
      </c>
      <c r="Y121">
        <f>LEN(O119)</f>
        <v>3</v>
      </c>
      <c r="Z121">
        <f t="shared" si="6"/>
        <v>0</v>
      </c>
      <c r="AD121" t="str">
        <v>3211</v>
      </c>
      <c r="AF121" s="2" t="str">
        <v>308</v>
      </c>
    </row>
    <row r="122" spans="1:32" x14ac:dyDescent="0.25">
      <c r="A122" s="4">
        <v>1059</v>
      </c>
      <c r="B122" t="s">
        <v>13</v>
      </c>
      <c r="C122">
        <v>2</v>
      </c>
      <c r="D122">
        <v>1</v>
      </c>
      <c r="E122">
        <v>4</v>
      </c>
      <c r="F122" t="s">
        <v>14</v>
      </c>
      <c r="G122">
        <v>4.2300000000000004</v>
      </c>
      <c r="I122">
        <v>4</v>
      </c>
      <c r="J122" t="s">
        <v>15</v>
      </c>
      <c r="K122" t="str">
        <f t="shared" si="4"/>
        <v/>
      </c>
      <c r="L122" t="s">
        <v>16</v>
      </c>
      <c r="M122">
        <v>4</v>
      </c>
      <c r="O122" s="6" t="s">
        <v>1296</v>
      </c>
      <c r="T122">
        <f t="shared" si="5"/>
        <v>20</v>
      </c>
      <c r="U122" t="s">
        <v>552</v>
      </c>
      <c r="V122" s="4" t="s">
        <v>553</v>
      </c>
      <c r="W122">
        <v>121</v>
      </c>
      <c r="Y122">
        <f>LEN(O120)</f>
        <v>3</v>
      </c>
      <c r="Z122">
        <f t="shared" si="6"/>
        <v>0</v>
      </c>
      <c r="AD122" t="str">
        <v>314</v>
      </c>
      <c r="AF122" s="2" t="str">
        <v>310</v>
      </c>
    </row>
    <row r="123" spans="1:32" x14ac:dyDescent="0.25">
      <c r="A123" s="4">
        <v>1059</v>
      </c>
      <c r="B123" t="s">
        <v>13</v>
      </c>
      <c r="C123">
        <v>2</v>
      </c>
      <c r="D123">
        <v>1</v>
      </c>
      <c r="E123">
        <v>3</v>
      </c>
      <c r="F123" t="s">
        <v>14</v>
      </c>
      <c r="G123">
        <v>4.2300000000000004</v>
      </c>
      <c r="I123">
        <v>4</v>
      </c>
      <c r="J123" t="s">
        <v>15</v>
      </c>
      <c r="K123" t="str">
        <f t="shared" si="4"/>
        <v/>
      </c>
      <c r="L123" t="s">
        <v>16</v>
      </c>
      <c r="M123">
        <v>4</v>
      </c>
      <c r="O123" s="6" t="s">
        <v>1304</v>
      </c>
      <c r="T123">
        <f t="shared" si="5"/>
        <v>20</v>
      </c>
      <c r="U123" t="s">
        <v>558</v>
      </c>
      <c r="V123" s="4" t="s">
        <v>553</v>
      </c>
      <c r="W123">
        <v>122</v>
      </c>
      <c r="Y123">
        <f>LEN(O121)</f>
        <v>3</v>
      </c>
      <c r="Z123">
        <f t="shared" si="6"/>
        <v>0</v>
      </c>
      <c r="AD123" t="str">
        <v>313</v>
      </c>
      <c r="AF123" s="2" t="str">
        <v>311</v>
      </c>
    </row>
    <row r="124" spans="1:32" x14ac:dyDescent="0.25">
      <c r="A124" s="4">
        <v>1059</v>
      </c>
      <c r="B124" t="s">
        <v>13</v>
      </c>
      <c r="C124">
        <v>2</v>
      </c>
      <c r="D124">
        <v>1</v>
      </c>
      <c r="E124">
        <v>2</v>
      </c>
      <c r="F124" t="s">
        <v>14</v>
      </c>
      <c r="G124">
        <v>4.2300000000000004</v>
      </c>
      <c r="I124">
        <v>4</v>
      </c>
      <c r="J124" t="s">
        <v>15</v>
      </c>
      <c r="K124" t="str">
        <f t="shared" si="4"/>
        <v/>
      </c>
      <c r="L124" t="s">
        <v>16</v>
      </c>
      <c r="M124">
        <v>4</v>
      </c>
      <c r="O124" s="6" t="s">
        <v>1306</v>
      </c>
      <c r="T124">
        <f t="shared" si="5"/>
        <v>20</v>
      </c>
      <c r="U124" t="s">
        <v>561</v>
      </c>
      <c r="V124" s="4" t="s">
        <v>553</v>
      </c>
      <c r="W124">
        <v>123</v>
      </c>
      <c r="Y124">
        <f>LEN(O122)</f>
        <v>3</v>
      </c>
      <c r="Z124">
        <f t="shared" si="6"/>
        <v>0</v>
      </c>
      <c r="AD124" t="str">
        <v>312</v>
      </c>
      <c r="AF124" s="2" t="str">
        <v>312</v>
      </c>
    </row>
    <row r="125" spans="1:32" x14ac:dyDescent="0.25">
      <c r="A125" s="4">
        <v>1059</v>
      </c>
      <c r="B125" t="s">
        <v>13</v>
      </c>
      <c r="C125">
        <v>2</v>
      </c>
      <c r="D125">
        <v>1</v>
      </c>
      <c r="E125">
        <v>1</v>
      </c>
      <c r="F125" t="s">
        <v>14</v>
      </c>
      <c r="G125">
        <v>4.2300000000000004</v>
      </c>
      <c r="I125">
        <v>4</v>
      </c>
      <c r="J125" t="s">
        <v>15</v>
      </c>
      <c r="K125" t="str">
        <f t="shared" si="4"/>
        <v/>
      </c>
      <c r="L125" t="s">
        <v>16</v>
      </c>
      <c r="M125">
        <v>4</v>
      </c>
      <c r="O125" s="6" t="s">
        <v>1309</v>
      </c>
      <c r="T125">
        <f t="shared" si="5"/>
        <v>20</v>
      </c>
      <c r="U125" t="s">
        <v>564</v>
      </c>
      <c r="V125" s="4" t="s">
        <v>553</v>
      </c>
      <c r="W125">
        <v>124</v>
      </c>
      <c r="Y125">
        <f>LEN(O123)</f>
        <v>3</v>
      </c>
      <c r="Z125">
        <f t="shared" si="6"/>
        <v>0</v>
      </c>
      <c r="AD125" t="str">
        <v>311</v>
      </c>
      <c r="AF125" s="2" t="str">
        <v>313</v>
      </c>
    </row>
    <row r="126" spans="1:32" x14ac:dyDescent="0.25">
      <c r="A126" s="4">
        <v>1059</v>
      </c>
      <c r="B126" t="s">
        <v>13</v>
      </c>
      <c r="C126">
        <v>2</v>
      </c>
      <c r="D126">
        <v>1</v>
      </c>
      <c r="E126">
        <v>8</v>
      </c>
      <c r="F126" t="s">
        <v>14</v>
      </c>
      <c r="G126">
        <v>4.8</v>
      </c>
      <c r="I126">
        <v>4</v>
      </c>
      <c r="J126" t="s">
        <v>21</v>
      </c>
      <c r="K126" t="str">
        <f t="shared" si="4"/>
        <v/>
      </c>
      <c r="L126" t="s">
        <v>16</v>
      </c>
      <c r="M126">
        <v>3</v>
      </c>
      <c r="O126" s="6" t="s">
        <v>3818</v>
      </c>
      <c r="T126">
        <f t="shared" si="5"/>
        <v>20</v>
      </c>
      <c r="U126" t="s">
        <v>567</v>
      </c>
      <c r="V126" s="4" t="s">
        <v>553</v>
      </c>
      <c r="W126">
        <v>125</v>
      </c>
      <c r="Y126">
        <f>LEN(O124)</f>
        <v>3</v>
      </c>
      <c r="Z126">
        <f t="shared" si="6"/>
        <v>0</v>
      </c>
      <c r="AD126" t="str">
        <v>310</v>
      </c>
      <c r="AF126" s="2" t="str">
        <v>314</v>
      </c>
    </row>
    <row r="127" spans="1:32" x14ac:dyDescent="0.25">
      <c r="A127" s="4">
        <v>1059</v>
      </c>
      <c r="B127" t="s">
        <v>13</v>
      </c>
      <c r="C127">
        <v>2</v>
      </c>
      <c r="D127">
        <v>1</v>
      </c>
      <c r="E127">
        <v>7</v>
      </c>
      <c r="F127" t="s">
        <v>14</v>
      </c>
      <c r="G127">
        <v>4.8</v>
      </c>
      <c r="I127">
        <v>4</v>
      </c>
      <c r="J127" t="s">
        <v>21</v>
      </c>
      <c r="K127" t="str">
        <f t="shared" si="4"/>
        <v/>
      </c>
      <c r="L127" t="s">
        <v>16</v>
      </c>
      <c r="M127">
        <v>3</v>
      </c>
      <c r="O127" s="6" t="s">
        <v>1348</v>
      </c>
      <c r="T127">
        <f t="shared" si="5"/>
        <v>20</v>
      </c>
      <c r="U127" t="s">
        <v>570</v>
      </c>
      <c r="V127" s="4" t="s">
        <v>571</v>
      </c>
      <c r="W127">
        <v>126</v>
      </c>
      <c r="Y127">
        <f>LEN(O125)</f>
        <v>3</v>
      </c>
      <c r="Z127">
        <f t="shared" si="6"/>
        <v>0</v>
      </c>
      <c r="AD127" t="str">
        <v>308</v>
      </c>
      <c r="AF127" s="2" t="str">
        <v>3211</v>
      </c>
    </row>
    <row r="128" spans="1:32" x14ac:dyDescent="0.25">
      <c r="A128" s="4">
        <v>1059</v>
      </c>
      <c r="B128" t="s">
        <v>13</v>
      </c>
      <c r="C128">
        <v>2</v>
      </c>
      <c r="D128">
        <v>1</v>
      </c>
      <c r="E128">
        <v>6</v>
      </c>
      <c r="F128" t="s">
        <v>14</v>
      </c>
      <c r="G128">
        <v>4.8</v>
      </c>
      <c r="I128">
        <v>4</v>
      </c>
      <c r="J128" t="s">
        <v>21</v>
      </c>
      <c r="K128" t="str">
        <f t="shared" si="4"/>
        <v/>
      </c>
      <c r="L128" t="s">
        <v>16</v>
      </c>
      <c r="M128">
        <v>3</v>
      </c>
      <c r="O128" s="6" t="s">
        <v>1351</v>
      </c>
      <c r="T128">
        <f t="shared" si="5"/>
        <v>20</v>
      </c>
      <c r="U128" t="s">
        <v>575</v>
      </c>
      <c r="V128" s="4" t="s">
        <v>571</v>
      </c>
      <c r="W128">
        <v>127</v>
      </c>
      <c r="Y128">
        <f>LEN(O126)</f>
        <v>4</v>
      </c>
      <c r="Z128">
        <f t="shared" si="6"/>
        <v>0</v>
      </c>
      <c r="AD128" t="str">
        <v>307</v>
      </c>
      <c r="AF128" s="2" t="str">
        <v>324</v>
      </c>
    </row>
    <row r="129" spans="1:32" x14ac:dyDescent="0.25">
      <c r="A129" s="4">
        <v>1059</v>
      </c>
      <c r="B129" t="s">
        <v>13</v>
      </c>
      <c r="C129">
        <v>2</v>
      </c>
      <c r="D129">
        <v>1</v>
      </c>
      <c r="E129">
        <v>5</v>
      </c>
      <c r="F129" t="s">
        <v>14</v>
      </c>
      <c r="G129">
        <v>4.8</v>
      </c>
      <c r="I129">
        <v>4</v>
      </c>
      <c r="J129" t="s">
        <v>21</v>
      </c>
      <c r="K129" t="str">
        <f t="shared" si="4"/>
        <v/>
      </c>
      <c r="L129" t="s">
        <v>16</v>
      </c>
      <c r="M129">
        <v>3</v>
      </c>
      <c r="O129" s="6" t="s">
        <v>1364</v>
      </c>
      <c r="T129">
        <f t="shared" si="5"/>
        <v>20</v>
      </c>
      <c r="U129" t="s">
        <v>577</v>
      </c>
      <c r="V129" s="4" t="s">
        <v>571</v>
      </c>
      <c r="W129">
        <v>128</v>
      </c>
      <c r="Y129">
        <f>LEN(O127)</f>
        <v>3</v>
      </c>
      <c r="Z129">
        <f t="shared" si="6"/>
        <v>0</v>
      </c>
      <c r="AD129" t="str">
        <v>303</v>
      </c>
      <c r="AF129" s="2" t="str">
        <v>325</v>
      </c>
    </row>
    <row r="130" spans="1:32" x14ac:dyDescent="0.25">
      <c r="A130" s="4">
        <v>1059</v>
      </c>
      <c r="B130" t="s">
        <v>13</v>
      </c>
      <c r="C130">
        <v>2</v>
      </c>
      <c r="D130">
        <v>1</v>
      </c>
      <c r="E130">
        <v>8</v>
      </c>
      <c r="F130" t="s">
        <v>14</v>
      </c>
      <c r="G130">
        <v>4.8</v>
      </c>
      <c r="I130">
        <v>4</v>
      </c>
      <c r="J130" t="s">
        <v>17</v>
      </c>
      <c r="K130" t="str">
        <f t="shared" si="4"/>
        <v/>
      </c>
      <c r="L130" t="s">
        <v>16</v>
      </c>
      <c r="M130">
        <v>4</v>
      </c>
      <c r="O130" s="6" t="s">
        <v>1060</v>
      </c>
      <c r="T130">
        <f t="shared" si="5"/>
        <v>20</v>
      </c>
      <c r="U130" t="s">
        <v>580</v>
      </c>
      <c r="V130" s="4" t="s">
        <v>571</v>
      </c>
      <c r="W130">
        <v>129</v>
      </c>
      <c r="Y130">
        <f>LEN(O128)</f>
        <v>3</v>
      </c>
      <c r="Z130">
        <f t="shared" si="6"/>
        <v>0</v>
      </c>
      <c r="AD130" t="str">
        <v>3005</v>
      </c>
      <c r="AF130" s="2" t="str">
        <v>329</v>
      </c>
    </row>
    <row r="131" spans="1:32" x14ac:dyDescent="0.25">
      <c r="A131" s="4">
        <v>1059</v>
      </c>
      <c r="B131" t="s">
        <v>13</v>
      </c>
      <c r="C131">
        <v>2</v>
      </c>
      <c r="D131">
        <v>1</v>
      </c>
      <c r="E131">
        <v>7</v>
      </c>
      <c r="F131" t="s">
        <v>14</v>
      </c>
      <c r="G131">
        <v>4.8</v>
      </c>
      <c r="I131">
        <v>4</v>
      </c>
      <c r="J131" t="s">
        <v>17</v>
      </c>
      <c r="K131" t="str">
        <f t="shared" ref="K131:K194" si="7">_xlfn.XLOOKUP(A131,V:V,U:U,"",0)</f>
        <v/>
      </c>
      <c r="L131" t="s">
        <v>16</v>
      </c>
      <c r="M131">
        <v>4</v>
      </c>
      <c r="O131" s="6" t="s">
        <v>1000</v>
      </c>
      <c r="T131">
        <f t="shared" ref="T131:T194" si="8">LEN(U131)</f>
        <v>20</v>
      </c>
      <c r="U131" t="s">
        <v>583</v>
      </c>
      <c r="V131" s="4" t="s">
        <v>584</v>
      </c>
      <c r="W131">
        <v>130</v>
      </c>
      <c r="Y131">
        <f>LEN(O129)</f>
        <v>3</v>
      </c>
      <c r="Z131">
        <f t="shared" ref="Z131:Z194" si="9">LEN(P131)</f>
        <v>0</v>
      </c>
      <c r="AD131" t="str">
        <v>3004</v>
      </c>
      <c r="AF131" s="2" t="str">
        <v>336</v>
      </c>
    </row>
    <row r="132" spans="1:32" x14ac:dyDescent="0.25">
      <c r="A132" s="4">
        <v>1059</v>
      </c>
      <c r="B132" t="s">
        <v>13</v>
      </c>
      <c r="C132">
        <v>2</v>
      </c>
      <c r="D132">
        <v>1</v>
      </c>
      <c r="E132">
        <v>6</v>
      </c>
      <c r="F132" t="s">
        <v>14</v>
      </c>
      <c r="G132">
        <v>4.8</v>
      </c>
      <c r="I132">
        <v>4</v>
      </c>
      <c r="J132" t="s">
        <v>17</v>
      </c>
      <c r="K132" t="str">
        <f t="shared" si="7"/>
        <v/>
      </c>
      <c r="L132" t="s">
        <v>16</v>
      </c>
      <c r="M132">
        <v>4</v>
      </c>
      <c r="O132" s="6" t="s">
        <v>1133</v>
      </c>
      <c r="T132">
        <f t="shared" si="8"/>
        <v>20</v>
      </c>
      <c r="U132" t="s">
        <v>590</v>
      </c>
      <c r="V132" s="4" t="s">
        <v>584</v>
      </c>
      <c r="W132">
        <v>131</v>
      </c>
      <c r="Y132">
        <f>LEN(O130)</f>
        <v>3</v>
      </c>
      <c r="Z132">
        <f t="shared" si="9"/>
        <v>0</v>
      </c>
      <c r="AD132" t="str">
        <v>28</v>
      </c>
      <c r="AF132" s="2" t="str">
        <v>339</v>
      </c>
    </row>
    <row r="133" spans="1:32" x14ac:dyDescent="0.25">
      <c r="A133" s="4">
        <v>1059</v>
      </c>
      <c r="B133" t="s">
        <v>13</v>
      </c>
      <c r="C133">
        <v>2</v>
      </c>
      <c r="D133">
        <v>1</v>
      </c>
      <c r="E133">
        <v>5</v>
      </c>
      <c r="F133" t="s">
        <v>14</v>
      </c>
      <c r="G133">
        <v>4.8</v>
      </c>
      <c r="I133">
        <v>4</v>
      </c>
      <c r="J133" t="s">
        <v>17</v>
      </c>
      <c r="K133" t="str">
        <f t="shared" si="7"/>
        <v/>
      </c>
      <c r="L133" t="s">
        <v>16</v>
      </c>
      <c r="M133">
        <v>4</v>
      </c>
      <c r="O133" s="6" t="s">
        <v>1281</v>
      </c>
      <c r="T133">
        <f t="shared" si="8"/>
        <v>20</v>
      </c>
      <c r="U133" t="s">
        <v>593</v>
      </c>
      <c r="V133" s="4" t="s">
        <v>584</v>
      </c>
      <c r="W133">
        <v>132</v>
      </c>
      <c r="Y133">
        <f>LEN(O131)</f>
        <v>3</v>
      </c>
      <c r="Z133">
        <f t="shared" si="9"/>
        <v>0</v>
      </c>
      <c r="AD133" t="str">
        <v>27</v>
      </c>
      <c r="AF133" s="2" t="str">
        <v>340</v>
      </c>
    </row>
    <row r="134" spans="1:32" x14ac:dyDescent="0.25">
      <c r="A134" s="4">
        <v>1059</v>
      </c>
      <c r="B134" t="s">
        <v>13</v>
      </c>
      <c r="C134">
        <v>2</v>
      </c>
      <c r="D134">
        <v>1</v>
      </c>
      <c r="E134">
        <v>8</v>
      </c>
      <c r="F134" t="s">
        <v>14</v>
      </c>
      <c r="G134">
        <v>4.8</v>
      </c>
      <c r="I134">
        <v>4</v>
      </c>
      <c r="J134" t="s">
        <v>15</v>
      </c>
      <c r="K134" t="str">
        <f t="shared" si="7"/>
        <v/>
      </c>
      <c r="L134" t="s">
        <v>16</v>
      </c>
      <c r="M134">
        <v>1</v>
      </c>
      <c r="O134" s="6" t="s">
        <v>2388</v>
      </c>
      <c r="T134">
        <f t="shared" si="8"/>
        <v>20</v>
      </c>
      <c r="U134" t="s">
        <v>596</v>
      </c>
      <c r="V134" s="4" t="s">
        <v>584</v>
      </c>
      <c r="W134">
        <v>133</v>
      </c>
      <c r="Y134">
        <f>LEN(O132)</f>
        <v>3</v>
      </c>
      <c r="Z134">
        <f t="shared" si="9"/>
        <v>0</v>
      </c>
      <c r="AD134" t="str">
        <v>26512</v>
      </c>
      <c r="AF134" s="2" t="str">
        <v>342</v>
      </c>
    </row>
    <row r="135" spans="1:32" x14ac:dyDescent="0.25">
      <c r="A135" s="4">
        <v>1059</v>
      </c>
      <c r="B135" t="s">
        <v>13</v>
      </c>
      <c r="C135">
        <v>2</v>
      </c>
      <c r="D135">
        <v>1</v>
      </c>
      <c r="E135">
        <v>7</v>
      </c>
      <c r="F135" t="s">
        <v>14</v>
      </c>
      <c r="G135">
        <v>4.8</v>
      </c>
      <c r="I135">
        <v>4</v>
      </c>
      <c r="J135" t="s">
        <v>15</v>
      </c>
      <c r="K135" t="str">
        <f t="shared" si="7"/>
        <v/>
      </c>
      <c r="L135" t="s">
        <v>16</v>
      </c>
      <c r="M135">
        <v>1</v>
      </c>
      <c r="O135" s="6" t="s">
        <v>1425</v>
      </c>
      <c r="T135">
        <f t="shared" si="8"/>
        <v>20</v>
      </c>
      <c r="U135" t="s">
        <v>599</v>
      </c>
      <c r="V135" s="4" t="s">
        <v>316</v>
      </c>
      <c r="W135">
        <v>134</v>
      </c>
      <c r="Y135">
        <f>LEN(O133)</f>
        <v>3</v>
      </c>
      <c r="Z135">
        <f t="shared" si="9"/>
        <v>0</v>
      </c>
      <c r="AD135" t="str">
        <v>26314</v>
      </c>
      <c r="AF135" s="2" t="str">
        <v>3426</v>
      </c>
    </row>
    <row r="136" spans="1:32" x14ac:dyDescent="0.25">
      <c r="A136" s="4">
        <v>1059</v>
      </c>
      <c r="B136" t="s">
        <v>13</v>
      </c>
      <c r="C136">
        <v>2</v>
      </c>
      <c r="D136">
        <v>1</v>
      </c>
      <c r="E136">
        <v>6</v>
      </c>
      <c r="F136" t="s">
        <v>14</v>
      </c>
      <c r="G136">
        <v>4.8</v>
      </c>
      <c r="I136">
        <v>4</v>
      </c>
      <c r="J136" t="s">
        <v>15</v>
      </c>
      <c r="K136" t="str">
        <f t="shared" si="7"/>
        <v/>
      </c>
      <c r="L136" t="s">
        <v>16</v>
      </c>
      <c r="M136">
        <v>1</v>
      </c>
      <c r="O136" s="6" t="s">
        <v>2481</v>
      </c>
      <c r="T136">
        <f t="shared" si="8"/>
        <v>20</v>
      </c>
      <c r="U136" t="s">
        <v>606</v>
      </c>
      <c r="V136" s="4" t="s">
        <v>316</v>
      </c>
      <c r="W136">
        <v>135</v>
      </c>
      <c r="Y136">
        <f>LEN(O134)</f>
        <v>4</v>
      </c>
      <c r="Z136">
        <f t="shared" si="9"/>
        <v>0</v>
      </c>
      <c r="AD136" t="str">
        <v>26312</v>
      </c>
      <c r="AF136" s="2" t="str">
        <v>343</v>
      </c>
    </row>
    <row r="137" spans="1:32" x14ac:dyDescent="0.25">
      <c r="A137" s="4">
        <v>1059</v>
      </c>
      <c r="B137" t="s">
        <v>13</v>
      </c>
      <c r="C137">
        <v>2</v>
      </c>
      <c r="D137">
        <v>1</v>
      </c>
      <c r="E137">
        <v>5</v>
      </c>
      <c r="F137" t="s">
        <v>14</v>
      </c>
      <c r="G137">
        <v>4.8</v>
      </c>
      <c r="I137">
        <v>4</v>
      </c>
      <c r="J137" t="s">
        <v>15</v>
      </c>
      <c r="K137" t="str">
        <f t="shared" si="7"/>
        <v/>
      </c>
      <c r="L137" t="s">
        <v>16</v>
      </c>
      <c r="M137">
        <v>1</v>
      </c>
      <c r="O137" s="6" t="s">
        <v>2469</v>
      </c>
      <c r="T137">
        <f t="shared" si="8"/>
        <v>20</v>
      </c>
      <c r="U137" t="s">
        <v>611</v>
      </c>
      <c r="V137" s="4" t="s">
        <v>316</v>
      </c>
      <c r="W137">
        <v>136</v>
      </c>
      <c r="Y137">
        <f>LEN(O135)</f>
        <v>3</v>
      </c>
      <c r="Z137">
        <f t="shared" si="9"/>
        <v>0</v>
      </c>
      <c r="AD137" t="str">
        <v>26164</v>
      </c>
      <c r="AF137" s="2" t="str">
        <v>3432</v>
      </c>
    </row>
    <row r="138" spans="1:32" x14ac:dyDescent="0.25">
      <c r="A138" s="4">
        <v>1059</v>
      </c>
      <c r="B138" t="s">
        <v>13</v>
      </c>
      <c r="C138">
        <v>2</v>
      </c>
      <c r="D138">
        <v>1</v>
      </c>
      <c r="E138">
        <v>12</v>
      </c>
      <c r="F138" t="s">
        <v>14</v>
      </c>
      <c r="G138">
        <v>5.4</v>
      </c>
      <c r="I138">
        <v>4</v>
      </c>
      <c r="J138" t="s">
        <v>21</v>
      </c>
      <c r="K138" t="str">
        <f t="shared" si="7"/>
        <v/>
      </c>
      <c r="L138" t="s">
        <v>16</v>
      </c>
      <c r="M138">
        <v>4</v>
      </c>
      <c r="O138" s="6" t="s">
        <v>2475</v>
      </c>
      <c r="T138">
        <f t="shared" si="8"/>
        <v>20</v>
      </c>
      <c r="U138" t="s">
        <v>614</v>
      </c>
      <c r="V138" s="4" t="s">
        <v>316</v>
      </c>
      <c r="W138">
        <v>137</v>
      </c>
      <c r="Y138">
        <f>LEN(O136)</f>
        <v>4</v>
      </c>
      <c r="Z138">
        <f t="shared" si="9"/>
        <v>0</v>
      </c>
      <c r="AD138" t="str">
        <v>2613</v>
      </c>
      <c r="AF138" s="2" t="str">
        <v>3433</v>
      </c>
    </row>
    <row r="139" spans="1:32" x14ac:dyDescent="0.25">
      <c r="A139" s="4">
        <v>1059</v>
      </c>
      <c r="B139" t="s">
        <v>13</v>
      </c>
      <c r="C139">
        <v>2</v>
      </c>
      <c r="D139">
        <v>1</v>
      </c>
      <c r="E139">
        <v>11</v>
      </c>
      <c r="F139" t="s">
        <v>14</v>
      </c>
      <c r="G139">
        <v>5.4</v>
      </c>
      <c r="I139">
        <v>4</v>
      </c>
      <c r="J139" t="s">
        <v>21</v>
      </c>
      <c r="K139" t="str">
        <f t="shared" si="7"/>
        <v/>
      </c>
      <c r="L139" t="s">
        <v>16</v>
      </c>
      <c r="M139">
        <v>4</v>
      </c>
      <c r="O139" s="6" t="s">
        <v>2435</v>
      </c>
      <c r="T139">
        <f t="shared" si="8"/>
        <v>20</v>
      </c>
      <c r="U139" t="s">
        <v>618</v>
      </c>
      <c r="V139" s="4" t="s">
        <v>334</v>
      </c>
      <c r="W139">
        <v>138</v>
      </c>
      <c r="Y139">
        <f>LEN(O137)</f>
        <v>4</v>
      </c>
      <c r="Z139">
        <f t="shared" si="9"/>
        <v>0</v>
      </c>
      <c r="AD139" t="str">
        <v>2612</v>
      </c>
      <c r="AF139" s="2" t="str">
        <v>3434</v>
      </c>
    </row>
    <row r="140" spans="1:32" x14ac:dyDescent="0.25">
      <c r="A140" s="4">
        <v>1059</v>
      </c>
      <c r="B140" t="s">
        <v>13</v>
      </c>
      <c r="C140">
        <v>2</v>
      </c>
      <c r="D140">
        <v>1</v>
      </c>
      <c r="E140">
        <v>10</v>
      </c>
      <c r="F140" t="s">
        <v>14</v>
      </c>
      <c r="G140">
        <v>5.4</v>
      </c>
      <c r="I140">
        <v>4</v>
      </c>
      <c r="J140" t="s">
        <v>21</v>
      </c>
      <c r="K140" t="str">
        <f t="shared" si="7"/>
        <v/>
      </c>
      <c r="L140" t="s">
        <v>16</v>
      </c>
      <c r="M140">
        <v>4</v>
      </c>
      <c r="O140" s="6" t="s">
        <v>2442</v>
      </c>
      <c r="T140">
        <f t="shared" si="8"/>
        <v>20</v>
      </c>
      <c r="U140" t="s">
        <v>621</v>
      </c>
      <c r="V140" s="4" t="s">
        <v>334</v>
      </c>
      <c r="W140">
        <v>139</v>
      </c>
      <c r="Y140">
        <f>LEN(O138)</f>
        <v>4</v>
      </c>
      <c r="Z140">
        <f t="shared" si="9"/>
        <v>0</v>
      </c>
      <c r="AD140" t="str">
        <v>26114</v>
      </c>
      <c r="AF140" s="2" t="str">
        <v>3436</v>
      </c>
    </row>
    <row r="141" spans="1:32" x14ac:dyDescent="0.25">
      <c r="A141" s="4">
        <v>1059</v>
      </c>
      <c r="B141" t="s">
        <v>13</v>
      </c>
      <c r="C141">
        <v>2</v>
      </c>
      <c r="D141">
        <v>1</v>
      </c>
      <c r="E141">
        <v>9</v>
      </c>
      <c r="F141" t="s">
        <v>14</v>
      </c>
      <c r="G141">
        <v>5.4</v>
      </c>
      <c r="I141">
        <v>4</v>
      </c>
      <c r="J141" t="s">
        <v>21</v>
      </c>
      <c r="K141" t="str">
        <f t="shared" si="7"/>
        <v/>
      </c>
      <c r="L141" t="s">
        <v>16</v>
      </c>
      <c r="M141">
        <v>4</v>
      </c>
      <c r="O141" s="6" t="s">
        <v>2451</v>
      </c>
      <c r="T141">
        <f t="shared" si="8"/>
        <v>20</v>
      </c>
      <c r="U141" t="s">
        <v>625</v>
      </c>
      <c r="V141" s="4" t="s">
        <v>334</v>
      </c>
      <c r="W141">
        <v>140</v>
      </c>
      <c r="Y141">
        <f>LEN(O139)</f>
        <v>4</v>
      </c>
      <c r="Z141">
        <f t="shared" si="9"/>
        <v>0</v>
      </c>
      <c r="AD141" t="str">
        <v>261</v>
      </c>
      <c r="AF141" s="2" t="str">
        <v>3437</v>
      </c>
    </row>
    <row r="142" spans="1:32" x14ac:dyDescent="0.25">
      <c r="A142" s="4">
        <v>1059</v>
      </c>
      <c r="B142" t="s">
        <v>13</v>
      </c>
      <c r="C142">
        <v>2</v>
      </c>
      <c r="D142">
        <v>1</v>
      </c>
      <c r="E142">
        <v>12</v>
      </c>
      <c r="F142" t="s">
        <v>14</v>
      </c>
      <c r="G142">
        <v>5.4</v>
      </c>
      <c r="I142">
        <v>4</v>
      </c>
      <c r="J142" t="s">
        <v>17</v>
      </c>
      <c r="K142" t="str">
        <f t="shared" si="7"/>
        <v/>
      </c>
      <c r="L142" t="s">
        <v>16</v>
      </c>
      <c r="M142">
        <v>3</v>
      </c>
      <c r="O142" s="6" t="s">
        <v>2459</v>
      </c>
      <c r="T142">
        <f t="shared" si="8"/>
        <v>20</v>
      </c>
      <c r="U142" t="s">
        <v>629</v>
      </c>
      <c r="V142" s="4" t="s">
        <v>334</v>
      </c>
      <c r="W142">
        <v>141</v>
      </c>
      <c r="Y142">
        <f>LEN(O140)</f>
        <v>4</v>
      </c>
      <c r="Z142">
        <f t="shared" si="9"/>
        <v>0</v>
      </c>
      <c r="AD142" t="str">
        <v>2605</v>
      </c>
      <c r="AF142" s="2" t="str">
        <v>3438</v>
      </c>
    </row>
    <row r="143" spans="1:32" x14ac:dyDescent="0.25">
      <c r="A143" s="4">
        <v>1059</v>
      </c>
      <c r="B143" t="s">
        <v>13</v>
      </c>
      <c r="C143">
        <v>2</v>
      </c>
      <c r="D143">
        <v>1</v>
      </c>
      <c r="E143">
        <v>11</v>
      </c>
      <c r="F143" t="s">
        <v>14</v>
      </c>
      <c r="G143">
        <v>5.4</v>
      </c>
      <c r="I143">
        <v>4</v>
      </c>
      <c r="J143" t="s">
        <v>17</v>
      </c>
      <c r="K143" t="str">
        <f t="shared" si="7"/>
        <v/>
      </c>
      <c r="L143" t="s">
        <v>16</v>
      </c>
      <c r="M143">
        <v>3</v>
      </c>
      <c r="O143" s="6" t="s">
        <v>1430</v>
      </c>
      <c r="T143">
        <f t="shared" si="8"/>
        <v>20</v>
      </c>
      <c r="U143" t="s">
        <v>633</v>
      </c>
      <c r="V143" s="4" t="s">
        <v>634</v>
      </c>
      <c r="W143">
        <v>142</v>
      </c>
      <c r="Y143">
        <f>LEN(O141)</f>
        <v>4</v>
      </c>
      <c r="Z143">
        <f t="shared" si="9"/>
        <v>0</v>
      </c>
      <c r="AD143" t="str">
        <v>26009</v>
      </c>
      <c r="AF143" s="2" t="str">
        <v>3439</v>
      </c>
    </row>
    <row r="144" spans="1:32" x14ac:dyDescent="0.25">
      <c r="A144" s="4">
        <v>1059</v>
      </c>
      <c r="B144" t="s">
        <v>13</v>
      </c>
      <c r="C144">
        <v>2</v>
      </c>
      <c r="D144">
        <v>1</v>
      </c>
      <c r="E144">
        <v>10</v>
      </c>
      <c r="F144" t="s">
        <v>14</v>
      </c>
      <c r="G144">
        <v>5.4</v>
      </c>
      <c r="I144">
        <v>4</v>
      </c>
      <c r="J144" t="s">
        <v>17</v>
      </c>
      <c r="K144" t="str">
        <f t="shared" si="7"/>
        <v/>
      </c>
      <c r="L144" t="s">
        <v>16</v>
      </c>
      <c r="M144">
        <v>3</v>
      </c>
      <c r="O144" s="6" t="s">
        <v>2365</v>
      </c>
      <c r="T144">
        <f t="shared" si="8"/>
        <v>20</v>
      </c>
      <c r="U144" t="s">
        <v>641</v>
      </c>
      <c r="V144" s="4" t="s">
        <v>634</v>
      </c>
      <c r="W144">
        <v>143</v>
      </c>
      <c r="Y144">
        <f>LEN(O142)</f>
        <v>4</v>
      </c>
      <c r="Z144">
        <f t="shared" si="9"/>
        <v>0</v>
      </c>
      <c r="AD144" t="str">
        <v>26008</v>
      </c>
      <c r="AF144" s="2" t="str">
        <v>345</v>
      </c>
    </row>
    <row r="145" spans="1:32" x14ac:dyDescent="0.25">
      <c r="A145" s="4">
        <v>1059</v>
      </c>
      <c r="B145" t="s">
        <v>13</v>
      </c>
      <c r="C145">
        <v>2</v>
      </c>
      <c r="D145">
        <v>1</v>
      </c>
      <c r="E145">
        <v>9</v>
      </c>
      <c r="F145" t="s">
        <v>14</v>
      </c>
      <c r="G145">
        <v>5.4</v>
      </c>
      <c r="I145">
        <v>4</v>
      </c>
      <c r="J145" t="s">
        <v>17</v>
      </c>
      <c r="K145" t="str">
        <f t="shared" si="7"/>
        <v/>
      </c>
      <c r="L145" t="s">
        <v>16</v>
      </c>
      <c r="M145">
        <v>3</v>
      </c>
      <c r="O145" s="6" t="s">
        <v>2377</v>
      </c>
      <c r="T145">
        <f t="shared" si="8"/>
        <v>20</v>
      </c>
      <c r="U145" t="s">
        <v>645</v>
      </c>
      <c r="V145" s="4" t="s">
        <v>634</v>
      </c>
      <c r="W145">
        <v>144</v>
      </c>
      <c r="Y145">
        <f>LEN(O143)</f>
        <v>3</v>
      </c>
      <c r="Z145">
        <f t="shared" si="9"/>
        <v>0</v>
      </c>
      <c r="AD145" t="str">
        <v>26007</v>
      </c>
      <c r="AF145" s="2" t="str">
        <v>3451</v>
      </c>
    </row>
    <row r="146" spans="1:32" x14ac:dyDescent="0.25">
      <c r="A146" s="4">
        <v>1059</v>
      </c>
      <c r="B146" t="s">
        <v>13</v>
      </c>
      <c r="C146">
        <v>2</v>
      </c>
      <c r="D146">
        <v>1</v>
      </c>
      <c r="E146">
        <v>16</v>
      </c>
      <c r="F146" t="s">
        <v>14</v>
      </c>
      <c r="G146">
        <v>6</v>
      </c>
      <c r="I146">
        <v>4</v>
      </c>
      <c r="J146" t="s">
        <v>21</v>
      </c>
      <c r="K146" t="str">
        <f t="shared" si="7"/>
        <v/>
      </c>
      <c r="L146" t="s">
        <v>16</v>
      </c>
      <c r="M146">
        <v>5</v>
      </c>
      <c r="O146" s="6" t="s">
        <v>2487</v>
      </c>
      <c r="T146">
        <f t="shared" si="8"/>
        <v>20</v>
      </c>
      <c r="U146" t="s">
        <v>647</v>
      </c>
      <c r="V146" s="4" t="s">
        <v>634</v>
      </c>
      <c r="W146">
        <v>145</v>
      </c>
      <c r="Y146">
        <f>LEN(O144)</f>
        <v>4</v>
      </c>
      <c r="Z146">
        <f t="shared" si="9"/>
        <v>0</v>
      </c>
      <c r="AD146" t="str">
        <v>260</v>
      </c>
      <c r="AF146" s="2" t="str">
        <v>3452</v>
      </c>
    </row>
    <row r="147" spans="1:32" x14ac:dyDescent="0.25">
      <c r="A147" s="4">
        <v>1059</v>
      </c>
      <c r="B147" t="s">
        <v>13</v>
      </c>
      <c r="C147">
        <v>2</v>
      </c>
      <c r="D147">
        <v>1</v>
      </c>
      <c r="E147">
        <v>15</v>
      </c>
      <c r="F147" t="s">
        <v>14</v>
      </c>
      <c r="G147">
        <v>6</v>
      </c>
      <c r="I147">
        <v>4</v>
      </c>
      <c r="J147" t="s">
        <v>21</v>
      </c>
      <c r="K147" t="str">
        <f t="shared" si="7"/>
        <v/>
      </c>
      <c r="L147" t="s">
        <v>16</v>
      </c>
      <c r="M147">
        <v>5</v>
      </c>
      <c r="O147" s="6" t="s">
        <v>1438</v>
      </c>
      <c r="T147">
        <f t="shared" si="8"/>
        <v>20</v>
      </c>
      <c r="U147" t="s">
        <v>649</v>
      </c>
      <c r="V147" s="4" t="s">
        <v>634</v>
      </c>
      <c r="W147">
        <v>146</v>
      </c>
      <c r="Y147">
        <f>LEN(O145)</f>
        <v>4</v>
      </c>
      <c r="Z147">
        <f t="shared" si="9"/>
        <v>0</v>
      </c>
      <c r="AD147" t="str">
        <v>2554</v>
      </c>
      <c r="AF147" s="2" t="str">
        <v>3455</v>
      </c>
    </row>
    <row r="148" spans="1:32" x14ac:dyDescent="0.25">
      <c r="A148" s="4">
        <v>1059</v>
      </c>
      <c r="B148" t="s">
        <v>13</v>
      </c>
      <c r="C148">
        <v>2</v>
      </c>
      <c r="D148">
        <v>1</v>
      </c>
      <c r="E148">
        <v>14</v>
      </c>
      <c r="F148" t="s">
        <v>14</v>
      </c>
      <c r="G148">
        <v>6</v>
      </c>
      <c r="I148">
        <v>4</v>
      </c>
      <c r="J148" t="s">
        <v>21</v>
      </c>
      <c r="K148" t="str">
        <f t="shared" si="7"/>
        <v/>
      </c>
      <c r="L148" t="s">
        <v>16</v>
      </c>
      <c r="M148">
        <v>5</v>
      </c>
      <c r="O148" s="6" t="s">
        <v>1440</v>
      </c>
      <c r="T148">
        <f t="shared" si="8"/>
        <v>20</v>
      </c>
      <c r="U148" t="s">
        <v>652</v>
      </c>
      <c r="V148" s="4" t="s">
        <v>634</v>
      </c>
      <c r="W148">
        <v>147</v>
      </c>
      <c r="Y148">
        <f>LEN(O146)</f>
        <v>4</v>
      </c>
      <c r="Z148">
        <f t="shared" si="9"/>
        <v>0</v>
      </c>
      <c r="AD148" t="str">
        <v>2553</v>
      </c>
      <c r="AF148" s="2" t="str">
        <v>347</v>
      </c>
    </row>
    <row r="149" spans="1:32" x14ac:dyDescent="0.25">
      <c r="A149" s="4">
        <v>1059</v>
      </c>
      <c r="B149" t="s">
        <v>13</v>
      </c>
      <c r="C149">
        <v>2</v>
      </c>
      <c r="D149">
        <v>1</v>
      </c>
      <c r="E149">
        <v>13</v>
      </c>
      <c r="F149" t="s">
        <v>14</v>
      </c>
      <c r="G149">
        <v>6</v>
      </c>
      <c r="I149">
        <v>4</v>
      </c>
      <c r="J149" t="s">
        <v>21</v>
      </c>
      <c r="K149" t="str">
        <f t="shared" si="7"/>
        <v/>
      </c>
      <c r="L149" t="s">
        <v>16</v>
      </c>
      <c r="M149">
        <v>5</v>
      </c>
      <c r="O149" s="6" t="s">
        <v>1446</v>
      </c>
      <c r="T149">
        <f t="shared" si="8"/>
        <v>20</v>
      </c>
      <c r="U149" t="s">
        <v>654</v>
      </c>
      <c r="V149" s="4" t="s">
        <v>634</v>
      </c>
      <c r="W149">
        <v>148</v>
      </c>
      <c r="Y149">
        <f>LEN(O147)</f>
        <v>3</v>
      </c>
      <c r="Z149">
        <f t="shared" si="9"/>
        <v>0</v>
      </c>
      <c r="AD149" t="str">
        <v>2539</v>
      </c>
      <c r="AF149" s="2" t="str">
        <v>348</v>
      </c>
    </row>
    <row r="150" spans="1:32" x14ac:dyDescent="0.25">
      <c r="A150" s="4">
        <v>1059</v>
      </c>
      <c r="B150" t="s">
        <v>13</v>
      </c>
      <c r="C150">
        <v>2</v>
      </c>
      <c r="D150">
        <v>1</v>
      </c>
      <c r="E150">
        <v>16</v>
      </c>
      <c r="F150" t="s">
        <v>14</v>
      </c>
      <c r="G150">
        <v>6</v>
      </c>
      <c r="I150">
        <v>4</v>
      </c>
      <c r="J150" t="s">
        <v>17</v>
      </c>
      <c r="K150" t="str">
        <f t="shared" si="7"/>
        <v/>
      </c>
      <c r="L150" t="s">
        <v>16</v>
      </c>
      <c r="M150">
        <v>4</v>
      </c>
      <c r="O150" s="6" t="s">
        <v>1452</v>
      </c>
      <c r="T150">
        <f t="shared" si="8"/>
        <v>20</v>
      </c>
      <c r="U150" t="s">
        <v>657</v>
      </c>
      <c r="V150" s="4" t="s">
        <v>658</v>
      </c>
      <c r="W150">
        <v>149</v>
      </c>
      <c r="Y150">
        <f>LEN(O148)</f>
        <v>3</v>
      </c>
      <c r="Z150">
        <f t="shared" si="9"/>
        <v>0</v>
      </c>
      <c r="AD150" t="str">
        <v>2529</v>
      </c>
      <c r="AF150" s="2" t="str">
        <v>350</v>
      </c>
    </row>
    <row r="151" spans="1:32" x14ac:dyDescent="0.25">
      <c r="A151" s="4">
        <v>1059</v>
      </c>
      <c r="B151" t="s">
        <v>13</v>
      </c>
      <c r="C151">
        <v>2</v>
      </c>
      <c r="D151">
        <v>1</v>
      </c>
      <c r="E151">
        <v>15</v>
      </c>
      <c r="F151" t="s">
        <v>14</v>
      </c>
      <c r="G151">
        <v>6</v>
      </c>
      <c r="I151">
        <v>4</v>
      </c>
      <c r="J151" t="s">
        <v>17</v>
      </c>
      <c r="K151" t="str">
        <f t="shared" si="7"/>
        <v/>
      </c>
      <c r="L151" t="s">
        <v>16</v>
      </c>
      <c r="M151">
        <v>4</v>
      </c>
      <c r="O151" s="6" t="s">
        <v>380</v>
      </c>
      <c r="T151">
        <f t="shared" si="8"/>
        <v>20</v>
      </c>
      <c r="U151" t="s">
        <v>663</v>
      </c>
      <c r="V151" s="4" t="s">
        <v>658</v>
      </c>
      <c r="W151">
        <v>150</v>
      </c>
      <c r="Y151">
        <f>LEN(O149)</f>
        <v>3</v>
      </c>
      <c r="Z151">
        <f t="shared" si="9"/>
        <v>0</v>
      </c>
      <c r="AD151" t="str">
        <v>2528</v>
      </c>
      <c r="AF151" s="2" t="str">
        <v>352</v>
      </c>
    </row>
    <row r="152" spans="1:32" x14ac:dyDescent="0.25">
      <c r="A152" s="4">
        <v>1059</v>
      </c>
      <c r="B152" t="s">
        <v>13</v>
      </c>
      <c r="C152">
        <v>2</v>
      </c>
      <c r="D152">
        <v>1</v>
      </c>
      <c r="E152">
        <v>14</v>
      </c>
      <c r="F152" t="s">
        <v>14</v>
      </c>
      <c r="G152">
        <v>6</v>
      </c>
      <c r="I152">
        <v>4</v>
      </c>
      <c r="J152" t="s">
        <v>17</v>
      </c>
      <c r="K152" t="str">
        <f t="shared" si="7"/>
        <v/>
      </c>
      <c r="L152" t="s">
        <v>16</v>
      </c>
      <c r="M152">
        <v>4</v>
      </c>
      <c r="O152" s="6" t="s">
        <v>430</v>
      </c>
      <c r="T152">
        <f t="shared" si="8"/>
        <v>20</v>
      </c>
      <c r="U152" t="s">
        <v>666</v>
      </c>
      <c r="V152" s="4" t="s">
        <v>658</v>
      </c>
      <c r="W152">
        <v>151</v>
      </c>
      <c r="Y152">
        <f>LEN(O150)</f>
        <v>3</v>
      </c>
      <c r="Z152">
        <f t="shared" si="9"/>
        <v>0</v>
      </c>
      <c r="AD152" t="str">
        <v>250</v>
      </c>
      <c r="AF152" s="2" t="str">
        <v>3600</v>
      </c>
    </row>
    <row r="153" spans="1:32" x14ac:dyDescent="0.25">
      <c r="A153" s="4">
        <v>1059</v>
      </c>
      <c r="B153" t="s">
        <v>13</v>
      </c>
      <c r="C153">
        <v>2</v>
      </c>
      <c r="D153">
        <v>1</v>
      </c>
      <c r="E153">
        <v>13</v>
      </c>
      <c r="F153" t="s">
        <v>14</v>
      </c>
      <c r="G153">
        <v>6</v>
      </c>
      <c r="I153">
        <v>4</v>
      </c>
      <c r="J153" t="s">
        <v>17</v>
      </c>
      <c r="K153" t="str">
        <f t="shared" si="7"/>
        <v/>
      </c>
      <c r="L153" t="s">
        <v>16</v>
      </c>
      <c r="M153">
        <v>4</v>
      </c>
      <c r="O153" s="6" t="s">
        <v>1542</v>
      </c>
      <c r="T153">
        <f t="shared" si="8"/>
        <v>20</v>
      </c>
      <c r="U153" t="s">
        <v>670</v>
      </c>
      <c r="V153" s="4" t="s">
        <v>658</v>
      </c>
      <c r="W153">
        <v>152</v>
      </c>
      <c r="Y153">
        <f>LEN(O151)</f>
        <v>4</v>
      </c>
      <c r="Z153">
        <f t="shared" si="9"/>
        <v>0</v>
      </c>
      <c r="AD153" t="str">
        <v>249</v>
      </c>
      <c r="AF153" s="2" t="str">
        <v>3601</v>
      </c>
    </row>
    <row r="154" spans="1:32" x14ac:dyDescent="0.25">
      <c r="A154" s="4">
        <v>1009</v>
      </c>
      <c r="B154" t="s">
        <v>22</v>
      </c>
      <c r="C154">
        <v>2</v>
      </c>
      <c r="D154">
        <v>1</v>
      </c>
      <c r="E154">
        <v>24</v>
      </c>
      <c r="F154" t="s">
        <v>23</v>
      </c>
      <c r="G154">
        <v>4.7</v>
      </c>
      <c r="I154">
        <v>4</v>
      </c>
      <c r="J154" t="s">
        <v>24</v>
      </c>
      <c r="K154" t="str">
        <f t="shared" si="7"/>
        <v/>
      </c>
      <c r="L154" t="s">
        <v>16</v>
      </c>
      <c r="M154">
        <v>7</v>
      </c>
      <c r="O154" s="6" t="s">
        <v>1552</v>
      </c>
      <c r="T154">
        <f t="shared" si="8"/>
        <v>20</v>
      </c>
      <c r="U154" t="s">
        <v>673</v>
      </c>
      <c r="V154" s="4" t="s">
        <v>674</v>
      </c>
      <c r="W154">
        <v>153</v>
      </c>
      <c r="Y154">
        <f>LEN(O152)</f>
        <v>4</v>
      </c>
      <c r="Z154">
        <f t="shared" si="9"/>
        <v>0</v>
      </c>
      <c r="AD154" t="str">
        <v>247</v>
      </c>
      <c r="AF154" s="2" t="str">
        <v>374</v>
      </c>
    </row>
    <row r="155" spans="1:32" x14ac:dyDescent="0.25">
      <c r="A155" s="4">
        <v>1009</v>
      </c>
      <c r="B155" t="s">
        <v>22</v>
      </c>
      <c r="C155">
        <v>2</v>
      </c>
      <c r="D155">
        <v>1</v>
      </c>
      <c r="E155">
        <v>18</v>
      </c>
      <c r="F155" t="s">
        <v>23</v>
      </c>
      <c r="G155">
        <v>4.7</v>
      </c>
      <c r="I155">
        <v>4</v>
      </c>
      <c r="J155" t="s">
        <v>24</v>
      </c>
      <c r="K155" t="str">
        <f t="shared" si="7"/>
        <v/>
      </c>
      <c r="L155" t="s">
        <v>16</v>
      </c>
      <c r="M155">
        <v>7</v>
      </c>
      <c r="O155" s="6" t="s">
        <v>232</v>
      </c>
      <c r="T155">
        <f t="shared" si="8"/>
        <v>20</v>
      </c>
      <c r="U155" t="s">
        <v>681</v>
      </c>
      <c r="V155" s="4" t="s">
        <v>674</v>
      </c>
      <c r="W155">
        <v>154</v>
      </c>
      <c r="Y155">
        <f>LEN(O153)</f>
        <v>3</v>
      </c>
      <c r="Z155">
        <f t="shared" si="9"/>
        <v>0</v>
      </c>
      <c r="AD155" t="str">
        <v>245</v>
      </c>
      <c r="AF155" s="2" t="str">
        <v>376</v>
      </c>
    </row>
    <row r="156" spans="1:32" x14ac:dyDescent="0.25">
      <c r="A156" s="4">
        <v>1009</v>
      </c>
      <c r="B156" t="s">
        <v>22</v>
      </c>
      <c r="C156">
        <v>2</v>
      </c>
      <c r="D156">
        <v>1</v>
      </c>
      <c r="E156">
        <v>12</v>
      </c>
      <c r="F156" t="s">
        <v>23</v>
      </c>
      <c r="G156">
        <v>4.7</v>
      </c>
      <c r="I156">
        <v>4</v>
      </c>
      <c r="J156" t="s">
        <v>24</v>
      </c>
      <c r="K156" t="str">
        <f t="shared" si="7"/>
        <v/>
      </c>
      <c r="L156" t="s">
        <v>16</v>
      </c>
      <c r="M156">
        <v>7</v>
      </c>
      <c r="O156" s="6" t="s">
        <v>1960</v>
      </c>
      <c r="T156">
        <f t="shared" si="8"/>
        <v>20</v>
      </c>
      <c r="U156" t="s">
        <v>685</v>
      </c>
      <c r="V156" s="4" t="s">
        <v>674</v>
      </c>
      <c r="W156">
        <v>155</v>
      </c>
      <c r="Y156">
        <f>LEN(O154)</f>
        <v>3</v>
      </c>
      <c r="Z156">
        <f t="shared" si="9"/>
        <v>0</v>
      </c>
      <c r="AD156" t="str">
        <v>243</v>
      </c>
      <c r="AF156" s="2" t="str">
        <v>38</v>
      </c>
    </row>
    <row r="157" spans="1:32" x14ac:dyDescent="0.25">
      <c r="A157" s="4">
        <v>1009</v>
      </c>
      <c r="B157" t="s">
        <v>22</v>
      </c>
      <c r="C157">
        <v>2</v>
      </c>
      <c r="D157">
        <v>1</v>
      </c>
      <c r="E157">
        <v>6</v>
      </c>
      <c r="F157" t="s">
        <v>23</v>
      </c>
      <c r="G157">
        <v>4.7</v>
      </c>
      <c r="I157">
        <v>4</v>
      </c>
      <c r="J157" t="s">
        <v>24</v>
      </c>
      <c r="K157" t="str">
        <f t="shared" si="7"/>
        <v/>
      </c>
      <c r="L157" t="s">
        <v>16</v>
      </c>
      <c r="M157">
        <v>7</v>
      </c>
      <c r="O157" s="6" t="s">
        <v>235</v>
      </c>
      <c r="T157">
        <f t="shared" si="8"/>
        <v>20</v>
      </c>
      <c r="U157" t="s">
        <v>689</v>
      </c>
      <c r="V157" s="4" t="s">
        <v>674</v>
      </c>
      <c r="W157">
        <v>156</v>
      </c>
      <c r="Y157">
        <f>LEN(O155)</f>
        <v>2</v>
      </c>
      <c r="Z157">
        <f t="shared" si="9"/>
        <v>0</v>
      </c>
      <c r="AD157" t="str">
        <v>240</v>
      </c>
      <c r="AF157" s="2" t="str">
        <v>3811</v>
      </c>
    </row>
    <row r="158" spans="1:32" x14ac:dyDescent="0.25">
      <c r="A158" s="4">
        <v>1009</v>
      </c>
      <c r="B158" t="s">
        <v>22</v>
      </c>
      <c r="C158">
        <v>2</v>
      </c>
      <c r="D158">
        <v>1</v>
      </c>
      <c r="E158">
        <v>24</v>
      </c>
      <c r="F158" t="s">
        <v>23</v>
      </c>
      <c r="G158">
        <v>4.7</v>
      </c>
      <c r="I158">
        <v>4</v>
      </c>
      <c r="J158" t="s">
        <v>21</v>
      </c>
      <c r="K158" t="str">
        <f t="shared" si="7"/>
        <v/>
      </c>
      <c r="L158" t="s">
        <v>16</v>
      </c>
      <c r="M158">
        <v>6</v>
      </c>
      <c r="O158" s="6" t="s">
        <v>2869</v>
      </c>
      <c r="T158">
        <f t="shared" si="8"/>
        <v>20</v>
      </c>
      <c r="U158" t="s">
        <v>696</v>
      </c>
      <c r="V158" s="4" t="s">
        <v>674</v>
      </c>
      <c r="W158">
        <v>157</v>
      </c>
      <c r="Y158">
        <f>LEN(O156)</f>
        <v>4</v>
      </c>
      <c r="Z158">
        <f t="shared" si="9"/>
        <v>0</v>
      </c>
      <c r="AD158" t="str">
        <v>2398</v>
      </c>
      <c r="AF158" s="2" t="str">
        <v>39</v>
      </c>
    </row>
    <row r="159" spans="1:32" x14ac:dyDescent="0.25">
      <c r="A159" s="4">
        <v>1009</v>
      </c>
      <c r="B159" t="s">
        <v>22</v>
      </c>
      <c r="C159">
        <v>2</v>
      </c>
      <c r="D159">
        <v>1</v>
      </c>
      <c r="E159">
        <v>18</v>
      </c>
      <c r="F159" t="s">
        <v>23</v>
      </c>
      <c r="G159">
        <v>4.7</v>
      </c>
      <c r="I159">
        <v>4</v>
      </c>
      <c r="J159" t="s">
        <v>21</v>
      </c>
      <c r="K159" t="str">
        <f t="shared" si="7"/>
        <v/>
      </c>
      <c r="L159" t="s">
        <v>16</v>
      </c>
      <c r="M159">
        <v>6</v>
      </c>
      <c r="O159" s="6" t="s">
        <v>2876</v>
      </c>
      <c r="T159">
        <f t="shared" si="8"/>
        <v>20</v>
      </c>
      <c r="U159" t="s">
        <v>699</v>
      </c>
      <c r="V159" s="4" t="s">
        <v>674</v>
      </c>
      <c r="W159">
        <v>158</v>
      </c>
      <c r="Y159">
        <f>LEN(O157)</f>
        <v>2</v>
      </c>
      <c r="Z159">
        <f t="shared" si="9"/>
        <v>0</v>
      </c>
      <c r="AD159" t="str">
        <v>239</v>
      </c>
      <c r="AF159" s="2" t="str">
        <v>4001</v>
      </c>
    </row>
    <row r="160" spans="1:32" x14ac:dyDescent="0.25">
      <c r="A160" s="4">
        <v>1009</v>
      </c>
      <c r="B160" t="s">
        <v>22</v>
      </c>
      <c r="C160">
        <v>2</v>
      </c>
      <c r="D160">
        <v>1</v>
      </c>
      <c r="E160">
        <v>12</v>
      </c>
      <c r="F160" t="s">
        <v>23</v>
      </c>
      <c r="G160">
        <v>4.7</v>
      </c>
      <c r="I160">
        <v>4</v>
      </c>
      <c r="J160" t="s">
        <v>21</v>
      </c>
      <c r="K160" t="str">
        <f t="shared" si="7"/>
        <v/>
      </c>
      <c r="L160" t="s">
        <v>16</v>
      </c>
      <c r="M160">
        <v>6</v>
      </c>
      <c r="O160" s="6" t="s">
        <v>3253</v>
      </c>
      <c r="T160">
        <f t="shared" si="8"/>
        <v>20</v>
      </c>
      <c r="U160" t="s">
        <v>702</v>
      </c>
      <c r="V160" s="4" t="s">
        <v>232</v>
      </c>
      <c r="W160">
        <v>159</v>
      </c>
      <c r="Y160">
        <f>LEN(O158)</f>
        <v>4</v>
      </c>
      <c r="Z160">
        <f t="shared" si="9"/>
        <v>0</v>
      </c>
      <c r="AD160" t="str">
        <v>2358</v>
      </c>
      <c r="AF160" s="2" t="str">
        <v>4002</v>
      </c>
    </row>
    <row r="161" spans="1:32" x14ac:dyDescent="0.25">
      <c r="A161" s="4">
        <v>1009</v>
      </c>
      <c r="B161" t="s">
        <v>22</v>
      </c>
      <c r="C161">
        <v>2</v>
      </c>
      <c r="D161">
        <v>1</v>
      </c>
      <c r="E161">
        <v>6</v>
      </c>
      <c r="F161" t="s">
        <v>23</v>
      </c>
      <c r="G161">
        <v>4.7</v>
      </c>
      <c r="I161">
        <v>4</v>
      </c>
      <c r="J161" t="s">
        <v>21</v>
      </c>
      <c r="K161" t="str">
        <f t="shared" si="7"/>
        <v/>
      </c>
      <c r="L161" t="s">
        <v>16</v>
      </c>
      <c r="M161">
        <v>6</v>
      </c>
      <c r="O161" s="6" t="s">
        <v>3452</v>
      </c>
      <c r="T161">
        <f t="shared" si="8"/>
        <v>20</v>
      </c>
      <c r="U161" t="s">
        <v>708</v>
      </c>
      <c r="V161" s="4" t="s">
        <v>232</v>
      </c>
      <c r="W161">
        <v>160</v>
      </c>
      <c r="Y161">
        <f>LEN(O159)</f>
        <v>4</v>
      </c>
      <c r="Z161">
        <f t="shared" si="9"/>
        <v>0</v>
      </c>
      <c r="AD161" t="str">
        <v>2356</v>
      </c>
      <c r="AF161" s="2" t="str">
        <v>4005</v>
      </c>
    </row>
    <row r="162" spans="1:32" x14ac:dyDescent="0.25">
      <c r="A162" s="4">
        <v>1009</v>
      </c>
      <c r="B162" t="s">
        <v>22</v>
      </c>
      <c r="C162">
        <v>2</v>
      </c>
      <c r="D162">
        <v>1</v>
      </c>
      <c r="E162">
        <v>24</v>
      </c>
      <c r="F162" t="s">
        <v>23</v>
      </c>
      <c r="G162">
        <v>4.7</v>
      </c>
      <c r="I162">
        <v>4</v>
      </c>
      <c r="J162" t="s">
        <v>17</v>
      </c>
      <c r="K162" t="str">
        <f t="shared" si="7"/>
        <v/>
      </c>
      <c r="L162" t="s">
        <v>16</v>
      </c>
      <c r="M162">
        <v>6</v>
      </c>
      <c r="O162" s="6" t="s">
        <v>3266</v>
      </c>
      <c r="T162">
        <f t="shared" si="8"/>
        <v>20</v>
      </c>
      <c r="U162" t="s">
        <v>711</v>
      </c>
      <c r="V162" s="4" t="s">
        <v>232</v>
      </c>
      <c r="W162">
        <v>161</v>
      </c>
      <c r="Y162">
        <f>LEN(O160)</f>
        <v>4</v>
      </c>
      <c r="Z162">
        <f t="shared" si="9"/>
        <v>0</v>
      </c>
      <c r="AD162" t="str">
        <v>2355</v>
      </c>
      <c r="AF162" s="2" t="str">
        <v>4006</v>
      </c>
    </row>
    <row r="163" spans="1:32" x14ac:dyDescent="0.25">
      <c r="A163" s="4">
        <v>1009</v>
      </c>
      <c r="B163" t="s">
        <v>22</v>
      </c>
      <c r="C163">
        <v>2</v>
      </c>
      <c r="D163">
        <v>1</v>
      </c>
      <c r="E163">
        <v>18</v>
      </c>
      <c r="F163" t="s">
        <v>23</v>
      </c>
      <c r="G163">
        <v>4.7</v>
      </c>
      <c r="I163">
        <v>4</v>
      </c>
      <c r="J163" t="s">
        <v>17</v>
      </c>
      <c r="K163" t="str">
        <f t="shared" si="7"/>
        <v/>
      </c>
      <c r="L163" t="s">
        <v>16</v>
      </c>
      <c r="M163">
        <v>6</v>
      </c>
      <c r="O163" s="6" t="s">
        <v>3431</v>
      </c>
      <c r="T163">
        <f t="shared" si="8"/>
        <v>20</v>
      </c>
      <c r="U163" t="s">
        <v>714</v>
      </c>
      <c r="V163" s="4" t="s">
        <v>235</v>
      </c>
      <c r="W163">
        <v>162</v>
      </c>
      <c r="Y163">
        <f>LEN(O161)</f>
        <v>4</v>
      </c>
      <c r="Z163">
        <f t="shared" si="9"/>
        <v>0</v>
      </c>
      <c r="AD163" t="str">
        <v>2351</v>
      </c>
      <c r="AF163" s="2" t="str">
        <v>4007</v>
      </c>
    </row>
    <row r="164" spans="1:32" x14ac:dyDescent="0.25">
      <c r="A164" s="4">
        <v>1009</v>
      </c>
      <c r="B164" t="s">
        <v>22</v>
      </c>
      <c r="C164">
        <v>2</v>
      </c>
      <c r="D164">
        <v>1</v>
      </c>
      <c r="E164">
        <v>12</v>
      </c>
      <c r="F164" t="s">
        <v>23</v>
      </c>
      <c r="G164">
        <v>4.7</v>
      </c>
      <c r="I164">
        <v>4</v>
      </c>
      <c r="J164" t="s">
        <v>17</v>
      </c>
      <c r="K164" t="str">
        <f t="shared" si="7"/>
        <v/>
      </c>
      <c r="L164" t="s">
        <v>16</v>
      </c>
      <c r="M164">
        <v>6</v>
      </c>
      <c r="O164" s="6" t="s">
        <v>3477</v>
      </c>
      <c r="T164">
        <f t="shared" si="8"/>
        <v>20</v>
      </c>
      <c r="U164" t="s">
        <v>720</v>
      </c>
      <c r="V164" s="4" t="s">
        <v>235</v>
      </c>
      <c r="W164">
        <v>163</v>
      </c>
      <c r="Y164">
        <f>LEN(O162)</f>
        <v>4</v>
      </c>
      <c r="Z164">
        <f t="shared" si="9"/>
        <v>0</v>
      </c>
      <c r="AD164" t="str">
        <v>2329</v>
      </c>
      <c r="AF164" s="2" t="str">
        <v>4008</v>
      </c>
    </row>
    <row r="165" spans="1:32" x14ac:dyDescent="0.25">
      <c r="A165" s="4">
        <v>1009</v>
      </c>
      <c r="B165" t="s">
        <v>22</v>
      </c>
      <c r="C165">
        <v>2</v>
      </c>
      <c r="D165">
        <v>1</v>
      </c>
      <c r="E165">
        <v>6</v>
      </c>
      <c r="F165" t="s">
        <v>23</v>
      </c>
      <c r="G165">
        <v>4.7</v>
      </c>
      <c r="I165">
        <v>4</v>
      </c>
      <c r="J165" t="s">
        <v>17</v>
      </c>
      <c r="K165" t="str">
        <f t="shared" si="7"/>
        <v/>
      </c>
      <c r="L165" t="s">
        <v>16</v>
      </c>
      <c r="M165">
        <v>6</v>
      </c>
      <c r="O165" s="6" t="s">
        <v>3602</v>
      </c>
      <c r="T165">
        <f t="shared" si="8"/>
        <v>20</v>
      </c>
      <c r="U165" t="s">
        <v>723</v>
      </c>
      <c r="V165" s="4" t="s">
        <v>235</v>
      </c>
      <c r="W165">
        <v>164</v>
      </c>
      <c r="Y165">
        <f>LEN(O163)</f>
        <v>4</v>
      </c>
      <c r="Z165">
        <f t="shared" si="9"/>
        <v>0</v>
      </c>
      <c r="AD165" t="str">
        <v>22</v>
      </c>
      <c r="AF165" s="2" t="str">
        <v>4012</v>
      </c>
    </row>
    <row r="166" spans="1:32" x14ac:dyDescent="0.25">
      <c r="A166" s="4">
        <v>1009</v>
      </c>
      <c r="B166" t="s">
        <v>22</v>
      </c>
      <c r="C166">
        <v>2</v>
      </c>
      <c r="D166">
        <v>1</v>
      </c>
      <c r="E166">
        <v>24</v>
      </c>
      <c r="F166" t="s">
        <v>23</v>
      </c>
      <c r="G166">
        <v>4.7</v>
      </c>
      <c r="I166">
        <v>4</v>
      </c>
      <c r="J166" t="s">
        <v>15</v>
      </c>
      <c r="K166" t="str">
        <f t="shared" si="7"/>
        <v/>
      </c>
      <c r="L166" t="s">
        <v>16</v>
      </c>
      <c r="M166">
        <v>1</v>
      </c>
      <c r="O166" s="6" t="s">
        <v>3466</v>
      </c>
      <c r="T166">
        <f t="shared" si="8"/>
        <v>20</v>
      </c>
      <c r="U166" t="s">
        <v>726</v>
      </c>
      <c r="V166" s="4" t="s">
        <v>727</v>
      </c>
      <c r="W166">
        <v>165</v>
      </c>
      <c r="Y166">
        <f>LEN(O164)</f>
        <v>4</v>
      </c>
      <c r="Z166">
        <f t="shared" si="9"/>
        <v>0</v>
      </c>
      <c r="AD166" t="str">
        <v>2158</v>
      </c>
      <c r="AF166" s="2" t="str">
        <v>4013</v>
      </c>
    </row>
    <row r="167" spans="1:32" x14ac:dyDescent="0.25">
      <c r="A167" s="4">
        <v>1009</v>
      </c>
      <c r="B167" t="s">
        <v>22</v>
      </c>
      <c r="C167">
        <v>2</v>
      </c>
      <c r="D167">
        <v>1</v>
      </c>
      <c r="E167">
        <v>18</v>
      </c>
      <c r="F167" t="s">
        <v>23</v>
      </c>
      <c r="G167">
        <v>4.7</v>
      </c>
      <c r="I167">
        <v>4</v>
      </c>
      <c r="J167" t="s">
        <v>15</v>
      </c>
      <c r="K167" t="str">
        <f t="shared" si="7"/>
        <v/>
      </c>
      <c r="L167" t="s">
        <v>16</v>
      </c>
      <c r="M167">
        <v>1</v>
      </c>
      <c r="O167" s="6" t="s">
        <v>1657</v>
      </c>
      <c r="T167">
        <f t="shared" si="8"/>
        <v>20</v>
      </c>
      <c r="U167" t="s">
        <v>735</v>
      </c>
      <c r="V167" s="4" t="s">
        <v>727</v>
      </c>
      <c r="W167">
        <v>166</v>
      </c>
      <c r="Y167">
        <f>LEN(O165)</f>
        <v>4</v>
      </c>
      <c r="Z167">
        <f t="shared" si="9"/>
        <v>0</v>
      </c>
      <c r="AD167" t="str">
        <v>2155</v>
      </c>
      <c r="AF167" s="2" t="str">
        <v>4015</v>
      </c>
    </row>
    <row r="168" spans="1:32" x14ac:dyDescent="0.25">
      <c r="A168" s="4">
        <v>1009</v>
      </c>
      <c r="B168" t="s">
        <v>22</v>
      </c>
      <c r="C168">
        <v>2</v>
      </c>
      <c r="D168">
        <v>1</v>
      </c>
      <c r="E168">
        <v>12</v>
      </c>
      <c r="F168" t="s">
        <v>23</v>
      </c>
      <c r="G168">
        <v>4.7</v>
      </c>
      <c r="I168">
        <v>4</v>
      </c>
      <c r="J168" t="s">
        <v>15</v>
      </c>
      <c r="K168" t="str">
        <f t="shared" si="7"/>
        <v/>
      </c>
      <c r="L168" t="s">
        <v>16</v>
      </c>
      <c r="M168">
        <v>1</v>
      </c>
      <c r="O168" s="6" t="s">
        <v>1605</v>
      </c>
      <c r="T168">
        <f t="shared" si="8"/>
        <v>20</v>
      </c>
      <c r="U168" t="s">
        <v>738</v>
      </c>
      <c r="V168" s="4" t="s">
        <v>727</v>
      </c>
      <c r="W168">
        <v>167</v>
      </c>
      <c r="Y168">
        <f>LEN(O166)</f>
        <v>4</v>
      </c>
      <c r="Z168">
        <f t="shared" si="9"/>
        <v>0</v>
      </c>
      <c r="AD168" t="str">
        <v>2152</v>
      </c>
      <c r="AF168" s="2" t="str">
        <v>408</v>
      </c>
    </row>
    <row r="169" spans="1:32" x14ac:dyDescent="0.25">
      <c r="A169" s="4">
        <v>1009</v>
      </c>
      <c r="B169" t="s">
        <v>22</v>
      </c>
      <c r="C169">
        <v>2</v>
      </c>
      <c r="D169">
        <v>1</v>
      </c>
      <c r="E169">
        <v>6</v>
      </c>
      <c r="F169" t="s">
        <v>23</v>
      </c>
      <c r="G169">
        <v>4.7</v>
      </c>
      <c r="I169">
        <v>4</v>
      </c>
      <c r="J169" t="s">
        <v>15</v>
      </c>
      <c r="K169" t="str">
        <f t="shared" si="7"/>
        <v/>
      </c>
      <c r="L169" t="s">
        <v>16</v>
      </c>
      <c r="M169">
        <v>1</v>
      </c>
      <c r="O169" s="6" t="s">
        <v>1659</v>
      </c>
      <c r="T169">
        <f t="shared" si="8"/>
        <v>20</v>
      </c>
      <c r="U169" t="s">
        <v>745</v>
      </c>
      <c r="V169" s="4" t="s">
        <v>727</v>
      </c>
      <c r="W169">
        <v>168</v>
      </c>
      <c r="Y169">
        <f>LEN(O167)</f>
        <v>3</v>
      </c>
      <c r="Z169">
        <f t="shared" si="9"/>
        <v>0</v>
      </c>
      <c r="AD169" t="str">
        <v>2151</v>
      </c>
      <c r="AF169" s="2" t="str">
        <v>410</v>
      </c>
    </row>
    <row r="170" spans="1:32" x14ac:dyDescent="0.25">
      <c r="A170" s="4">
        <v>1009</v>
      </c>
      <c r="B170" t="s">
        <v>22</v>
      </c>
      <c r="C170">
        <v>2</v>
      </c>
      <c r="D170">
        <v>1</v>
      </c>
      <c r="E170">
        <v>5</v>
      </c>
      <c r="F170" t="s">
        <v>14</v>
      </c>
      <c r="G170">
        <v>5.15</v>
      </c>
      <c r="I170">
        <v>4</v>
      </c>
      <c r="J170" t="s">
        <v>24</v>
      </c>
      <c r="K170" t="str">
        <f t="shared" si="7"/>
        <v/>
      </c>
      <c r="L170" t="s">
        <v>16</v>
      </c>
      <c r="M170">
        <v>9</v>
      </c>
      <c r="O170" s="6" t="s">
        <v>1688</v>
      </c>
      <c r="T170">
        <f t="shared" si="8"/>
        <v>20</v>
      </c>
      <c r="U170" t="s">
        <v>749</v>
      </c>
      <c r="V170" s="4" t="s">
        <v>727</v>
      </c>
      <c r="W170">
        <v>169</v>
      </c>
      <c r="Y170">
        <f>LEN(O168)</f>
        <v>3</v>
      </c>
      <c r="Z170">
        <f t="shared" si="9"/>
        <v>0</v>
      </c>
      <c r="AD170" t="str">
        <v>21</v>
      </c>
      <c r="AF170" s="2" t="str">
        <v>413</v>
      </c>
    </row>
    <row r="171" spans="1:32" x14ac:dyDescent="0.25">
      <c r="A171" s="4">
        <v>1009</v>
      </c>
      <c r="B171" t="s">
        <v>22</v>
      </c>
      <c r="C171">
        <v>2</v>
      </c>
      <c r="D171">
        <v>1</v>
      </c>
      <c r="E171">
        <v>4</v>
      </c>
      <c r="F171" t="s">
        <v>14</v>
      </c>
      <c r="G171">
        <v>5.15</v>
      </c>
      <c r="I171">
        <v>4</v>
      </c>
      <c r="J171" t="s">
        <v>24</v>
      </c>
      <c r="K171" t="str">
        <f t="shared" si="7"/>
        <v/>
      </c>
      <c r="L171" t="s">
        <v>16</v>
      </c>
      <c r="M171">
        <v>9</v>
      </c>
      <c r="O171" s="6" t="s">
        <v>1695</v>
      </c>
      <c r="T171">
        <f t="shared" si="8"/>
        <v>20</v>
      </c>
      <c r="U171" t="s">
        <v>756</v>
      </c>
      <c r="V171" s="4" t="s">
        <v>727</v>
      </c>
      <c r="W171">
        <v>170</v>
      </c>
      <c r="Y171">
        <f>LEN(O169)</f>
        <v>3</v>
      </c>
      <c r="Z171">
        <f t="shared" si="9"/>
        <v>0</v>
      </c>
      <c r="AD171" t="str">
        <v>2060</v>
      </c>
      <c r="AF171" s="2" t="str">
        <v>416</v>
      </c>
    </row>
    <row r="172" spans="1:32" x14ac:dyDescent="0.25">
      <c r="A172" s="4">
        <v>1009</v>
      </c>
      <c r="B172" t="s">
        <v>22</v>
      </c>
      <c r="C172">
        <v>2</v>
      </c>
      <c r="D172">
        <v>1</v>
      </c>
      <c r="E172">
        <v>3</v>
      </c>
      <c r="F172" t="s">
        <v>14</v>
      </c>
      <c r="G172">
        <v>5.15</v>
      </c>
      <c r="I172">
        <v>4</v>
      </c>
      <c r="J172" t="s">
        <v>24</v>
      </c>
      <c r="K172" t="str">
        <f t="shared" si="7"/>
        <v/>
      </c>
      <c r="L172" t="s">
        <v>16</v>
      </c>
      <c r="M172">
        <v>9</v>
      </c>
      <c r="O172" s="6" t="s">
        <v>1698</v>
      </c>
      <c r="T172">
        <f t="shared" si="8"/>
        <v>20</v>
      </c>
      <c r="U172" t="s">
        <v>761</v>
      </c>
      <c r="V172" s="4" t="s">
        <v>762</v>
      </c>
      <c r="W172">
        <v>171</v>
      </c>
      <c r="Y172">
        <f>LEN(O170)</f>
        <v>3</v>
      </c>
      <c r="Z172">
        <f t="shared" si="9"/>
        <v>0</v>
      </c>
      <c r="AD172" t="str">
        <v>20</v>
      </c>
      <c r="AF172" s="2" t="str">
        <v>418</v>
      </c>
    </row>
    <row r="173" spans="1:32" x14ac:dyDescent="0.25">
      <c r="A173" s="4">
        <v>1009</v>
      </c>
      <c r="B173" t="s">
        <v>22</v>
      </c>
      <c r="C173">
        <v>2</v>
      </c>
      <c r="D173">
        <v>1</v>
      </c>
      <c r="E173">
        <v>2</v>
      </c>
      <c r="F173" t="s">
        <v>14</v>
      </c>
      <c r="G173">
        <v>5.15</v>
      </c>
      <c r="I173">
        <v>4</v>
      </c>
      <c r="J173" t="s">
        <v>24</v>
      </c>
      <c r="K173" t="str">
        <f t="shared" si="7"/>
        <v/>
      </c>
      <c r="L173" t="s">
        <v>16</v>
      </c>
      <c r="M173">
        <v>9</v>
      </c>
      <c r="O173" s="6" t="s">
        <v>3889</v>
      </c>
      <c r="T173">
        <f t="shared" si="8"/>
        <v>20</v>
      </c>
      <c r="U173" t="s">
        <v>769</v>
      </c>
      <c r="V173" s="4" t="s">
        <v>762</v>
      </c>
      <c r="W173">
        <v>172</v>
      </c>
      <c r="Y173">
        <f>LEN(O171)</f>
        <v>3</v>
      </c>
      <c r="Z173">
        <f t="shared" si="9"/>
        <v>0</v>
      </c>
      <c r="AD173" t="str">
        <v>19058</v>
      </c>
      <c r="AF173" s="2" t="str">
        <v>419</v>
      </c>
    </row>
    <row r="174" spans="1:32" x14ac:dyDescent="0.25">
      <c r="A174" s="4">
        <v>1009</v>
      </c>
      <c r="B174" t="s">
        <v>22</v>
      </c>
      <c r="C174">
        <v>2</v>
      </c>
      <c r="D174">
        <v>1</v>
      </c>
      <c r="E174">
        <v>5</v>
      </c>
      <c r="F174" t="s">
        <v>14</v>
      </c>
      <c r="G174">
        <v>5.15</v>
      </c>
      <c r="I174">
        <v>4</v>
      </c>
      <c r="J174" t="s">
        <v>17</v>
      </c>
      <c r="K174" t="str">
        <f t="shared" si="7"/>
        <v/>
      </c>
      <c r="L174" t="s">
        <v>16</v>
      </c>
      <c r="M174">
        <v>4</v>
      </c>
      <c r="O174" s="6" t="s">
        <v>1547</v>
      </c>
      <c r="T174">
        <f t="shared" si="8"/>
        <v>20</v>
      </c>
      <c r="U174" t="s">
        <v>771</v>
      </c>
      <c r="V174" s="4" t="s">
        <v>762</v>
      </c>
      <c r="W174">
        <v>173</v>
      </c>
      <c r="Y174">
        <f>LEN(O172)</f>
        <v>3</v>
      </c>
      <c r="Z174">
        <f t="shared" si="9"/>
        <v>0</v>
      </c>
      <c r="AD174" t="str">
        <v>19</v>
      </c>
      <c r="AF174" s="2" t="str">
        <v>4225</v>
      </c>
    </row>
    <row r="175" spans="1:32" x14ac:dyDescent="0.25">
      <c r="A175" s="4">
        <v>1009</v>
      </c>
      <c r="B175" t="s">
        <v>22</v>
      </c>
      <c r="C175">
        <v>2</v>
      </c>
      <c r="D175">
        <v>1</v>
      </c>
      <c r="E175">
        <v>4</v>
      </c>
      <c r="F175" t="s">
        <v>14</v>
      </c>
      <c r="G175">
        <v>5.15</v>
      </c>
      <c r="I175">
        <v>4</v>
      </c>
      <c r="J175" t="s">
        <v>17</v>
      </c>
      <c r="K175" t="str">
        <f t="shared" si="7"/>
        <v/>
      </c>
      <c r="L175" t="s">
        <v>16</v>
      </c>
      <c r="M175">
        <v>4</v>
      </c>
      <c r="O175" s="6" t="s">
        <v>1590</v>
      </c>
      <c r="T175">
        <f t="shared" si="8"/>
        <v>20</v>
      </c>
      <c r="U175" t="s">
        <v>774</v>
      </c>
      <c r="V175" s="4" t="s">
        <v>762</v>
      </c>
      <c r="W175">
        <v>174</v>
      </c>
      <c r="Y175">
        <f>LEN(O173)</f>
        <v>4</v>
      </c>
      <c r="Z175">
        <f t="shared" si="9"/>
        <v>0</v>
      </c>
      <c r="AD175" t="str">
        <v>175</v>
      </c>
      <c r="AF175" s="2" t="str">
        <v>439</v>
      </c>
    </row>
    <row r="176" spans="1:32" x14ac:dyDescent="0.25">
      <c r="A176" s="4">
        <v>1009</v>
      </c>
      <c r="B176" t="s">
        <v>22</v>
      </c>
      <c r="C176">
        <v>2</v>
      </c>
      <c r="D176">
        <v>1</v>
      </c>
      <c r="E176">
        <v>3</v>
      </c>
      <c r="F176" t="s">
        <v>14</v>
      </c>
      <c r="G176">
        <v>5.15</v>
      </c>
      <c r="I176">
        <v>4</v>
      </c>
      <c r="J176" t="s">
        <v>17</v>
      </c>
      <c r="K176" t="str">
        <f t="shared" si="7"/>
        <v/>
      </c>
      <c r="L176" t="s">
        <v>16</v>
      </c>
      <c r="M176">
        <v>4</v>
      </c>
      <c r="O176" s="6" t="s">
        <v>1802</v>
      </c>
      <c r="T176">
        <f t="shared" si="8"/>
        <v>20</v>
      </c>
      <c r="U176" t="s">
        <v>781</v>
      </c>
      <c r="V176" s="4" t="s">
        <v>762</v>
      </c>
      <c r="W176">
        <v>175</v>
      </c>
      <c r="Y176">
        <f>LEN(O174)</f>
        <v>3</v>
      </c>
      <c r="Z176">
        <f t="shared" si="9"/>
        <v>0</v>
      </c>
      <c r="AD176" t="str">
        <v>170</v>
      </c>
      <c r="AF176" s="2" t="str">
        <v>440</v>
      </c>
    </row>
    <row r="177" spans="1:32" x14ac:dyDescent="0.25">
      <c r="A177" s="4">
        <v>1009</v>
      </c>
      <c r="B177" t="s">
        <v>22</v>
      </c>
      <c r="C177">
        <v>2</v>
      </c>
      <c r="D177">
        <v>1</v>
      </c>
      <c r="E177">
        <v>2</v>
      </c>
      <c r="F177" t="s">
        <v>14</v>
      </c>
      <c r="G177">
        <v>5.15</v>
      </c>
      <c r="I177">
        <v>4</v>
      </c>
      <c r="J177" t="s">
        <v>17</v>
      </c>
      <c r="K177" t="str">
        <f t="shared" si="7"/>
        <v/>
      </c>
      <c r="L177" t="s">
        <v>16</v>
      </c>
      <c r="M177">
        <v>4</v>
      </c>
      <c r="O177" s="6" t="s">
        <v>2655</v>
      </c>
      <c r="T177">
        <f t="shared" si="8"/>
        <v>20</v>
      </c>
      <c r="U177" t="s">
        <v>784</v>
      </c>
      <c r="V177" s="4" t="s">
        <v>762</v>
      </c>
      <c r="W177">
        <v>176</v>
      </c>
      <c r="Y177">
        <f>LEN(O175)</f>
        <v>3</v>
      </c>
      <c r="Z177">
        <f t="shared" si="9"/>
        <v>0</v>
      </c>
      <c r="AD177" t="str">
        <v>167</v>
      </c>
      <c r="AF177" s="2" t="str">
        <v>443</v>
      </c>
    </row>
    <row r="178" spans="1:32" x14ac:dyDescent="0.25">
      <c r="A178" s="4">
        <v>1009</v>
      </c>
      <c r="B178" t="s">
        <v>22</v>
      </c>
      <c r="C178">
        <v>2</v>
      </c>
      <c r="D178">
        <v>1</v>
      </c>
      <c r="E178">
        <v>5</v>
      </c>
      <c r="F178" t="s">
        <v>14</v>
      </c>
      <c r="G178">
        <v>5.15</v>
      </c>
      <c r="I178">
        <v>4</v>
      </c>
      <c r="J178" t="s">
        <v>15</v>
      </c>
      <c r="K178" t="str">
        <f t="shared" si="7"/>
        <v/>
      </c>
      <c r="L178" t="s">
        <v>16</v>
      </c>
      <c r="M178">
        <v>2</v>
      </c>
      <c r="O178" s="6" t="s">
        <v>1822</v>
      </c>
      <c r="T178">
        <f t="shared" si="8"/>
        <v>20</v>
      </c>
      <c r="U178" t="s">
        <v>786</v>
      </c>
      <c r="V178" s="4" t="s">
        <v>762</v>
      </c>
      <c r="W178">
        <v>177</v>
      </c>
      <c r="Y178">
        <f>LEN(O176)</f>
        <v>3</v>
      </c>
      <c r="Z178">
        <f t="shared" si="9"/>
        <v>0</v>
      </c>
      <c r="AD178" t="str">
        <v>166</v>
      </c>
      <c r="AF178" s="2" t="str">
        <v>4450</v>
      </c>
    </row>
    <row r="179" spans="1:32" x14ac:dyDescent="0.25">
      <c r="A179" s="4">
        <v>1009</v>
      </c>
      <c r="B179" t="s">
        <v>22</v>
      </c>
      <c r="C179">
        <v>2</v>
      </c>
      <c r="D179">
        <v>1</v>
      </c>
      <c r="E179">
        <v>4</v>
      </c>
      <c r="F179" t="s">
        <v>14</v>
      </c>
      <c r="G179">
        <v>5.15</v>
      </c>
      <c r="I179">
        <v>4</v>
      </c>
      <c r="J179" t="s">
        <v>15</v>
      </c>
      <c r="K179" t="str">
        <f t="shared" si="7"/>
        <v/>
      </c>
      <c r="L179" t="s">
        <v>16</v>
      </c>
      <c r="M179">
        <v>2</v>
      </c>
      <c r="O179" s="6" t="s">
        <v>1833</v>
      </c>
      <c r="T179">
        <f t="shared" si="8"/>
        <v>20</v>
      </c>
      <c r="U179" t="s">
        <v>793</v>
      </c>
      <c r="V179" s="4" t="s">
        <v>762</v>
      </c>
      <c r="W179">
        <v>178</v>
      </c>
      <c r="Y179">
        <f>LEN(O177)</f>
        <v>4</v>
      </c>
      <c r="Z179">
        <f t="shared" si="9"/>
        <v>0</v>
      </c>
      <c r="AD179" t="str">
        <v>165</v>
      </c>
      <c r="AF179" s="2" t="str">
        <v>448</v>
      </c>
    </row>
    <row r="180" spans="1:32" x14ac:dyDescent="0.25">
      <c r="A180" s="4">
        <v>1009</v>
      </c>
      <c r="B180" t="s">
        <v>22</v>
      </c>
      <c r="C180">
        <v>2</v>
      </c>
      <c r="D180">
        <v>1</v>
      </c>
      <c r="E180">
        <v>3</v>
      </c>
      <c r="F180" t="s">
        <v>14</v>
      </c>
      <c r="G180">
        <v>5.15</v>
      </c>
      <c r="I180">
        <v>4</v>
      </c>
      <c r="J180" t="s">
        <v>15</v>
      </c>
      <c r="K180" t="str">
        <f t="shared" si="7"/>
        <v/>
      </c>
      <c r="L180" t="s">
        <v>16</v>
      </c>
      <c r="M180">
        <v>2</v>
      </c>
      <c r="O180" s="6" t="s">
        <v>1920</v>
      </c>
      <c r="T180">
        <f t="shared" si="8"/>
        <v>20</v>
      </c>
      <c r="U180" t="s">
        <v>796</v>
      </c>
      <c r="V180" s="4" t="s">
        <v>762</v>
      </c>
      <c r="W180">
        <v>179</v>
      </c>
      <c r="Y180">
        <f>LEN(O178)</f>
        <v>3</v>
      </c>
      <c r="Z180">
        <f t="shared" si="9"/>
        <v>0</v>
      </c>
      <c r="AD180" t="str">
        <v>16</v>
      </c>
      <c r="AF180" s="2" t="str">
        <v>450</v>
      </c>
    </row>
    <row r="181" spans="1:32" x14ac:dyDescent="0.25">
      <c r="A181" s="4">
        <v>1009</v>
      </c>
      <c r="B181" t="s">
        <v>22</v>
      </c>
      <c r="C181">
        <v>2</v>
      </c>
      <c r="D181">
        <v>1</v>
      </c>
      <c r="E181">
        <v>2</v>
      </c>
      <c r="F181" t="s">
        <v>14</v>
      </c>
      <c r="G181">
        <v>5.15</v>
      </c>
      <c r="I181">
        <v>4</v>
      </c>
      <c r="J181" t="s">
        <v>15</v>
      </c>
      <c r="K181" t="str">
        <f t="shared" si="7"/>
        <v/>
      </c>
      <c r="L181" t="s">
        <v>16</v>
      </c>
      <c r="M181">
        <v>2</v>
      </c>
      <c r="O181" s="6" t="s">
        <v>1923</v>
      </c>
      <c r="T181">
        <f t="shared" si="8"/>
        <v>20</v>
      </c>
      <c r="U181" t="s">
        <v>798</v>
      </c>
      <c r="V181" s="4" t="s">
        <v>762</v>
      </c>
      <c r="W181">
        <v>180</v>
      </c>
      <c r="Y181">
        <f>LEN(O179)</f>
        <v>3</v>
      </c>
      <c r="Z181">
        <f t="shared" si="9"/>
        <v>0</v>
      </c>
      <c r="AD181" t="str">
        <v>1511</v>
      </c>
      <c r="AF181" s="2" t="str">
        <v>475</v>
      </c>
    </row>
    <row r="182" spans="1:32" x14ac:dyDescent="0.25">
      <c r="A182" s="4">
        <v>1009</v>
      </c>
      <c r="B182" t="s">
        <v>22</v>
      </c>
      <c r="C182">
        <v>2</v>
      </c>
      <c r="D182">
        <v>1</v>
      </c>
      <c r="E182">
        <v>5</v>
      </c>
      <c r="F182" t="s">
        <v>14</v>
      </c>
      <c r="G182">
        <v>5.15</v>
      </c>
      <c r="I182">
        <v>4</v>
      </c>
      <c r="J182" t="s">
        <v>18</v>
      </c>
      <c r="K182" t="str">
        <f t="shared" si="7"/>
        <v/>
      </c>
      <c r="L182" t="s">
        <v>16</v>
      </c>
      <c r="M182">
        <v>2</v>
      </c>
      <c r="O182" s="6" t="s">
        <v>1777</v>
      </c>
      <c r="T182">
        <f t="shared" si="8"/>
        <v>20</v>
      </c>
      <c r="U182" t="s">
        <v>805</v>
      </c>
      <c r="V182" s="4" t="s">
        <v>762</v>
      </c>
      <c r="W182">
        <v>181</v>
      </c>
      <c r="Y182">
        <f>LEN(O180)</f>
        <v>3</v>
      </c>
      <c r="Z182">
        <f t="shared" si="9"/>
        <v>0</v>
      </c>
      <c r="AD182" t="str">
        <v>1510</v>
      </c>
      <c r="AF182" s="2" t="str">
        <v>476</v>
      </c>
    </row>
    <row r="183" spans="1:32" x14ac:dyDescent="0.25">
      <c r="A183" s="4">
        <v>1009</v>
      </c>
      <c r="B183" t="s">
        <v>22</v>
      </c>
      <c r="C183">
        <v>2</v>
      </c>
      <c r="D183">
        <v>1</v>
      </c>
      <c r="E183">
        <v>4</v>
      </c>
      <c r="F183" t="s">
        <v>14</v>
      </c>
      <c r="G183">
        <v>5.15</v>
      </c>
      <c r="I183">
        <v>4</v>
      </c>
      <c r="J183" t="s">
        <v>18</v>
      </c>
      <c r="K183" t="str">
        <f t="shared" si="7"/>
        <v/>
      </c>
      <c r="L183" t="s">
        <v>16</v>
      </c>
      <c r="M183">
        <v>2</v>
      </c>
      <c r="O183" s="6" t="s">
        <v>1966</v>
      </c>
      <c r="T183">
        <f t="shared" si="8"/>
        <v>20</v>
      </c>
      <c r="U183" t="s">
        <v>808</v>
      </c>
      <c r="V183" s="4" t="s">
        <v>762</v>
      </c>
      <c r="W183">
        <v>182</v>
      </c>
      <c r="Y183">
        <f>LEN(O181)</f>
        <v>3</v>
      </c>
      <c r="Z183">
        <f t="shared" si="9"/>
        <v>0</v>
      </c>
      <c r="AD183" t="str">
        <v>151</v>
      </c>
      <c r="AF183" s="2" t="str">
        <v>481</v>
      </c>
    </row>
    <row r="184" spans="1:32" x14ac:dyDescent="0.25">
      <c r="A184" s="4">
        <v>1009</v>
      </c>
      <c r="B184" t="s">
        <v>22</v>
      </c>
      <c r="C184">
        <v>2</v>
      </c>
      <c r="D184">
        <v>1</v>
      </c>
      <c r="E184">
        <v>3</v>
      </c>
      <c r="F184" t="s">
        <v>14</v>
      </c>
      <c r="G184">
        <v>5.15</v>
      </c>
      <c r="I184">
        <v>4</v>
      </c>
      <c r="J184" t="s">
        <v>18</v>
      </c>
      <c r="K184" t="str">
        <f t="shared" si="7"/>
        <v/>
      </c>
      <c r="L184" t="s">
        <v>16</v>
      </c>
      <c r="M184">
        <v>2</v>
      </c>
      <c r="O184" s="6" t="s">
        <v>490</v>
      </c>
      <c r="T184">
        <f t="shared" si="8"/>
        <v>20</v>
      </c>
      <c r="U184" t="s">
        <v>811</v>
      </c>
      <c r="V184" s="4" t="s">
        <v>812</v>
      </c>
      <c r="W184">
        <v>183</v>
      </c>
      <c r="Y184">
        <f>LEN(O182)</f>
        <v>3</v>
      </c>
      <c r="Z184">
        <f t="shared" si="9"/>
        <v>0</v>
      </c>
      <c r="AD184" t="str">
        <v>15</v>
      </c>
      <c r="AF184" s="2" t="str">
        <v>491</v>
      </c>
    </row>
    <row r="185" spans="1:32" x14ac:dyDescent="0.25">
      <c r="A185" s="4">
        <v>1009</v>
      </c>
      <c r="B185" t="s">
        <v>22</v>
      </c>
      <c r="C185">
        <v>2</v>
      </c>
      <c r="D185">
        <v>1</v>
      </c>
      <c r="E185">
        <v>2</v>
      </c>
      <c r="F185" t="s">
        <v>14</v>
      </c>
      <c r="G185">
        <v>5.15</v>
      </c>
      <c r="I185">
        <v>4</v>
      </c>
      <c r="J185" t="s">
        <v>18</v>
      </c>
      <c r="K185" t="str">
        <f t="shared" si="7"/>
        <v/>
      </c>
      <c r="L185" t="s">
        <v>16</v>
      </c>
      <c r="M185">
        <v>2</v>
      </c>
      <c r="O185" s="6" t="s">
        <v>674</v>
      </c>
      <c r="T185">
        <f t="shared" si="8"/>
        <v>20</v>
      </c>
      <c r="U185" t="s">
        <v>822</v>
      </c>
      <c r="V185" s="4" t="s">
        <v>812</v>
      </c>
      <c r="W185">
        <v>184</v>
      </c>
      <c r="Y185">
        <f>LEN(O183)</f>
        <v>3</v>
      </c>
      <c r="Z185">
        <f t="shared" si="9"/>
        <v>0</v>
      </c>
      <c r="AD185" t="str">
        <v>149</v>
      </c>
      <c r="AF185" s="2" t="str">
        <v>5014</v>
      </c>
    </row>
    <row r="186" spans="1:32" x14ac:dyDescent="0.25">
      <c r="A186" s="4">
        <v>1009</v>
      </c>
      <c r="B186" t="s">
        <v>22</v>
      </c>
      <c r="C186">
        <v>2</v>
      </c>
      <c r="D186">
        <v>1</v>
      </c>
      <c r="E186">
        <v>10</v>
      </c>
      <c r="F186" t="s">
        <v>14</v>
      </c>
      <c r="G186">
        <v>5.9</v>
      </c>
      <c r="I186">
        <v>5</v>
      </c>
      <c r="J186" t="s">
        <v>24</v>
      </c>
      <c r="K186" t="str">
        <f t="shared" si="7"/>
        <v/>
      </c>
      <c r="L186" t="s">
        <v>16</v>
      </c>
      <c r="M186">
        <v>10</v>
      </c>
      <c r="O186" s="6" t="s">
        <v>2016</v>
      </c>
      <c r="T186">
        <f t="shared" si="8"/>
        <v>20</v>
      </c>
      <c r="U186" t="s">
        <v>826</v>
      </c>
      <c r="V186" s="4" t="s">
        <v>827</v>
      </c>
      <c r="W186">
        <v>185</v>
      </c>
      <c r="Y186">
        <f>LEN(O184)</f>
        <v>4</v>
      </c>
      <c r="Z186">
        <f t="shared" si="9"/>
        <v>0</v>
      </c>
      <c r="AD186" t="str">
        <v>148</v>
      </c>
      <c r="AF186" s="2" t="str">
        <v>5022</v>
      </c>
    </row>
    <row r="187" spans="1:32" x14ac:dyDescent="0.25">
      <c r="A187" s="4">
        <v>1009</v>
      </c>
      <c r="B187" t="s">
        <v>22</v>
      </c>
      <c r="C187">
        <v>2</v>
      </c>
      <c r="D187">
        <v>1</v>
      </c>
      <c r="E187">
        <v>9</v>
      </c>
      <c r="F187" t="s">
        <v>14</v>
      </c>
      <c r="G187">
        <v>5.9</v>
      </c>
      <c r="I187">
        <v>5</v>
      </c>
      <c r="J187" t="s">
        <v>24</v>
      </c>
      <c r="K187" t="str">
        <f t="shared" si="7"/>
        <v/>
      </c>
      <c r="L187" t="s">
        <v>16</v>
      </c>
      <c r="M187">
        <v>10</v>
      </c>
      <c r="O187" s="6" t="s">
        <v>2018</v>
      </c>
      <c r="T187">
        <f t="shared" si="8"/>
        <v>20</v>
      </c>
      <c r="U187" t="s">
        <v>836</v>
      </c>
      <c r="V187" s="4" t="s">
        <v>827</v>
      </c>
      <c r="W187">
        <v>186</v>
      </c>
      <c r="Y187">
        <f>LEN(O185)</f>
        <v>4</v>
      </c>
      <c r="Z187">
        <f t="shared" si="9"/>
        <v>0</v>
      </c>
      <c r="AD187" t="str">
        <v>1456</v>
      </c>
      <c r="AF187" s="2" t="str">
        <v>503</v>
      </c>
    </row>
    <row r="188" spans="1:32" x14ac:dyDescent="0.25">
      <c r="A188" s="4">
        <v>1009</v>
      </c>
      <c r="B188" t="s">
        <v>22</v>
      </c>
      <c r="C188">
        <v>2</v>
      </c>
      <c r="D188">
        <v>1</v>
      </c>
      <c r="E188">
        <v>8</v>
      </c>
      <c r="F188" t="s">
        <v>14</v>
      </c>
      <c r="G188">
        <v>5.9</v>
      </c>
      <c r="I188">
        <v>5</v>
      </c>
      <c r="J188" t="s">
        <v>24</v>
      </c>
      <c r="K188" t="str">
        <f t="shared" si="7"/>
        <v/>
      </c>
      <c r="L188" t="s">
        <v>16</v>
      </c>
      <c r="M188">
        <v>10</v>
      </c>
      <c r="O188" s="6" t="s">
        <v>727</v>
      </c>
      <c r="T188">
        <f t="shared" si="8"/>
        <v>20</v>
      </c>
      <c r="U188" t="s">
        <v>840</v>
      </c>
      <c r="V188" s="4" t="s">
        <v>827</v>
      </c>
      <c r="W188">
        <v>187</v>
      </c>
      <c r="Y188">
        <f>LEN(O186)</f>
        <v>3</v>
      </c>
      <c r="Z188">
        <f t="shared" si="9"/>
        <v>0</v>
      </c>
      <c r="AD188" t="str">
        <v>142</v>
      </c>
      <c r="AF188" s="2" t="str">
        <v>504</v>
      </c>
    </row>
    <row r="189" spans="1:32" x14ac:dyDescent="0.25">
      <c r="A189" s="4">
        <v>1009</v>
      </c>
      <c r="B189" t="s">
        <v>22</v>
      </c>
      <c r="C189">
        <v>2</v>
      </c>
      <c r="D189">
        <v>1</v>
      </c>
      <c r="E189">
        <v>7</v>
      </c>
      <c r="F189" t="s">
        <v>14</v>
      </c>
      <c r="G189">
        <v>5.9</v>
      </c>
      <c r="I189">
        <v>5</v>
      </c>
      <c r="J189" t="s">
        <v>24</v>
      </c>
      <c r="K189" t="str">
        <f t="shared" si="7"/>
        <v/>
      </c>
      <c r="L189" t="s">
        <v>16</v>
      </c>
      <c r="M189">
        <v>10</v>
      </c>
      <c r="O189" s="6" t="s">
        <v>3404</v>
      </c>
      <c r="T189">
        <f t="shared" si="8"/>
        <v>20</v>
      </c>
      <c r="U189" t="s">
        <v>843</v>
      </c>
      <c r="V189" s="4" t="s">
        <v>827</v>
      </c>
      <c r="W189">
        <v>188</v>
      </c>
      <c r="Y189">
        <f>LEN(O187)</f>
        <v>3</v>
      </c>
      <c r="Z189">
        <f t="shared" si="9"/>
        <v>0</v>
      </c>
      <c r="AD189" t="str">
        <v>140</v>
      </c>
      <c r="AF189" s="2" t="str">
        <v>5040</v>
      </c>
    </row>
    <row r="190" spans="1:32" x14ac:dyDescent="0.25">
      <c r="A190" s="4">
        <v>1009</v>
      </c>
      <c r="B190" t="s">
        <v>22</v>
      </c>
      <c r="C190">
        <v>2</v>
      </c>
      <c r="D190">
        <v>1</v>
      </c>
      <c r="E190">
        <v>6</v>
      </c>
      <c r="F190" t="s">
        <v>14</v>
      </c>
      <c r="G190">
        <v>5.9</v>
      </c>
      <c r="I190">
        <v>5</v>
      </c>
      <c r="J190" t="s">
        <v>24</v>
      </c>
      <c r="K190" t="str">
        <f t="shared" si="7"/>
        <v/>
      </c>
      <c r="L190" t="s">
        <v>16</v>
      </c>
      <c r="M190">
        <v>10</v>
      </c>
      <c r="O190" s="6" t="s">
        <v>1159</v>
      </c>
      <c r="T190">
        <f t="shared" si="8"/>
        <v>20</v>
      </c>
      <c r="U190" t="s">
        <v>847</v>
      </c>
      <c r="V190" s="4" t="s">
        <v>827</v>
      </c>
      <c r="W190">
        <v>189</v>
      </c>
      <c r="Y190">
        <f>LEN(O188)</f>
        <v>4</v>
      </c>
      <c r="Z190">
        <f t="shared" si="9"/>
        <v>0</v>
      </c>
      <c r="AD190" t="str">
        <v>14</v>
      </c>
      <c r="AF190" s="2" t="str">
        <v>5041</v>
      </c>
    </row>
    <row r="191" spans="1:32" x14ac:dyDescent="0.25">
      <c r="A191" s="4">
        <v>1009</v>
      </c>
      <c r="B191" t="s">
        <v>22</v>
      </c>
      <c r="C191">
        <v>2</v>
      </c>
      <c r="D191">
        <v>1</v>
      </c>
      <c r="E191">
        <v>10</v>
      </c>
      <c r="F191" t="s">
        <v>14</v>
      </c>
      <c r="G191">
        <v>5.9</v>
      </c>
      <c r="I191">
        <v>5</v>
      </c>
      <c r="J191" t="s">
        <v>17</v>
      </c>
      <c r="K191" t="str">
        <f t="shared" si="7"/>
        <v/>
      </c>
      <c r="L191" t="s">
        <v>16</v>
      </c>
      <c r="M191">
        <v>7</v>
      </c>
      <c r="O191" s="6" t="s">
        <v>3564</v>
      </c>
      <c r="T191">
        <f t="shared" si="8"/>
        <v>20</v>
      </c>
      <c r="U191" t="s">
        <v>851</v>
      </c>
      <c r="V191" s="4" t="s">
        <v>827</v>
      </c>
      <c r="W191">
        <v>190</v>
      </c>
      <c r="Y191">
        <f>LEN(O189)</f>
        <v>4</v>
      </c>
      <c r="Z191">
        <f t="shared" si="9"/>
        <v>0</v>
      </c>
      <c r="AD191" t="str">
        <v>132</v>
      </c>
      <c r="AF191" s="2" t="str">
        <v>5043</v>
      </c>
    </row>
    <row r="192" spans="1:32" x14ac:dyDescent="0.25">
      <c r="A192" s="4">
        <v>1009</v>
      </c>
      <c r="B192" t="s">
        <v>22</v>
      </c>
      <c r="C192">
        <v>2</v>
      </c>
      <c r="D192">
        <v>1</v>
      </c>
      <c r="E192">
        <v>9</v>
      </c>
      <c r="F192" t="s">
        <v>14</v>
      </c>
      <c r="G192">
        <v>5.9</v>
      </c>
      <c r="I192">
        <v>5</v>
      </c>
      <c r="J192" t="s">
        <v>17</v>
      </c>
      <c r="K192" t="str">
        <f t="shared" si="7"/>
        <v/>
      </c>
      <c r="L192" t="s">
        <v>16</v>
      </c>
      <c r="M192">
        <v>7</v>
      </c>
      <c r="O192" s="6" t="s">
        <v>3802</v>
      </c>
      <c r="T192">
        <f t="shared" si="8"/>
        <v>20</v>
      </c>
      <c r="U192" t="s">
        <v>855</v>
      </c>
      <c r="V192" s="4" t="s">
        <v>316</v>
      </c>
      <c r="W192">
        <v>191</v>
      </c>
      <c r="Y192">
        <f>LEN(O190)</f>
        <v>4</v>
      </c>
      <c r="Z192">
        <f t="shared" si="9"/>
        <v>0</v>
      </c>
      <c r="AD192" t="str">
        <v>131</v>
      </c>
      <c r="AF192" s="2" t="str">
        <v>5044</v>
      </c>
    </row>
    <row r="193" spans="1:32" x14ac:dyDescent="0.25">
      <c r="A193" s="4">
        <v>1009</v>
      </c>
      <c r="B193" t="s">
        <v>22</v>
      </c>
      <c r="C193">
        <v>2</v>
      </c>
      <c r="D193">
        <v>1</v>
      </c>
      <c r="E193">
        <v>8</v>
      </c>
      <c r="F193" t="s">
        <v>14</v>
      </c>
      <c r="G193">
        <v>5.9</v>
      </c>
      <c r="I193">
        <v>5</v>
      </c>
      <c r="J193" t="s">
        <v>17</v>
      </c>
      <c r="K193" t="str">
        <f t="shared" si="7"/>
        <v/>
      </c>
      <c r="L193" t="s">
        <v>16</v>
      </c>
      <c r="M193">
        <v>7</v>
      </c>
      <c r="O193" s="6" t="s">
        <v>900</v>
      </c>
      <c r="T193">
        <f t="shared" si="8"/>
        <v>20</v>
      </c>
      <c r="U193" t="s">
        <v>861</v>
      </c>
      <c r="V193" s="4" t="s">
        <v>316</v>
      </c>
      <c r="W193">
        <v>192</v>
      </c>
      <c r="Y193">
        <f>LEN(O191)</f>
        <v>4</v>
      </c>
      <c r="Z193">
        <f t="shared" si="9"/>
        <v>0</v>
      </c>
      <c r="AD193" t="str">
        <v>130</v>
      </c>
      <c r="AF193" s="2" t="str">
        <v>5050</v>
      </c>
    </row>
    <row r="194" spans="1:32" x14ac:dyDescent="0.25">
      <c r="A194" s="4">
        <v>1009</v>
      </c>
      <c r="B194" t="s">
        <v>22</v>
      </c>
      <c r="C194">
        <v>2</v>
      </c>
      <c r="D194">
        <v>1</v>
      </c>
      <c r="E194">
        <v>7</v>
      </c>
      <c r="F194" t="s">
        <v>14</v>
      </c>
      <c r="G194">
        <v>5.9</v>
      </c>
      <c r="I194">
        <v>5</v>
      </c>
      <c r="J194" t="s">
        <v>17</v>
      </c>
      <c r="K194" t="str">
        <f t="shared" si="7"/>
        <v/>
      </c>
      <c r="L194" t="s">
        <v>16</v>
      </c>
      <c r="M194">
        <v>7</v>
      </c>
      <c r="O194" s="6" t="s">
        <v>1262</v>
      </c>
      <c r="T194">
        <f t="shared" si="8"/>
        <v>20</v>
      </c>
      <c r="U194" t="s">
        <v>864</v>
      </c>
      <c r="V194" s="4" t="s">
        <v>316</v>
      </c>
      <c r="W194">
        <v>193</v>
      </c>
      <c r="Y194">
        <f>LEN(O192)</f>
        <v>4</v>
      </c>
      <c r="Z194">
        <f t="shared" si="9"/>
        <v>0</v>
      </c>
      <c r="AD194" t="str">
        <v>13</v>
      </c>
      <c r="AF194" s="2" t="str">
        <v>5051</v>
      </c>
    </row>
    <row r="195" spans="1:32" x14ac:dyDescent="0.25">
      <c r="A195" s="4">
        <v>1009</v>
      </c>
      <c r="B195" t="s">
        <v>22</v>
      </c>
      <c r="C195">
        <v>2</v>
      </c>
      <c r="D195">
        <v>1</v>
      </c>
      <c r="E195">
        <v>6</v>
      </c>
      <c r="F195" t="s">
        <v>14</v>
      </c>
      <c r="G195">
        <v>5.9</v>
      </c>
      <c r="I195">
        <v>5</v>
      </c>
      <c r="J195" t="s">
        <v>17</v>
      </c>
      <c r="K195" t="str">
        <f t="shared" ref="K195:K258" si="10">_xlfn.XLOOKUP(A195,V:V,U:U,"",0)</f>
        <v/>
      </c>
      <c r="L195" t="s">
        <v>16</v>
      </c>
      <c r="M195">
        <v>7</v>
      </c>
      <c r="O195" s="6" t="s">
        <v>2339</v>
      </c>
      <c r="T195">
        <f t="shared" ref="T195:T258" si="11">LEN(U195)</f>
        <v>20</v>
      </c>
      <c r="U195" t="s">
        <v>867</v>
      </c>
      <c r="V195" s="4" t="s">
        <v>316</v>
      </c>
      <c r="W195">
        <v>194</v>
      </c>
      <c r="Y195">
        <f>LEN(O193)</f>
        <v>4</v>
      </c>
      <c r="Z195">
        <f t="shared" ref="Z195:Z258" si="12">LEN(P195)</f>
        <v>0</v>
      </c>
      <c r="AD195" t="str">
        <v>129</v>
      </c>
      <c r="AF195" s="2" t="str">
        <v>5052</v>
      </c>
    </row>
    <row r="196" spans="1:32" x14ac:dyDescent="0.25">
      <c r="A196" s="4">
        <v>1009</v>
      </c>
      <c r="B196" t="s">
        <v>22</v>
      </c>
      <c r="C196">
        <v>2</v>
      </c>
      <c r="D196">
        <v>1</v>
      </c>
      <c r="E196">
        <v>10</v>
      </c>
      <c r="F196" t="s">
        <v>14</v>
      </c>
      <c r="G196">
        <v>5.9</v>
      </c>
      <c r="I196">
        <v>5</v>
      </c>
      <c r="J196" t="s">
        <v>15</v>
      </c>
      <c r="K196" t="str">
        <f t="shared" si="10"/>
        <v/>
      </c>
      <c r="L196" t="s">
        <v>16</v>
      </c>
      <c r="M196">
        <v>5</v>
      </c>
      <c r="O196" s="6" t="s">
        <v>3898</v>
      </c>
      <c r="T196">
        <f t="shared" si="11"/>
        <v>20</v>
      </c>
      <c r="U196" t="s">
        <v>869</v>
      </c>
      <c r="V196" s="4" t="s">
        <v>658</v>
      </c>
      <c r="W196">
        <v>195</v>
      </c>
      <c r="Y196">
        <f>LEN(O194)</f>
        <v>4</v>
      </c>
      <c r="Z196">
        <f t="shared" si="12"/>
        <v>0</v>
      </c>
      <c r="AD196" t="str">
        <v>127</v>
      </c>
      <c r="AF196" s="2" t="str">
        <v>5054</v>
      </c>
    </row>
    <row r="197" spans="1:32" x14ac:dyDescent="0.25">
      <c r="A197" s="4">
        <v>1009</v>
      </c>
      <c r="B197" t="s">
        <v>22</v>
      </c>
      <c r="C197">
        <v>2</v>
      </c>
      <c r="D197">
        <v>1</v>
      </c>
      <c r="E197">
        <v>9</v>
      </c>
      <c r="F197" t="s">
        <v>14</v>
      </c>
      <c r="G197">
        <v>5.9</v>
      </c>
      <c r="I197">
        <v>5</v>
      </c>
      <c r="J197" t="s">
        <v>15</v>
      </c>
      <c r="K197" t="str">
        <f t="shared" si="10"/>
        <v/>
      </c>
      <c r="L197" t="s">
        <v>16</v>
      </c>
      <c r="M197">
        <v>5</v>
      </c>
      <c r="O197" s="6" t="s">
        <v>3924</v>
      </c>
      <c r="T197">
        <f t="shared" si="11"/>
        <v>20</v>
      </c>
      <c r="U197" t="s">
        <v>875</v>
      </c>
      <c r="V197" s="4" t="s">
        <v>658</v>
      </c>
      <c r="W197">
        <v>196</v>
      </c>
      <c r="Y197">
        <f>LEN(O195)</f>
        <v>4</v>
      </c>
      <c r="Z197">
        <f t="shared" si="12"/>
        <v>0</v>
      </c>
      <c r="AD197" t="str">
        <v>126</v>
      </c>
      <c r="AF197" s="2" t="str">
        <v>5057</v>
      </c>
    </row>
    <row r="198" spans="1:32" x14ac:dyDescent="0.25">
      <c r="A198" s="4">
        <v>1009</v>
      </c>
      <c r="B198" t="s">
        <v>22</v>
      </c>
      <c r="C198">
        <v>2</v>
      </c>
      <c r="D198">
        <v>1</v>
      </c>
      <c r="E198">
        <v>8</v>
      </c>
      <c r="F198" t="s">
        <v>14</v>
      </c>
      <c r="G198">
        <v>5.9</v>
      </c>
      <c r="I198">
        <v>5</v>
      </c>
      <c r="J198" t="s">
        <v>15</v>
      </c>
      <c r="K198" t="str">
        <f t="shared" si="10"/>
        <v/>
      </c>
      <c r="L198" t="s">
        <v>16</v>
      </c>
      <c r="M198">
        <v>5</v>
      </c>
      <c r="O198" s="6" t="s">
        <v>3730</v>
      </c>
      <c r="T198">
        <f t="shared" si="11"/>
        <v>20</v>
      </c>
      <c r="U198" t="s">
        <v>881</v>
      </c>
      <c r="V198" s="4" t="s">
        <v>812</v>
      </c>
      <c r="W198">
        <v>197</v>
      </c>
      <c r="Y198">
        <f>LEN(O196)</f>
        <v>4</v>
      </c>
      <c r="Z198">
        <f t="shared" si="12"/>
        <v>0</v>
      </c>
      <c r="AD198" t="str">
        <v>125</v>
      </c>
      <c r="AF198" s="2" t="str">
        <v>5058</v>
      </c>
    </row>
    <row r="199" spans="1:32" x14ac:dyDescent="0.25">
      <c r="A199" s="4">
        <v>1009</v>
      </c>
      <c r="B199" t="s">
        <v>22</v>
      </c>
      <c r="C199">
        <v>2</v>
      </c>
      <c r="D199">
        <v>1</v>
      </c>
      <c r="E199">
        <v>7</v>
      </c>
      <c r="F199" t="s">
        <v>14</v>
      </c>
      <c r="G199">
        <v>5.9</v>
      </c>
      <c r="I199">
        <v>5</v>
      </c>
      <c r="J199" t="s">
        <v>15</v>
      </c>
      <c r="K199" t="str">
        <f t="shared" si="10"/>
        <v/>
      </c>
      <c r="L199" t="s">
        <v>16</v>
      </c>
      <c r="M199">
        <v>5</v>
      </c>
      <c r="O199" s="6" t="s">
        <v>2030</v>
      </c>
      <c r="T199">
        <f t="shared" si="11"/>
        <v>20</v>
      </c>
      <c r="U199" t="s">
        <v>885</v>
      </c>
      <c r="V199" s="4" t="s">
        <v>812</v>
      </c>
      <c r="W199">
        <v>198</v>
      </c>
      <c r="Y199">
        <f>LEN(O197)</f>
        <v>4</v>
      </c>
      <c r="Z199">
        <f t="shared" si="12"/>
        <v>0</v>
      </c>
      <c r="AD199" t="str">
        <v>124</v>
      </c>
      <c r="AF199" s="2" t="str">
        <v>5069</v>
      </c>
    </row>
    <row r="200" spans="1:32" x14ac:dyDescent="0.25">
      <c r="A200" s="4">
        <v>1009</v>
      </c>
      <c r="B200" t="s">
        <v>22</v>
      </c>
      <c r="C200">
        <v>2</v>
      </c>
      <c r="D200">
        <v>1</v>
      </c>
      <c r="E200">
        <v>6</v>
      </c>
      <c r="F200" t="s">
        <v>14</v>
      </c>
      <c r="G200">
        <v>5.9</v>
      </c>
      <c r="I200">
        <v>5</v>
      </c>
      <c r="J200" t="s">
        <v>15</v>
      </c>
      <c r="K200" t="str">
        <f t="shared" si="10"/>
        <v/>
      </c>
      <c r="L200" t="s">
        <v>16</v>
      </c>
      <c r="M200">
        <v>5</v>
      </c>
      <c r="O200" s="6" t="s">
        <v>3585</v>
      </c>
      <c r="T200">
        <f t="shared" si="11"/>
        <v>20</v>
      </c>
      <c r="U200" t="s">
        <v>889</v>
      </c>
      <c r="V200" s="4" t="s">
        <v>812</v>
      </c>
      <c r="W200">
        <v>199</v>
      </c>
      <c r="Y200">
        <f>LEN(O198)</f>
        <v>4</v>
      </c>
      <c r="Z200">
        <f t="shared" si="12"/>
        <v>0</v>
      </c>
      <c r="AD200" t="str">
        <v>1201</v>
      </c>
      <c r="AF200" s="2" t="str">
        <v>507</v>
      </c>
    </row>
    <row r="201" spans="1:32" x14ac:dyDescent="0.25">
      <c r="A201" s="4">
        <v>1009</v>
      </c>
      <c r="B201" t="s">
        <v>22</v>
      </c>
      <c r="C201">
        <v>2</v>
      </c>
      <c r="D201">
        <v>1</v>
      </c>
      <c r="E201">
        <v>10</v>
      </c>
      <c r="F201" t="s">
        <v>14</v>
      </c>
      <c r="G201">
        <v>5.9</v>
      </c>
      <c r="I201">
        <v>5</v>
      </c>
      <c r="J201" t="s">
        <v>18</v>
      </c>
      <c r="K201" t="str">
        <f t="shared" si="10"/>
        <v/>
      </c>
      <c r="L201" t="s">
        <v>16</v>
      </c>
      <c r="M201">
        <v>4</v>
      </c>
      <c r="O201" s="6" t="s">
        <v>3542</v>
      </c>
      <c r="T201">
        <f t="shared" si="11"/>
        <v>20</v>
      </c>
      <c r="U201" t="s">
        <v>895</v>
      </c>
      <c r="V201" s="4" t="s">
        <v>163</v>
      </c>
      <c r="W201">
        <v>200</v>
      </c>
      <c r="Y201">
        <f>LEN(O199)</f>
        <v>3</v>
      </c>
      <c r="Z201">
        <f t="shared" si="12"/>
        <v>0</v>
      </c>
      <c r="AD201" t="str">
        <v>1200</v>
      </c>
      <c r="AF201" s="2" t="str">
        <v>5070</v>
      </c>
    </row>
    <row r="202" spans="1:32" x14ac:dyDescent="0.25">
      <c r="A202" s="4">
        <v>1009</v>
      </c>
      <c r="B202" t="s">
        <v>22</v>
      </c>
      <c r="C202">
        <v>2</v>
      </c>
      <c r="D202">
        <v>1</v>
      </c>
      <c r="E202">
        <v>9</v>
      </c>
      <c r="F202" t="s">
        <v>14</v>
      </c>
      <c r="G202">
        <v>5.9</v>
      </c>
      <c r="I202">
        <v>5</v>
      </c>
      <c r="J202" t="s">
        <v>18</v>
      </c>
      <c r="K202" t="str">
        <f t="shared" si="10"/>
        <v/>
      </c>
      <c r="L202" t="s">
        <v>16</v>
      </c>
      <c r="M202">
        <v>4</v>
      </c>
      <c r="O202" s="6" t="s">
        <v>2032</v>
      </c>
      <c r="T202">
        <f t="shared" si="11"/>
        <v>20</v>
      </c>
      <c r="U202" t="s">
        <v>899</v>
      </c>
      <c r="V202" s="4" t="s">
        <v>900</v>
      </c>
      <c r="W202">
        <v>201</v>
      </c>
      <c r="Y202">
        <f>LEN(O200)</f>
        <v>4</v>
      </c>
      <c r="Z202">
        <f t="shared" si="12"/>
        <v>0</v>
      </c>
      <c r="AD202" t="str">
        <v>12</v>
      </c>
      <c r="AF202" s="2" t="str">
        <v>5075</v>
      </c>
    </row>
    <row r="203" spans="1:32" x14ac:dyDescent="0.25">
      <c r="A203" s="4">
        <v>1009</v>
      </c>
      <c r="B203" t="s">
        <v>22</v>
      </c>
      <c r="C203">
        <v>2</v>
      </c>
      <c r="D203">
        <v>1</v>
      </c>
      <c r="E203">
        <v>8</v>
      </c>
      <c r="F203" t="s">
        <v>14</v>
      </c>
      <c r="G203">
        <v>5.9</v>
      </c>
      <c r="I203">
        <v>5</v>
      </c>
      <c r="J203" t="s">
        <v>18</v>
      </c>
      <c r="K203" t="str">
        <f t="shared" si="10"/>
        <v/>
      </c>
      <c r="L203" t="s">
        <v>16</v>
      </c>
      <c r="M203">
        <v>4</v>
      </c>
      <c r="O203" s="6" t="s">
        <v>3948</v>
      </c>
      <c r="T203">
        <f t="shared" si="11"/>
        <v>20</v>
      </c>
      <c r="U203" t="s">
        <v>906</v>
      </c>
      <c r="V203" s="4" t="s">
        <v>900</v>
      </c>
      <c r="W203">
        <v>202</v>
      </c>
      <c r="Y203">
        <f>LEN(O201)</f>
        <v>4</v>
      </c>
      <c r="Z203">
        <f t="shared" si="12"/>
        <v>0</v>
      </c>
      <c r="AD203" t="str">
        <v>1152</v>
      </c>
      <c r="AF203" s="2" t="str">
        <v>508</v>
      </c>
    </row>
    <row r="204" spans="1:32" x14ac:dyDescent="0.25">
      <c r="A204" s="4">
        <v>1009</v>
      </c>
      <c r="B204" t="s">
        <v>22</v>
      </c>
      <c r="C204">
        <v>2</v>
      </c>
      <c r="D204">
        <v>1</v>
      </c>
      <c r="E204">
        <v>7</v>
      </c>
      <c r="F204" t="s">
        <v>14</v>
      </c>
      <c r="G204">
        <v>5.9</v>
      </c>
      <c r="I204">
        <v>5</v>
      </c>
      <c r="J204" t="s">
        <v>18</v>
      </c>
      <c r="K204" t="str">
        <f t="shared" si="10"/>
        <v/>
      </c>
      <c r="L204" t="s">
        <v>16</v>
      </c>
      <c r="M204">
        <v>4</v>
      </c>
      <c r="O204" s="6" t="s">
        <v>4023</v>
      </c>
      <c r="T204">
        <f t="shared" si="11"/>
        <v>20</v>
      </c>
      <c r="U204" t="s">
        <v>909</v>
      </c>
      <c r="V204" s="4" t="s">
        <v>900</v>
      </c>
      <c r="W204">
        <v>203</v>
      </c>
      <c r="Y204">
        <f>LEN(O202)</f>
        <v>3</v>
      </c>
      <c r="Z204">
        <f t="shared" si="12"/>
        <v>0</v>
      </c>
      <c r="AD204" t="str">
        <v>1151</v>
      </c>
      <c r="AF204" s="2" t="str">
        <v>5085</v>
      </c>
    </row>
    <row r="205" spans="1:32" x14ac:dyDescent="0.25">
      <c r="A205" s="4">
        <v>1009</v>
      </c>
      <c r="B205" t="s">
        <v>22</v>
      </c>
      <c r="C205">
        <v>2</v>
      </c>
      <c r="D205">
        <v>1</v>
      </c>
      <c r="E205">
        <v>6</v>
      </c>
      <c r="F205" t="s">
        <v>14</v>
      </c>
      <c r="G205">
        <v>5.9</v>
      </c>
      <c r="I205">
        <v>5</v>
      </c>
      <c r="J205" t="s">
        <v>18</v>
      </c>
      <c r="K205" t="str">
        <f t="shared" si="10"/>
        <v/>
      </c>
      <c r="L205" t="s">
        <v>16</v>
      </c>
      <c r="M205">
        <v>4</v>
      </c>
      <c r="O205" s="6" t="s">
        <v>3970</v>
      </c>
      <c r="T205">
        <f t="shared" si="11"/>
        <v>20</v>
      </c>
      <c r="U205" t="s">
        <v>912</v>
      </c>
      <c r="V205" s="4" t="s">
        <v>900</v>
      </c>
      <c r="W205">
        <v>204</v>
      </c>
      <c r="Y205">
        <f>LEN(O203)</f>
        <v>4</v>
      </c>
      <c r="Z205">
        <f t="shared" si="12"/>
        <v>0</v>
      </c>
      <c r="AD205" t="str">
        <v>1134</v>
      </c>
      <c r="AF205" s="2" t="str">
        <v>5089</v>
      </c>
    </row>
    <row r="206" spans="1:32" x14ac:dyDescent="0.25">
      <c r="A206" s="4">
        <v>1009</v>
      </c>
      <c r="B206" t="s">
        <v>22</v>
      </c>
      <c r="C206">
        <v>2</v>
      </c>
      <c r="D206">
        <v>1</v>
      </c>
      <c r="E206">
        <v>15</v>
      </c>
      <c r="F206" t="s">
        <v>14</v>
      </c>
      <c r="G206">
        <v>6.85</v>
      </c>
      <c r="I206">
        <v>5</v>
      </c>
      <c r="J206" t="s">
        <v>17</v>
      </c>
      <c r="K206" t="str">
        <f t="shared" si="10"/>
        <v/>
      </c>
      <c r="L206" t="s">
        <v>16</v>
      </c>
      <c r="M206">
        <v>2</v>
      </c>
      <c r="O206" s="6" t="s">
        <v>4086</v>
      </c>
      <c r="T206">
        <f t="shared" si="11"/>
        <v>20</v>
      </c>
      <c r="U206" t="s">
        <v>918</v>
      </c>
      <c r="V206" s="4" t="s">
        <v>900</v>
      </c>
      <c r="W206">
        <v>205</v>
      </c>
      <c r="Y206">
        <f>LEN(O204)</f>
        <v>4</v>
      </c>
      <c r="Z206">
        <f t="shared" si="12"/>
        <v>0</v>
      </c>
      <c r="AD206" t="str">
        <v>1130</v>
      </c>
      <c r="AF206" s="2" t="str">
        <v>5091</v>
      </c>
    </row>
    <row r="207" spans="1:32" x14ac:dyDescent="0.25">
      <c r="A207" s="4">
        <v>1009</v>
      </c>
      <c r="B207" t="s">
        <v>22</v>
      </c>
      <c r="C207">
        <v>2</v>
      </c>
      <c r="D207">
        <v>1</v>
      </c>
      <c r="E207">
        <v>14</v>
      </c>
      <c r="F207" t="s">
        <v>14</v>
      </c>
      <c r="G207">
        <v>6.85</v>
      </c>
      <c r="I207">
        <v>5</v>
      </c>
      <c r="J207" t="s">
        <v>17</v>
      </c>
      <c r="K207" t="str">
        <f t="shared" si="10"/>
        <v/>
      </c>
      <c r="L207" t="s">
        <v>16</v>
      </c>
      <c r="M207">
        <v>2</v>
      </c>
      <c r="O207" s="6" t="s">
        <v>2102</v>
      </c>
      <c r="T207">
        <f t="shared" si="11"/>
        <v>20</v>
      </c>
      <c r="U207" t="s">
        <v>921</v>
      </c>
      <c r="V207" s="4" t="s">
        <v>900</v>
      </c>
      <c r="W207">
        <v>206</v>
      </c>
      <c r="Y207">
        <f>LEN(O205)</f>
        <v>4</v>
      </c>
      <c r="Z207">
        <f t="shared" si="12"/>
        <v>0</v>
      </c>
      <c r="AD207" t="str">
        <v>1123</v>
      </c>
      <c r="AF207" s="2" t="str">
        <v>5094</v>
      </c>
    </row>
    <row r="208" spans="1:32" x14ac:dyDescent="0.25">
      <c r="A208" s="4">
        <v>1009</v>
      </c>
      <c r="B208" t="s">
        <v>22</v>
      </c>
      <c r="C208">
        <v>2</v>
      </c>
      <c r="D208">
        <v>1</v>
      </c>
      <c r="E208">
        <v>13</v>
      </c>
      <c r="F208" t="s">
        <v>14</v>
      </c>
      <c r="G208">
        <v>6.85</v>
      </c>
      <c r="I208">
        <v>5</v>
      </c>
      <c r="J208" t="s">
        <v>17</v>
      </c>
      <c r="K208" t="str">
        <f t="shared" si="10"/>
        <v/>
      </c>
      <c r="L208" t="s">
        <v>16</v>
      </c>
      <c r="M208">
        <v>2</v>
      </c>
      <c r="O208" s="6" t="s">
        <v>2079</v>
      </c>
      <c r="T208">
        <f t="shared" si="11"/>
        <v>20</v>
      </c>
      <c r="U208" t="s">
        <v>924</v>
      </c>
      <c r="V208" s="4" t="s">
        <v>900</v>
      </c>
      <c r="W208">
        <v>207</v>
      </c>
      <c r="Y208">
        <f>LEN(O206)</f>
        <v>4</v>
      </c>
      <c r="Z208">
        <f t="shared" si="12"/>
        <v>0</v>
      </c>
      <c r="AD208" t="str">
        <v>1103</v>
      </c>
      <c r="AF208" s="2" t="str">
        <v>575</v>
      </c>
    </row>
    <row r="209" spans="1:32" x14ac:dyDescent="0.25">
      <c r="A209" s="4">
        <v>1009</v>
      </c>
      <c r="B209" t="s">
        <v>22</v>
      </c>
      <c r="C209">
        <v>2</v>
      </c>
      <c r="D209">
        <v>1</v>
      </c>
      <c r="E209">
        <v>12</v>
      </c>
      <c r="F209" t="s">
        <v>14</v>
      </c>
      <c r="G209">
        <v>6.85</v>
      </c>
      <c r="I209">
        <v>5</v>
      </c>
      <c r="J209" t="s">
        <v>17</v>
      </c>
      <c r="K209" t="str">
        <f t="shared" si="10"/>
        <v/>
      </c>
      <c r="L209" t="s">
        <v>16</v>
      </c>
      <c r="M209">
        <v>2</v>
      </c>
      <c r="O209" s="6" t="s">
        <v>1791</v>
      </c>
      <c r="T209">
        <f t="shared" si="11"/>
        <v>20</v>
      </c>
      <c r="U209" t="s">
        <v>928</v>
      </c>
      <c r="V209" s="4" t="s">
        <v>900</v>
      </c>
      <c r="W209">
        <v>208</v>
      </c>
      <c r="Y209">
        <f>LEN(O207)</f>
        <v>3</v>
      </c>
      <c r="Z209">
        <f t="shared" si="12"/>
        <v>0</v>
      </c>
      <c r="AD209" t="str">
        <v>1102</v>
      </c>
      <c r="AF209" s="2" t="str">
        <v>576</v>
      </c>
    </row>
    <row r="210" spans="1:32" x14ac:dyDescent="0.25">
      <c r="A210" s="4">
        <v>1009</v>
      </c>
      <c r="B210" t="s">
        <v>22</v>
      </c>
      <c r="C210">
        <v>2</v>
      </c>
      <c r="D210">
        <v>1</v>
      </c>
      <c r="E210">
        <v>11</v>
      </c>
      <c r="F210" t="s">
        <v>14</v>
      </c>
      <c r="G210">
        <v>6.85</v>
      </c>
      <c r="I210">
        <v>5</v>
      </c>
      <c r="J210" t="s">
        <v>17</v>
      </c>
      <c r="K210" t="str">
        <f t="shared" si="10"/>
        <v/>
      </c>
      <c r="L210" t="s">
        <v>16</v>
      </c>
      <c r="M210">
        <v>2</v>
      </c>
      <c r="O210" s="6" t="s">
        <v>2137</v>
      </c>
      <c r="T210">
        <f t="shared" si="11"/>
        <v>20</v>
      </c>
      <c r="U210" t="s">
        <v>931</v>
      </c>
      <c r="V210" s="4" t="s">
        <v>900</v>
      </c>
      <c r="W210">
        <v>209</v>
      </c>
      <c r="Y210">
        <f>LEN(O208)</f>
        <v>3</v>
      </c>
      <c r="Z210">
        <f t="shared" si="12"/>
        <v>0</v>
      </c>
      <c r="AD210" t="str">
        <v>1101</v>
      </c>
      <c r="AF210" s="2" t="str">
        <v>581</v>
      </c>
    </row>
    <row r="211" spans="1:32" x14ac:dyDescent="0.25">
      <c r="A211" s="4">
        <v>1009</v>
      </c>
      <c r="B211" t="s">
        <v>22</v>
      </c>
      <c r="C211">
        <v>2</v>
      </c>
      <c r="D211">
        <v>1</v>
      </c>
      <c r="E211">
        <v>15</v>
      </c>
      <c r="F211" t="s">
        <v>14</v>
      </c>
      <c r="G211">
        <v>6.85</v>
      </c>
      <c r="I211">
        <v>5</v>
      </c>
      <c r="J211" t="s">
        <v>15</v>
      </c>
      <c r="K211" t="str">
        <f t="shared" si="10"/>
        <v/>
      </c>
      <c r="L211" t="s">
        <v>16</v>
      </c>
      <c r="M211">
        <v>2</v>
      </c>
      <c r="O211" s="6" t="s">
        <v>2306</v>
      </c>
      <c r="T211">
        <f t="shared" si="11"/>
        <v>20</v>
      </c>
      <c r="U211" t="s">
        <v>933</v>
      </c>
      <c r="V211" s="4" t="s">
        <v>934</v>
      </c>
      <c r="W211">
        <v>210</v>
      </c>
      <c r="Y211">
        <f>LEN(O209)</f>
        <v>3</v>
      </c>
      <c r="Z211">
        <f t="shared" si="12"/>
        <v>0</v>
      </c>
      <c r="AD211" t="str">
        <v>1100</v>
      </c>
      <c r="AF211" s="2" t="str">
        <v>591</v>
      </c>
    </row>
    <row r="212" spans="1:32" x14ac:dyDescent="0.25">
      <c r="A212" s="4">
        <v>1009</v>
      </c>
      <c r="B212" t="s">
        <v>22</v>
      </c>
      <c r="C212">
        <v>2</v>
      </c>
      <c r="D212">
        <v>1</v>
      </c>
      <c r="E212">
        <v>14</v>
      </c>
      <c r="F212" t="s">
        <v>14</v>
      </c>
      <c r="G212">
        <v>6.85</v>
      </c>
      <c r="I212">
        <v>5</v>
      </c>
      <c r="J212" t="s">
        <v>15</v>
      </c>
      <c r="K212" t="str">
        <f t="shared" si="10"/>
        <v/>
      </c>
      <c r="L212" t="s">
        <v>16</v>
      </c>
      <c r="M212">
        <v>2</v>
      </c>
      <c r="O212" s="6" t="s">
        <v>2477</v>
      </c>
      <c r="T212">
        <f t="shared" si="11"/>
        <v>20</v>
      </c>
      <c r="U212" t="s">
        <v>943</v>
      </c>
      <c r="V212" s="4" t="s">
        <v>934</v>
      </c>
      <c r="W212">
        <v>211</v>
      </c>
      <c r="Y212">
        <f>LEN(O210)</f>
        <v>3</v>
      </c>
      <c r="Z212">
        <f t="shared" si="12"/>
        <v>0</v>
      </c>
      <c r="AD212" t="str">
        <v>11</v>
      </c>
      <c r="AF212" s="2" t="str">
        <v>608</v>
      </c>
    </row>
    <row r="213" spans="1:32" x14ac:dyDescent="0.25">
      <c r="A213" s="4">
        <v>1009</v>
      </c>
      <c r="B213" t="s">
        <v>22</v>
      </c>
      <c r="C213">
        <v>2</v>
      </c>
      <c r="D213">
        <v>1</v>
      </c>
      <c r="E213">
        <v>13</v>
      </c>
      <c r="F213" t="s">
        <v>14</v>
      </c>
      <c r="G213">
        <v>6.85</v>
      </c>
      <c r="I213">
        <v>5</v>
      </c>
      <c r="J213" t="s">
        <v>15</v>
      </c>
      <c r="K213" t="str">
        <f t="shared" si="10"/>
        <v/>
      </c>
      <c r="L213" t="s">
        <v>16</v>
      </c>
      <c r="M213">
        <v>2</v>
      </c>
      <c r="O213" s="6" t="s">
        <v>812</v>
      </c>
      <c r="T213">
        <f t="shared" si="11"/>
        <v>20</v>
      </c>
      <c r="U213" t="s">
        <v>947</v>
      </c>
      <c r="V213" s="4" t="s">
        <v>934</v>
      </c>
      <c r="W213">
        <v>212</v>
      </c>
      <c r="Y213">
        <f>LEN(O211)</f>
        <v>3</v>
      </c>
      <c r="Z213">
        <f t="shared" si="12"/>
        <v>0</v>
      </c>
      <c r="AD213" t="str">
        <v>1076</v>
      </c>
      <c r="AF213" s="2" t="str">
        <v>642</v>
      </c>
    </row>
    <row r="214" spans="1:32" x14ac:dyDescent="0.25">
      <c r="A214" s="4">
        <v>1009</v>
      </c>
      <c r="B214" t="s">
        <v>22</v>
      </c>
      <c r="C214">
        <v>2</v>
      </c>
      <c r="D214">
        <v>1</v>
      </c>
      <c r="E214">
        <v>12</v>
      </c>
      <c r="F214" t="s">
        <v>14</v>
      </c>
      <c r="G214">
        <v>6.85</v>
      </c>
      <c r="I214">
        <v>5</v>
      </c>
      <c r="J214" t="s">
        <v>15</v>
      </c>
      <c r="K214" t="str">
        <f t="shared" si="10"/>
        <v/>
      </c>
      <c r="L214" t="s">
        <v>16</v>
      </c>
      <c r="M214">
        <v>2</v>
      </c>
      <c r="O214" s="6" t="s">
        <v>2053</v>
      </c>
      <c r="T214">
        <f t="shared" si="11"/>
        <v>20</v>
      </c>
      <c r="U214" t="s">
        <v>951</v>
      </c>
      <c r="V214" s="4" t="s">
        <v>934</v>
      </c>
      <c r="W214">
        <v>213</v>
      </c>
      <c r="Y214">
        <f>LEN(O212)</f>
        <v>3</v>
      </c>
      <c r="Z214">
        <f t="shared" si="12"/>
        <v>0</v>
      </c>
      <c r="AD214" t="str">
        <v>1070</v>
      </c>
      <c r="AF214" s="2" t="str">
        <v>653</v>
      </c>
    </row>
    <row r="215" spans="1:32" x14ac:dyDescent="0.25">
      <c r="A215" s="4">
        <v>1009</v>
      </c>
      <c r="B215" t="s">
        <v>22</v>
      </c>
      <c r="C215">
        <v>2</v>
      </c>
      <c r="D215">
        <v>1</v>
      </c>
      <c r="E215">
        <v>11</v>
      </c>
      <c r="F215" t="s">
        <v>14</v>
      </c>
      <c r="G215">
        <v>6.85</v>
      </c>
      <c r="I215">
        <v>5</v>
      </c>
      <c r="J215" t="s">
        <v>15</v>
      </c>
      <c r="K215" t="str">
        <f t="shared" si="10"/>
        <v/>
      </c>
      <c r="L215" t="s">
        <v>16</v>
      </c>
      <c r="M215">
        <v>2</v>
      </c>
      <c r="O215" s="6" t="s">
        <v>2111</v>
      </c>
      <c r="T215">
        <f t="shared" si="11"/>
        <v>20</v>
      </c>
      <c r="U215" t="s">
        <v>956</v>
      </c>
      <c r="V215" s="4" t="s">
        <v>934</v>
      </c>
      <c r="W215">
        <v>214</v>
      </c>
      <c r="Y215">
        <f>LEN(O213)</f>
        <v>3</v>
      </c>
      <c r="Z215">
        <f t="shared" si="12"/>
        <v>0</v>
      </c>
      <c r="AD215" t="str">
        <v>107</v>
      </c>
      <c r="AF215" s="2" t="str">
        <v>662</v>
      </c>
    </row>
    <row r="216" spans="1:32" x14ac:dyDescent="0.25">
      <c r="A216" s="4">
        <v>1009</v>
      </c>
      <c r="B216" t="s">
        <v>22</v>
      </c>
      <c r="C216">
        <v>2</v>
      </c>
      <c r="D216">
        <v>1</v>
      </c>
      <c r="E216">
        <v>15</v>
      </c>
      <c r="F216" t="s">
        <v>14</v>
      </c>
      <c r="G216">
        <v>6.85</v>
      </c>
      <c r="I216">
        <v>5</v>
      </c>
      <c r="J216" t="s">
        <v>18</v>
      </c>
      <c r="K216" t="str">
        <f t="shared" si="10"/>
        <v/>
      </c>
      <c r="L216" t="s">
        <v>16</v>
      </c>
      <c r="M216">
        <v>2</v>
      </c>
      <c r="O216" s="6" t="s">
        <v>2189</v>
      </c>
      <c r="T216">
        <f t="shared" si="11"/>
        <v>20</v>
      </c>
      <c r="U216" t="s">
        <v>960</v>
      </c>
      <c r="V216" s="4" t="s">
        <v>934</v>
      </c>
      <c r="W216">
        <v>215</v>
      </c>
      <c r="Y216">
        <f>LEN(O214)</f>
        <v>3</v>
      </c>
      <c r="Z216">
        <f t="shared" si="12"/>
        <v>0</v>
      </c>
      <c r="AD216" t="str">
        <v>1065</v>
      </c>
      <c r="AF216" s="2" t="str">
        <v>675</v>
      </c>
    </row>
    <row r="217" spans="1:32" x14ac:dyDescent="0.25">
      <c r="A217" s="4">
        <v>1009</v>
      </c>
      <c r="B217" t="s">
        <v>22</v>
      </c>
      <c r="C217">
        <v>2</v>
      </c>
      <c r="D217">
        <v>1</v>
      </c>
      <c r="E217">
        <v>14</v>
      </c>
      <c r="F217" t="s">
        <v>14</v>
      </c>
      <c r="G217">
        <v>6.85</v>
      </c>
      <c r="I217">
        <v>5</v>
      </c>
      <c r="J217" t="s">
        <v>18</v>
      </c>
      <c r="K217" t="str">
        <f t="shared" si="10"/>
        <v/>
      </c>
      <c r="L217" t="s">
        <v>16</v>
      </c>
      <c r="M217">
        <v>2</v>
      </c>
      <c r="O217" s="6" t="s">
        <v>1804</v>
      </c>
      <c r="T217">
        <f t="shared" si="11"/>
        <v>20</v>
      </c>
      <c r="U217" t="s">
        <v>964</v>
      </c>
      <c r="V217" s="4" t="s">
        <v>934</v>
      </c>
      <c r="W217">
        <v>216</v>
      </c>
      <c r="Y217">
        <f>LEN(O215)</f>
        <v>3</v>
      </c>
      <c r="Z217">
        <f t="shared" si="12"/>
        <v>0</v>
      </c>
      <c r="AD217" t="str">
        <v>1063</v>
      </c>
      <c r="AF217" s="2" t="str">
        <v>676</v>
      </c>
    </row>
    <row r="218" spans="1:32" x14ac:dyDescent="0.25">
      <c r="A218" s="4">
        <v>1009</v>
      </c>
      <c r="B218" t="s">
        <v>22</v>
      </c>
      <c r="C218">
        <v>2</v>
      </c>
      <c r="D218">
        <v>1</v>
      </c>
      <c r="E218">
        <v>13</v>
      </c>
      <c r="F218" t="s">
        <v>14</v>
      </c>
      <c r="G218">
        <v>6.85</v>
      </c>
      <c r="I218">
        <v>5</v>
      </c>
      <c r="J218" t="s">
        <v>18</v>
      </c>
      <c r="K218" t="str">
        <f t="shared" si="10"/>
        <v/>
      </c>
      <c r="L218" t="s">
        <v>16</v>
      </c>
      <c r="M218">
        <v>2</v>
      </c>
      <c r="O218" s="6" t="s">
        <v>2146</v>
      </c>
      <c r="T218">
        <f t="shared" si="11"/>
        <v>20</v>
      </c>
      <c r="U218" t="s">
        <v>970</v>
      </c>
      <c r="V218" s="4" t="s">
        <v>934</v>
      </c>
      <c r="W218">
        <v>217</v>
      </c>
      <c r="Y218">
        <f>LEN(O216)</f>
        <v>3</v>
      </c>
      <c r="Z218">
        <f t="shared" si="12"/>
        <v>0</v>
      </c>
      <c r="AD218" t="str">
        <v>1062</v>
      </c>
      <c r="AF218" s="2" t="str">
        <v>681</v>
      </c>
    </row>
    <row r="219" spans="1:32" x14ac:dyDescent="0.25">
      <c r="A219" s="4">
        <v>1009</v>
      </c>
      <c r="B219" t="s">
        <v>22</v>
      </c>
      <c r="C219">
        <v>2</v>
      </c>
      <c r="D219">
        <v>1</v>
      </c>
      <c r="E219">
        <v>12</v>
      </c>
      <c r="F219" t="s">
        <v>14</v>
      </c>
      <c r="G219">
        <v>6.85</v>
      </c>
      <c r="I219">
        <v>5</v>
      </c>
      <c r="J219" t="s">
        <v>18</v>
      </c>
      <c r="K219" t="str">
        <f t="shared" si="10"/>
        <v/>
      </c>
      <c r="L219" t="s">
        <v>16</v>
      </c>
      <c r="M219">
        <v>2</v>
      </c>
      <c r="O219" s="6" t="s">
        <v>1840</v>
      </c>
      <c r="T219">
        <f t="shared" si="11"/>
        <v>20</v>
      </c>
      <c r="U219" t="s">
        <v>974</v>
      </c>
      <c r="V219" s="4" t="s">
        <v>934</v>
      </c>
      <c r="W219">
        <v>218</v>
      </c>
      <c r="Y219">
        <f>LEN(O217)</f>
        <v>3</v>
      </c>
      <c r="Z219">
        <f t="shared" si="12"/>
        <v>0</v>
      </c>
      <c r="AD219" t="str">
        <v>1061</v>
      </c>
      <c r="AF219" s="2" t="str">
        <v>691</v>
      </c>
    </row>
    <row r="220" spans="1:32" x14ac:dyDescent="0.25">
      <c r="A220" s="4">
        <v>1009</v>
      </c>
      <c r="B220" t="s">
        <v>22</v>
      </c>
      <c r="C220">
        <v>2</v>
      </c>
      <c r="D220">
        <v>1</v>
      </c>
      <c r="E220">
        <v>11</v>
      </c>
      <c r="F220" t="s">
        <v>14</v>
      </c>
      <c r="G220">
        <v>6.85</v>
      </c>
      <c r="I220">
        <v>5</v>
      </c>
      <c r="J220" t="s">
        <v>18</v>
      </c>
      <c r="K220" t="str">
        <f t="shared" si="10"/>
        <v/>
      </c>
      <c r="L220" t="s">
        <v>16</v>
      </c>
      <c r="M220">
        <v>2</v>
      </c>
      <c r="O220" s="6" t="s">
        <v>1828</v>
      </c>
      <c r="T220">
        <f t="shared" si="11"/>
        <v>20</v>
      </c>
      <c r="U220" t="s">
        <v>978</v>
      </c>
      <c r="V220" s="4" t="s">
        <v>934</v>
      </c>
      <c r="W220">
        <v>219</v>
      </c>
      <c r="Y220">
        <f>LEN(O218)</f>
        <v>3</v>
      </c>
      <c r="Z220">
        <f t="shared" si="12"/>
        <v>0</v>
      </c>
      <c r="AD220" t="str">
        <v>106</v>
      </c>
      <c r="AF220" s="2" t="str">
        <v>699</v>
      </c>
    </row>
    <row r="221" spans="1:32" x14ac:dyDescent="0.25">
      <c r="A221" s="4">
        <v>5043</v>
      </c>
      <c r="B221" t="s">
        <v>25</v>
      </c>
      <c r="C221">
        <v>6</v>
      </c>
      <c r="D221">
        <v>1</v>
      </c>
      <c r="E221">
        <v>5</v>
      </c>
      <c r="F221" t="s">
        <v>14</v>
      </c>
      <c r="G221">
        <v>5.15</v>
      </c>
      <c r="I221">
        <v>4</v>
      </c>
      <c r="J221" t="s">
        <v>24</v>
      </c>
      <c r="K221" t="str">
        <f t="shared" si="10"/>
        <v/>
      </c>
      <c r="L221" t="s">
        <v>16</v>
      </c>
      <c r="M221">
        <v>3</v>
      </c>
      <c r="O221" s="6" t="s">
        <v>1835</v>
      </c>
      <c r="T221">
        <f t="shared" si="11"/>
        <v>20</v>
      </c>
      <c r="U221" t="s">
        <v>986</v>
      </c>
      <c r="V221" s="4" t="s">
        <v>934</v>
      </c>
      <c r="W221">
        <v>220</v>
      </c>
      <c r="Y221">
        <f>LEN(O219)</f>
        <v>3</v>
      </c>
      <c r="Z221">
        <f t="shared" si="12"/>
        <v>0</v>
      </c>
      <c r="AD221" t="str">
        <v>1059</v>
      </c>
      <c r="AF221" s="2" t="str">
        <v>702</v>
      </c>
    </row>
    <row r="222" spans="1:32" x14ac:dyDescent="0.25">
      <c r="A222" s="4">
        <v>5043</v>
      </c>
      <c r="B222" t="s">
        <v>25</v>
      </c>
      <c r="C222">
        <v>6</v>
      </c>
      <c r="D222">
        <v>1</v>
      </c>
      <c r="E222">
        <v>4</v>
      </c>
      <c r="F222" t="s">
        <v>14</v>
      </c>
      <c r="G222">
        <v>5.15</v>
      </c>
      <c r="I222">
        <v>4</v>
      </c>
      <c r="J222" t="s">
        <v>24</v>
      </c>
      <c r="K222" t="str">
        <f t="shared" si="10"/>
        <v/>
      </c>
      <c r="L222" t="s">
        <v>16</v>
      </c>
      <c r="M222">
        <v>3</v>
      </c>
      <c r="O222" s="6" t="s">
        <v>2022</v>
      </c>
      <c r="T222">
        <f t="shared" si="11"/>
        <v>20</v>
      </c>
      <c r="U222" t="s">
        <v>990</v>
      </c>
      <c r="V222" s="4" t="s">
        <v>934</v>
      </c>
      <c r="W222">
        <v>221</v>
      </c>
      <c r="Y222">
        <f>LEN(O220)</f>
        <v>3</v>
      </c>
      <c r="Z222">
        <f t="shared" si="12"/>
        <v>0</v>
      </c>
      <c r="AD222" t="str">
        <v>1058</v>
      </c>
      <c r="AF222" s="2" t="str">
        <v>705</v>
      </c>
    </row>
    <row r="223" spans="1:32" x14ac:dyDescent="0.25">
      <c r="A223" s="4">
        <v>5043</v>
      </c>
      <c r="B223" t="s">
        <v>25</v>
      </c>
      <c r="C223">
        <v>6</v>
      </c>
      <c r="D223">
        <v>1</v>
      </c>
      <c r="E223">
        <v>3</v>
      </c>
      <c r="F223" t="s">
        <v>14</v>
      </c>
      <c r="G223">
        <v>5.15</v>
      </c>
      <c r="I223">
        <v>4</v>
      </c>
      <c r="J223" t="s">
        <v>24</v>
      </c>
      <c r="K223" t="str">
        <f t="shared" si="10"/>
        <v/>
      </c>
      <c r="L223" t="s">
        <v>16</v>
      </c>
      <c r="M223">
        <v>3</v>
      </c>
      <c r="O223" s="6" t="s">
        <v>2614</v>
      </c>
      <c r="T223">
        <f t="shared" si="11"/>
        <v>20</v>
      </c>
      <c r="U223" t="s">
        <v>994</v>
      </c>
      <c r="V223" s="4" t="s">
        <v>900</v>
      </c>
      <c r="W223">
        <v>222</v>
      </c>
      <c r="Y223">
        <f>LEN(O221)</f>
        <v>3</v>
      </c>
      <c r="Z223">
        <f t="shared" si="12"/>
        <v>0</v>
      </c>
      <c r="AD223" t="str">
        <v>1050</v>
      </c>
      <c r="AF223" s="2" t="str">
        <v>7122</v>
      </c>
    </row>
    <row r="224" spans="1:32" x14ac:dyDescent="0.25">
      <c r="A224" s="4">
        <v>5043</v>
      </c>
      <c r="B224" t="s">
        <v>25</v>
      </c>
      <c r="C224">
        <v>6</v>
      </c>
      <c r="D224">
        <v>1</v>
      </c>
      <c r="E224">
        <v>2</v>
      </c>
      <c r="F224" t="s">
        <v>14</v>
      </c>
      <c r="G224">
        <v>5.15</v>
      </c>
      <c r="I224">
        <v>4</v>
      </c>
      <c r="J224" t="s">
        <v>24</v>
      </c>
      <c r="K224" t="str">
        <f t="shared" si="10"/>
        <v/>
      </c>
      <c r="L224" t="s">
        <v>16</v>
      </c>
      <c r="M224">
        <v>3</v>
      </c>
      <c r="O224" s="6" t="s">
        <v>1507</v>
      </c>
      <c r="T224">
        <f t="shared" si="11"/>
        <v>20</v>
      </c>
      <c r="U224" t="s">
        <v>999</v>
      </c>
      <c r="V224" s="4" t="s">
        <v>1000</v>
      </c>
      <c r="W224">
        <v>223</v>
      </c>
      <c r="Y224">
        <f>LEN(O222)</f>
        <v>4</v>
      </c>
      <c r="Z224">
        <f t="shared" si="12"/>
        <v>0</v>
      </c>
      <c r="AD224" t="str">
        <v>105</v>
      </c>
      <c r="AF224" s="2" t="str">
        <v>7128</v>
      </c>
    </row>
    <row r="225" spans="1:32" x14ac:dyDescent="0.25">
      <c r="A225" s="4">
        <v>5043</v>
      </c>
      <c r="B225" t="s">
        <v>25</v>
      </c>
      <c r="C225">
        <v>6</v>
      </c>
      <c r="D225">
        <v>1</v>
      </c>
      <c r="E225">
        <v>5</v>
      </c>
      <c r="F225" t="s">
        <v>14</v>
      </c>
      <c r="G225">
        <v>5.15</v>
      </c>
      <c r="I225">
        <v>4</v>
      </c>
      <c r="J225" t="s">
        <v>20</v>
      </c>
      <c r="K225" t="str">
        <f t="shared" si="10"/>
        <v/>
      </c>
      <c r="L225" t="s">
        <v>16</v>
      </c>
      <c r="M225">
        <v>3</v>
      </c>
      <c r="O225" s="6" t="s">
        <v>2718</v>
      </c>
      <c r="T225">
        <f t="shared" si="11"/>
        <v>20</v>
      </c>
      <c r="U225" t="s">
        <v>1010</v>
      </c>
      <c r="V225" s="4" t="s">
        <v>1000</v>
      </c>
      <c r="W225">
        <v>224</v>
      </c>
      <c r="Y225">
        <f>LEN(O223)</f>
        <v>4</v>
      </c>
      <c r="Z225">
        <f t="shared" si="12"/>
        <v>0</v>
      </c>
      <c r="AD225" t="str">
        <v>1049</v>
      </c>
      <c r="AF225" s="2" t="str">
        <v>803</v>
      </c>
    </row>
    <row r="226" spans="1:32" x14ac:dyDescent="0.25">
      <c r="A226" s="4">
        <v>5043</v>
      </c>
      <c r="B226" t="s">
        <v>25</v>
      </c>
      <c r="C226">
        <v>6</v>
      </c>
      <c r="D226">
        <v>1</v>
      </c>
      <c r="E226">
        <v>4</v>
      </c>
      <c r="F226" t="s">
        <v>14</v>
      </c>
      <c r="G226">
        <v>5.15</v>
      </c>
      <c r="I226">
        <v>4</v>
      </c>
      <c r="J226" t="s">
        <v>20</v>
      </c>
      <c r="K226" t="str">
        <f t="shared" si="10"/>
        <v/>
      </c>
      <c r="L226" t="s">
        <v>16</v>
      </c>
      <c r="M226">
        <v>3</v>
      </c>
      <c r="O226" s="6" t="s">
        <v>2709</v>
      </c>
      <c r="T226">
        <f t="shared" si="11"/>
        <v>20</v>
      </c>
      <c r="U226" t="s">
        <v>1013</v>
      </c>
      <c r="V226" s="4" t="s">
        <v>1000</v>
      </c>
      <c r="W226">
        <v>225</v>
      </c>
      <c r="Y226">
        <f>LEN(O224)</f>
        <v>3</v>
      </c>
      <c r="Z226">
        <f t="shared" si="12"/>
        <v>0</v>
      </c>
      <c r="AD226" t="str">
        <v>1047</v>
      </c>
      <c r="AF226" s="2" t="str">
        <v>807</v>
      </c>
    </row>
    <row r="227" spans="1:32" x14ac:dyDescent="0.25">
      <c r="A227" s="4">
        <v>5043</v>
      </c>
      <c r="B227" t="s">
        <v>25</v>
      </c>
      <c r="C227">
        <v>6</v>
      </c>
      <c r="D227">
        <v>1</v>
      </c>
      <c r="E227">
        <v>3</v>
      </c>
      <c r="F227" t="s">
        <v>14</v>
      </c>
      <c r="G227">
        <v>5.15</v>
      </c>
      <c r="I227">
        <v>4</v>
      </c>
      <c r="J227" t="s">
        <v>20</v>
      </c>
      <c r="K227" t="str">
        <f t="shared" si="10"/>
        <v/>
      </c>
      <c r="L227" t="s">
        <v>16</v>
      </c>
      <c r="M227">
        <v>3</v>
      </c>
      <c r="O227" s="6" t="s">
        <v>1845</v>
      </c>
      <c r="T227">
        <f t="shared" si="11"/>
        <v>20</v>
      </c>
      <c r="U227" t="s">
        <v>1017</v>
      </c>
      <c r="V227" s="4" t="s">
        <v>1000</v>
      </c>
      <c r="W227">
        <v>226</v>
      </c>
      <c r="Y227">
        <f>LEN(O225)</f>
        <v>3</v>
      </c>
      <c r="Z227">
        <f t="shared" si="12"/>
        <v>0</v>
      </c>
      <c r="AD227" t="str">
        <v>1045</v>
      </c>
      <c r="AF227" s="2" t="str">
        <v>808</v>
      </c>
    </row>
    <row r="228" spans="1:32" x14ac:dyDescent="0.25">
      <c r="A228" s="4">
        <v>5043</v>
      </c>
      <c r="B228" t="s">
        <v>25</v>
      </c>
      <c r="C228">
        <v>6</v>
      </c>
      <c r="D228">
        <v>1</v>
      </c>
      <c r="E228">
        <v>2</v>
      </c>
      <c r="F228" t="s">
        <v>14</v>
      </c>
      <c r="G228">
        <v>5.15</v>
      </c>
      <c r="I228">
        <v>4</v>
      </c>
      <c r="J228" t="s">
        <v>20</v>
      </c>
      <c r="K228" t="str">
        <f t="shared" si="10"/>
        <v/>
      </c>
      <c r="L228" t="s">
        <v>16</v>
      </c>
      <c r="M228">
        <v>3</v>
      </c>
      <c r="O228" s="6" t="s">
        <v>2626</v>
      </c>
      <c r="T228">
        <f t="shared" si="11"/>
        <v>20</v>
      </c>
      <c r="U228" t="s">
        <v>1020</v>
      </c>
      <c r="V228" s="4" t="s">
        <v>1000</v>
      </c>
      <c r="W228">
        <v>227</v>
      </c>
      <c r="Y228">
        <f>LEN(O226)</f>
        <v>3</v>
      </c>
      <c r="Z228">
        <f t="shared" si="12"/>
        <v>0</v>
      </c>
      <c r="AD228" t="str">
        <v>1040</v>
      </c>
      <c r="AF228" s="2" t="str">
        <v>812</v>
      </c>
    </row>
    <row r="229" spans="1:32" x14ac:dyDescent="0.25">
      <c r="A229" s="4">
        <v>5043</v>
      </c>
      <c r="B229" t="s">
        <v>25</v>
      </c>
      <c r="C229">
        <v>6</v>
      </c>
      <c r="D229">
        <v>1</v>
      </c>
      <c r="E229">
        <v>5</v>
      </c>
      <c r="F229" t="s">
        <v>14</v>
      </c>
      <c r="G229">
        <v>5.15</v>
      </c>
      <c r="I229">
        <v>4</v>
      </c>
      <c r="J229" t="s">
        <v>15</v>
      </c>
      <c r="K229" t="str">
        <f t="shared" si="10"/>
        <v/>
      </c>
      <c r="L229" t="s">
        <v>16</v>
      </c>
      <c r="M229">
        <v>2</v>
      </c>
      <c r="O229" s="6" t="s">
        <v>2007</v>
      </c>
      <c r="T229">
        <f t="shared" si="11"/>
        <v>20</v>
      </c>
      <c r="U229" t="s">
        <v>1023</v>
      </c>
      <c r="V229" s="4" t="s">
        <v>1000</v>
      </c>
      <c r="W229">
        <v>228</v>
      </c>
      <c r="Y229">
        <f>LEN(O227)</f>
        <v>3</v>
      </c>
      <c r="Z229">
        <f t="shared" si="12"/>
        <v>0</v>
      </c>
      <c r="AD229" t="str">
        <v>104</v>
      </c>
      <c r="AF229" s="2" t="str">
        <v>8124</v>
      </c>
    </row>
    <row r="230" spans="1:32" x14ac:dyDescent="0.25">
      <c r="A230" s="4">
        <v>5043</v>
      </c>
      <c r="B230" t="s">
        <v>25</v>
      </c>
      <c r="C230">
        <v>6</v>
      </c>
      <c r="D230">
        <v>1</v>
      </c>
      <c r="E230">
        <v>4</v>
      </c>
      <c r="F230" t="s">
        <v>14</v>
      </c>
      <c r="G230">
        <v>5.15</v>
      </c>
      <c r="I230">
        <v>4</v>
      </c>
      <c r="J230" t="s">
        <v>15</v>
      </c>
      <c r="K230" t="str">
        <f t="shared" si="10"/>
        <v/>
      </c>
      <c r="L230" t="s">
        <v>16</v>
      </c>
      <c r="M230">
        <v>2</v>
      </c>
      <c r="O230" s="6" t="s">
        <v>1764</v>
      </c>
      <c r="T230">
        <f t="shared" si="11"/>
        <v>20</v>
      </c>
      <c r="U230" t="s">
        <v>1031</v>
      </c>
      <c r="V230" s="4" t="s">
        <v>1000</v>
      </c>
      <c r="W230">
        <v>229</v>
      </c>
      <c r="Y230">
        <f>LEN(O228)</f>
        <v>4</v>
      </c>
      <c r="Z230">
        <f t="shared" si="12"/>
        <v>0</v>
      </c>
      <c r="AD230" t="str">
        <v>103</v>
      </c>
      <c r="AF230" s="2" t="str">
        <v>8128</v>
      </c>
    </row>
    <row r="231" spans="1:32" x14ac:dyDescent="0.25">
      <c r="A231" s="4">
        <v>5043</v>
      </c>
      <c r="B231" t="s">
        <v>25</v>
      </c>
      <c r="C231">
        <v>6</v>
      </c>
      <c r="D231">
        <v>1</v>
      </c>
      <c r="E231">
        <v>3</v>
      </c>
      <c r="F231" t="s">
        <v>14</v>
      </c>
      <c r="G231">
        <v>5.15</v>
      </c>
      <c r="I231">
        <v>4</v>
      </c>
      <c r="J231" t="s">
        <v>15</v>
      </c>
      <c r="K231" t="str">
        <f t="shared" si="10"/>
        <v/>
      </c>
      <c r="L231" t="s">
        <v>16</v>
      </c>
      <c r="M231">
        <v>2</v>
      </c>
      <c r="O231" s="6" t="s">
        <v>2729</v>
      </c>
      <c r="T231">
        <f t="shared" si="11"/>
        <v>20</v>
      </c>
      <c r="U231" t="s">
        <v>1034</v>
      </c>
      <c r="V231" s="4" t="s">
        <v>1000</v>
      </c>
      <c r="W231">
        <v>230</v>
      </c>
      <c r="Y231">
        <f>LEN(O229)</f>
        <v>4</v>
      </c>
      <c r="Z231">
        <f t="shared" si="12"/>
        <v>0</v>
      </c>
      <c r="AD231" t="str">
        <v>1026</v>
      </c>
      <c r="AF231" s="2" t="str">
        <v>814</v>
      </c>
    </row>
    <row r="232" spans="1:32" x14ac:dyDescent="0.25">
      <c r="A232" s="4">
        <v>5043</v>
      </c>
      <c r="B232" t="s">
        <v>25</v>
      </c>
      <c r="C232">
        <v>6</v>
      </c>
      <c r="D232">
        <v>1</v>
      </c>
      <c r="E232">
        <v>2</v>
      </c>
      <c r="F232" t="s">
        <v>14</v>
      </c>
      <c r="G232">
        <v>5.15</v>
      </c>
      <c r="I232">
        <v>4</v>
      </c>
      <c r="J232" t="s">
        <v>15</v>
      </c>
      <c r="K232" t="str">
        <f t="shared" si="10"/>
        <v/>
      </c>
      <c r="L232" t="s">
        <v>16</v>
      </c>
      <c r="M232">
        <v>2</v>
      </c>
      <c r="O232" s="6" t="s">
        <v>2639</v>
      </c>
      <c r="T232">
        <f t="shared" si="11"/>
        <v>20</v>
      </c>
      <c r="U232" t="s">
        <v>1037</v>
      </c>
      <c r="V232" s="4" t="s">
        <v>1000</v>
      </c>
      <c r="W232">
        <v>231</v>
      </c>
      <c r="Y232">
        <f>LEN(O230)</f>
        <v>3</v>
      </c>
      <c r="Z232">
        <f t="shared" si="12"/>
        <v>0</v>
      </c>
      <c r="AD232" t="str">
        <v>1024</v>
      </c>
      <c r="AF232" s="2" t="str">
        <v>817</v>
      </c>
    </row>
    <row r="233" spans="1:32" x14ac:dyDescent="0.25">
      <c r="A233" s="4">
        <v>5043</v>
      </c>
      <c r="B233" t="s">
        <v>25</v>
      </c>
      <c r="C233">
        <v>6</v>
      </c>
      <c r="D233">
        <v>1</v>
      </c>
      <c r="E233">
        <v>10</v>
      </c>
      <c r="F233" t="s">
        <v>14</v>
      </c>
      <c r="G233">
        <v>5.7</v>
      </c>
      <c r="I233">
        <v>5</v>
      </c>
      <c r="J233" t="s">
        <v>24</v>
      </c>
      <c r="K233" t="str">
        <f t="shared" si="10"/>
        <v/>
      </c>
      <c r="L233" t="s">
        <v>16</v>
      </c>
      <c r="M233">
        <v>2</v>
      </c>
      <c r="O233" s="6" t="s">
        <v>1993</v>
      </c>
      <c r="T233">
        <f t="shared" si="11"/>
        <v>20</v>
      </c>
      <c r="U233" t="s">
        <v>1040</v>
      </c>
      <c r="V233" s="4" t="s">
        <v>1000</v>
      </c>
      <c r="W233">
        <v>232</v>
      </c>
      <c r="Y233">
        <f>LEN(O231)</f>
        <v>3</v>
      </c>
      <c r="Z233">
        <f t="shared" si="12"/>
        <v>0</v>
      </c>
      <c r="AD233" t="str">
        <v>1022</v>
      </c>
      <c r="AF233" s="2" t="str">
        <v>8222</v>
      </c>
    </row>
    <row r="234" spans="1:32" x14ac:dyDescent="0.25">
      <c r="A234" s="4">
        <v>5043</v>
      </c>
      <c r="B234" t="s">
        <v>25</v>
      </c>
      <c r="C234">
        <v>6</v>
      </c>
      <c r="D234">
        <v>1</v>
      </c>
      <c r="E234">
        <v>9</v>
      </c>
      <c r="F234" t="s">
        <v>14</v>
      </c>
      <c r="G234">
        <v>5.7</v>
      </c>
      <c r="I234">
        <v>5</v>
      </c>
      <c r="J234" t="s">
        <v>24</v>
      </c>
      <c r="K234" t="str">
        <f t="shared" si="10"/>
        <v/>
      </c>
      <c r="L234" t="s">
        <v>16</v>
      </c>
      <c r="M234">
        <v>2</v>
      </c>
      <c r="O234" s="6" t="s">
        <v>3076</v>
      </c>
      <c r="T234">
        <f t="shared" si="11"/>
        <v>20</v>
      </c>
      <c r="U234" t="s">
        <v>1044</v>
      </c>
      <c r="V234" s="4" t="s">
        <v>334</v>
      </c>
      <c r="W234">
        <v>233</v>
      </c>
      <c r="Y234">
        <f>LEN(O232)</f>
        <v>4</v>
      </c>
      <c r="Z234">
        <f t="shared" si="12"/>
        <v>0</v>
      </c>
      <c r="AD234" t="str">
        <v>1013</v>
      </c>
      <c r="AF234" s="2" t="str">
        <v>8226</v>
      </c>
    </row>
    <row r="235" spans="1:32" x14ac:dyDescent="0.25">
      <c r="A235" s="4">
        <v>5043</v>
      </c>
      <c r="B235" t="s">
        <v>25</v>
      </c>
      <c r="C235">
        <v>6</v>
      </c>
      <c r="D235">
        <v>1</v>
      </c>
      <c r="E235">
        <v>8</v>
      </c>
      <c r="F235" t="s">
        <v>14</v>
      </c>
      <c r="G235">
        <v>5.7</v>
      </c>
      <c r="I235">
        <v>5</v>
      </c>
      <c r="J235" t="s">
        <v>24</v>
      </c>
      <c r="K235" t="str">
        <f t="shared" si="10"/>
        <v/>
      </c>
      <c r="L235" t="s">
        <v>16</v>
      </c>
      <c r="M235">
        <v>2</v>
      </c>
      <c r="O235" s="6" t="s">
        <v>1815</v>
      </c>
      <c r="T235">
        <f t="shared" si="11"/>
        <v>20</v>
      </c>
      <c r="U235" t="s">
        <v>1052</v>
      </c>
      <c r="V235" s="4" t="s">
        <v>334</v>
      </c>
      <c r="W235">
        <v>234</v>
      </c>
      <c r="Y235">
        <f>LEN(O233)</f>
        <v>4</v>
      </c>
      <c r="Z235">
        <f t="shared" si="12"/>
        <v>0</v>
      </c>
      <c r="AD235" t="str">
        <v>1009</v>
      </c>
      <c r="AF235" s="2" t="str">
        <v>829</v>
      </c>
    </row>
    <row r="236" spans="1:32" x14ac:dyDescent="0.25">
      <c r="A236" s="4">
        <v>5043</v>
      </c>
      <c r="B236" t="s">
        <v>25</v>
      </c>
      <c r="C236">
        <v>6</v>
      </c>
      <c r="D236">
        <v>1</v>
      </c>
      <c r="E236">
        <v>7</v>
      </c>
      <c r="F236" t="s">
        <v>14</v>
      </c>
      <c r="G236">
        <v>5.7</v>
      </c>
      <c r="I236">
        <v>5</v>
      </c>
      <c r="J236" t="s">
        <v>24</v>
      </c>
      <c r="K236" t="str">
        <f t="shared" si="10"/>
        <v/>
      </c>
      <c r="L236" t="s">
        <v>16</v>
      </c>
      <c r="M236">
        <v>2</v>
      </c>
      <c r="O236" s="6" t="s">
        <v>2172</v>
      </c>
      <c r="T236">
        <f t="shared" si="11"/>
        <v>20</v>
      </c>
      <c r="U236" t="s">
        <v>1056</v>
      </c>
      <c r="V236" s="4" t="s">
        <v>334</v>
      </c>
      <c r="W236">
        <v>235</v>
      </c>
      <c r="Y236">
        <f>LEN(O234)</f>
        <v>3</v>
      </c>
      <c r="Z236">
        <f t="shared" si="12"/>
        <v>0</v>
      </c>
      <c r="AD236" t="str">
        <v>1001</v>
      </c>
      <c r="AF236" s="2" t="str">
        <v>861</v>
      </c>
    </row>
    <row r="237" spans="1:32" x14ac:dyDescent="0.25">
      <c r="A237" s="4">
        <v>5043</v>
      </c>
      <c r="B237" t="s">
        <v>25</v>
      </c>
      <c r="C237">
        <v>6</v>
      </c>
      <c r="D237">
        <v>1</v>
      </c>
      <c r="E237">
        <v>6</v>
      </c>
      <c r="F237" t="s">
        <v>14</v>
      </c>
      <c r="G237">
        <v>5.7</v>
      </c>
      <c r="I237">
        <v>5</v>
      </c>
      <c r="J237" t="s">
        <v>24</v>
      </c>
      <c r="K237" t="str">
        <f t="shared" si="10"/>
        <v/>
      </c>
      <c r="L237" t="s">
        <v>16</v>
      </c>
      <c r="M237">
        <v>2</v>
      </c>
      <c r="O237" s="6" t="s">
        <v>1979</v>
      </c>
      <c r="T237">
        <f t="shared" si="11"/>
        <v>20</v>
      </c>
      <c r="U237" t="s">
        <v>1059</v>
      </c>
      <c r="V237" s="4" t="s">
        <v>1060</v>
      </c>
      <c r="W237">
        <v>236</v>
      </c>
      <c r="Y237">
        <f>LEN(O235)</f>
        <v>3</v>
      </c>
      <c r="Z237">
        <f t="shared" si="12"/>
        <v>0</v>
      </c>
      <c r="AD237" t="str">
        <v>08</v>
      </c>
      <c r="AF237" s="2" t="str">
        <v>862</v>
      </c>
    </row>
    <row r="238" spans="1:32" x14ac:dyDescent="0.25">
      <c r="A238" s="4">
        <v>5043</v>
      </c>
      <c r="B238" t="s">
        <v>25</v>
      </c>
      <c r="C238">
        <v>6</v>
      </c>
      <c r="D238">
        <v>1</v>
      </c>
      <c r="E238">
        <v>10</v>
      </c>
      <c r="F238" t="s">
        <v>14</v>
      </c>
      <c r="G238">
        <v>5.7</v>
      </c>
      <c r="I238">
        <v>5</v>
      </c>
      <c r="J238" t="s">
        <v>17</v>
      </c>
      <c r="K238" t="str">
        <f t="shared" si="10"/>
        <v/>
      </c>
      <c r="L238" t="s">
        <v>16</v>
      </c>
      <c r="M238">
        <v>4</v>
      </c>
      <c r="O238" s="6" t="s">
        <v>3062</v>
      </c>
      <c r="T238">
        <f t="shared" si="11"/>
        <v>20</v>
      </c>
      <c r="U238" t="s">
        <v>1067</v>
      </c>
      <c r="V238" s="4" t="s">
        <v>1060</v>
      </c>
      <c r="W238">
        <v>237</v>
      </c>
      <c r="Y238">
        <f>LEN(O236)</f>
        <v>3</v>
      </c>
      <c r="Z238">
        <f t="shared" si="12"/>
        <v>0</v>
      </c>
      <c r="AD238" t="str">
        <v>07</v>
      </c>
      <c r="AF238" s="2" t="str">
        <v>863</v>
      </c>
    </row>
    <row r="239" spans="1:32" x14ac:dyDescent="0.25">
      <c r="A239" s="4">
        <v>5043</v>
      </c>
      <c r="B239" t="s">
        <v>25</v>
      </c>
      <c r="C239">
        <v>6</v>
      </c>
      <c r="D239">
        <v>1</v>
      </c>
      <c r="E239">
        <v>9</v>
      </c>
      <c r="F239" t="s">
        <v>14</v>
      </c>
      <c r="G239">
        <v>5.7</v>
      </c>
      <c r="I239">
        <v>5</v>
      </c>
      <c r="J239" t="s">
        <v>17</v>
      </c>
      <c r="K239" t="str">
        <f t="shared" si="10"/>
        <v/>
      </c>
      <c r="L239" t="s">
        <v>16</v>
      </c>
      <c r="M239">
        <v>4</v>
      </c>
      <c r="O239" s="6" t="s">
        <v>3085</v>
      </c>
      <c r="T239">
        <f t="shared" si="11"/>
        <v>20</v>
      </c>
      <c r="U239" t="s">
        <v>1070</v>
      </c>
      <c r="V239" s="4" t="s">
        <v>1060</v>
      </c>
      <c r="W239">
        <v>238</v>
      </c>
      <c r="Y239">
        <f>LEN(O237)</f>
        <v>3</v>
      </c>
      <c r="Z239">
        <f t="shared" si="12"/>
        <v>0</v>
      </c>
      <c r="AD239" t="str">
        <v>062</v>
      </c>
      <c r="AF239" s="2" t="str">
        <v>867</v>
      </c>
    </row>
    <row r="240" spans="1:32" x14ac:dyDescent="0.25">
      <c r="A240" s="4">
        <v>5043</v>
      </c>
      <c r="B240" t="s">
        <v>25</v>
      </c>
      <c r="C240">
        <v>6</v>
      </c>
      <c r="D240">
        <v>1</v>
      </c>
      <c r="E240">
        <v>8</v>
      </c>
      <c r="F240" t="s">
        <v>14</v>
      </c>
      <c r="G240">
        <v>5.7</v>
      </c>
      <c r="I240">
        <v>5</v>
      </c>
      <c r="J240" t="s">
        <v>17</v>
      </c>
      <c r="K240" t="str">
        <f t="shared" si="10"/>
        <v/>
      </c>
      <c r="L240" t="s">
        <v>16</v>
      </c>
      <c r="M240">
        <v>4</v>
      </c>
      <c r="O240" s="6" t="s">
        <v>2534</v>
      </c>
      <c r="T240">
        <f t="shared" si="11"/>
        <v>20</v>
      </c>
      <c r="U240" t="s">
        <v>1073</v>
      </c>
      <c r="V240" s="4" t="s">
        <v>1060</v>
      </c>
      <c r="W240">
        <v>239</v>
      </c>
      <c r="Y240">
        <f>LEN(O238)</f>
        <v>3</v>
      </c>
      <c r="Z240">
        <f t="shared" si="12"/>
        <v>0</v>
      </c>
      <c r="AD240" t="str">
        <v>057</v>
      </c>
      <c r="AF240" s="2" t="str">
        <v>870</v>
      </c>
    </row>
    <row r="241" spans="1:32" x14ac:dyDescent="0.25">
      <c r="A241" s="4">
        <v>5043</v>
      </c>
      <c r="B241" t="s">
        <v>25</v>
      </c>
      <c r="C241">
        <v>6</v>
      </c>
      <c r="D241">
        <v>1</v>
      </c>
      <c r="E241">
        <v>7</v>
      </c>
      <c r="F241" t="s">
        <v>14</v>
      </c>
      <c r="G241">
        <v>5.7</v>
      </c>
      <c r="I241">
        <v>5</v>
      </c>
      <c r="J241" t="s">
        <v>17</v>
      </c>
      <c r="K241" t="str">
        <f t="shared" si="10"/>
        <v/>
      </c>
      <c r="L241" t="s">
        <v>16</v>
      </c>
      <c r="M241">
        <v>4</v>
      </c>
      <c r="O241" s="6" t="s">
        <v>2566</v>
      </c>
      <c r="T241">
        <f t="shared" si="11"/>
        <v>20</v>
      </c>
      <c r="U241" t="s">
        <v>1081</v>
      </c>
      <c r="V241" s="4" t="s">
        <v>1060</v>
      </c>
      <c r="W241">
        <v>240</v>
      </c>
      <c r="Y241">
        <f>LEN(O239)</f>
        <v>3</v>
      </c>
      <c r="Z241">
        <f t="shared" si="12"/>
        <v>0</v>
      </c>
      <c r="AD241" t="str">
        <v>052</v>
      </c>
      <c r="AF241" s="2" t="str">
        <v>9040</v>
      </c>
    </row>
    <row r="242" spans="1:32" x14ac:dyDescent="0.25">
      <c r="A242" s="4">
        <v>5043</v>
      </c>
      <c r="B242" t="s">
        <v>25</v>
      </c>
      <c r="C242">
        <v>6</v>
      </c>
      <c r="D242">
        <v>1</v>
      </c>
      <c r="E242">
        <v>6</v>
      </c>
      <c r="F242" t="s">
        <v>14</v>
      </c>
      <c r="G242">
        <v>5.7</v>
      </c>
      <c r="I242">
        <v>5</v>
      </c>
      <c r="J242" t="s">
        <v>17</v>
      </c>
      <c r="K242" t="str">
        <f t="shared" si="10"/>
        <v/>
      </c>
      <c r="L242" t="s">
        <v>16</v>
      </c>
      <c r="M242">
        <v>4</v>
      </c>
      <c r="O242" s="6" t="s">
        <v>2780</v>
      </c>
      <c r="T242">
        <f t="shared" si="11"/>
        <v>20</v>
      </c>
      <c r="U242" t="s">
        <v>1085</v>
      </c>
      <c r="V242" s="4" t="s">
        <v>1060</v>
      </c>
      <c r="W242">
        <v>241</v>
      </c>
      <c r="Y242">
        <f>LEN(O240)</f>
        <v>4</v>
      </c>
      <c r="Z242">
        <f t="shared" si="12"/>
        <v>0</v>
      </c>
      <c r="AD242" t="str">
        <v>04</v>
      </c>
      <c r="AF242" s="2" t="str">
        <v>9044</v>
      </c>
    </row>
    <row r="243" spans="1:32" x14ac:dyDescent="0.25">
      <c r="A243" s="4">
        <v>5043</v>
      </c>
      <c r="B243" t="s">
        <v>25</v>
      </c>
      <c r="C243">
        <v>6</v>
      </c>
      <c r="D243">
        <v>1</v>
      </c>
      <c r="E243">
        <v>10</v>
      </c>
      <c r="F243" t="s">
        <v>14</v>
      </c>
      <c r="G243">
        <v>5.7</v>
      </c>
      <c r="I243">
        <v>5</v>
      </c>
      <c r="J243" t="s">
        <v>20</v>
      </c>
      <c r="K243" t="str">
        <f t="shared" si="10"/>
        <v/>
      </c>
      <c r="L243" t="s">
        <v>16</v>
      </c>
      <c r="M243">
        <v>3</v>
      </c>
      <c r="O243" s="6" t="s">
        <v>2737</v>
      </c>
      <c r="T243">
        <f t="shared" si="11"/>
        <v>20</v>
      </c>
      <c r="U243" t="s">
        <v>1088</v>
      </c>
      <c r="V243" s="4" t="s">
        <v>713</v>
      </c>
      <c r="W243">
        <v>242</v>
      </c>
      <c r="Y243">
        <f>LEN(O241)</f>
        <v>4</v>
      </c>
      <c r="Z243">
        <f t="shared" si="12"/>
        <v>0</v>
      </c>
      <c r="AD243" t="str">
        <v>03</v>
      </c>
      <c r="AF243" s="2" t="str">
        <v>907</v>
      </c>
    </row>
    <row r="244" spans="1:32" x14ac:dyDescent="0.25">
      <c r="A244" s="4">
        <v>5043</v>
      </c>
      <c r="B244" t="s">
        <v>25</v>
      </c>
      <c r="C244">
        <v>6</v>
      </c>
      <c r="D244">
        <v>1</v>
      </c>
      <c r="E244">
        <v>9</v>
      </c>
      <c r="F244" t="s">
        <v>14</v>
      </c>
      <c r="G244">
        <v>5.7</v>
      </c>
      <c r="I244">
        <v>5</v>
      </c>
      <c r="J244" t="s">
        <v>20</v>
      </c>
      <c r="K244" t="str">
        <f t="shared" si="10"/>
        <v/>
      </c>
      <c r="L244" t="s">
        <v>16</v>
      </c>
      <c r="M244">
        <v>3</v>
      </c>
      <c r="O244" s="6">
        <v>0</v>
      </c>
      <c r="T244">
        <f t="shared" si="11"/>
        <v>20</v>
      </c>
      <c r="U244" t="s">
        <v>1097</v>
      </c>
      <c r="V244" s="4" t="s">
        <v>713</v>
      </c>
      <c r="W244">
        <v>243</v>
      </c>
      <c r="Y244">
        <f>LEN(O242)</f>
        <v>3</v>
      </c>
      <c r="Z244">
        <f t="shared" si="12"/>
        <v>0</v>
      </c>
      <c r="AD244" t="str">
        <v>02</v>
      </c>
      <c r="AF244" s="2" t="str">
        <v>917</v>
      </c>
    </row>
    <row r="245" spans="1:32" x14ac:dyDescent="0.25">
      <c r="A245" s="4">
        <v>5043</v>
      </c>
      <c r="B245" t="s">
        <v>25</v>
      </c>
      <c r="C245">
        <v>6</v>
      </c>
      <c r="D245">
        <v>1</v>
      </c>
      <c r="E245">
        <v>8</v>
      </c>
      <c r="F245" t="s">
        <v>14</v>
      </c>
      <c r="G245">
        <v>5.7</v>
      </c>
      <c r="I245">
        <v>5</v>
      </c>
      <c r="J245" t="s">
        <v>20</v>
      </c>
      <c r="K245" t="str">
        <f t="shared" si="10"/>
        <v/>
      </c>
      <c r="L245" t="s">
        <v>16</v>
      </c>
      <c r="M245">
        <v>3</v>
      </c>
      <c r="T245">
        <f t="shared" si="11"/>
        <v>20</v>
      </c>
      <c r="U245" t="s">
        <v>1100</v>
      </c>
      <c r="V245" s="4" t="s">
        <v>713</v>
      </c>
      <c r="W245">
        <v>244</v>
      </c>
      <c r="Y245">
        <f>LEN(O243)</f>
        <v>3</v>
      </c>
      <c r="Z245">
        <f t="shared" si="12"/>
        <v>0</v>
      </c>
      <c r="AD245" t="str">
        <v>011</v>
      </c>
    </row>
    <row r="246" spans="1:32" x14ac:dyDescent="0.25">
      <c r="A246" s="4">
        <v>5043</v>
      </c>
      <c r="B246" t="s">
        <v>25</v>
      </c>
      <c r="C246">
        <v>6</v>
      </c>
      <c r="D246">
        <v>1</v>
      </c>
      <c r="E246">
        <v>7</v>
      </c>
      <c r="F246" t="s">
        <v>14</v>
      </c>
      <c r="G246">
        <v>5.7</v>
      </c>
      <c r="I246">
        <v>5</v>
      </c>
      <c r="J246" t="s">
        <v>20</v>
      </c>
      <c r="K246" t="str">
        <f t="shared" si="10"/>
        <v/>
      </c>
      <c r="L246" t="s">
        <v>16</v>
      </c>
      <c r="M246">
        <v>3</v>
      </c>
      <c r="T246">
        <f t="shared" si="11"/>
        <v>20</v>
      </c>
      <c r="U246" t="s">
        <v>1103</v>
      </c>
      <c r="V246" s="4" t="s">
        <v>719</v>
      </c>
      <c r="W246">
        <v>245</v>
      </c>
      <c r="Y246">
        <f>LEN(O244)</f>
        <v>1</v>
      </c>
      <c r="Z246">
        <f t="shared" si="12"/>
        <v>0</v>
      </c>
      <c r="AD246" t="str">
        <v>01</v>
      </c>
    </row>
    <row r="247" spans="1:32" x14ac:dyDescent="0.25">
      <c r="A247" s="4">
        <v>5043</v>
      </c>
      <c r="B247" t="s">
        <v>25</v>
      </c>
      <c r="C247">
        <v>6</v>
      </c>
      <c r="D247">
        <v>1</v>
      </c>
      <c r="E247">
        <v>6</v>
      </c>
      <c r="F247" t="s">
        <v>14</v>
      </c>
      <c r="G247">
        <v>5.7</v>
      </c>
      <c r="I247">
        <v>5</v>
      </c>
      <c r="J247" t="s">
        <v>20</v>
      </c>
      <c r="K247" t="str">
        <f t="shared" si="10"/>
        <v/>
      </c>
      <c r="L247" t="s">
        <v>16</v>
      </c>
      <c r="M247">
        <v>3</v>
      </c>
      <c r="T247">
        <f t="shared" si="11"/>
        <v>20</v>
      </c>
      <c r="U247" t="s">
        <v>1110</v>
      </c>
      <c r="V247" s="4" t="s">
        <v>719</v>
      </c>
      <c r="W247">
        <v>246</v>
      </c>
      <c r="Y247">
        <f t="shared" ref="Y195:Y258" si="13">LEN(O247)</f>
        <v>0</v>
      </c>
      <c r="Z247">
        <f t="shared" si="12"/>
        <v>0</v>
      </c>
      <c r="AD247">
        <v>0</v>
      </c>
    </row>
    <row r="248" spans="1:32" x14ac:dyDescent="0.25">
      <c r="A248" s="4">
        <v>5043</v>
      </c>
      <c r="B248" t="s">
        <v>25</v>
      </c>
      <c r="C248">
        <v>6</v>
      </c>
      <c r="D248">
        <v>1</v>
      </c>
      <c r="E248">
        <v>10</v>
      </c>
      <c r="F248" t="s">
        <v>14</v>
      </c>
      <c r="G248">
        <v>5.7</v>
      </c>
      <c r="I248">
        <v>5</v>
      </c>
      <c r="J248" t="s">
        <v>15</v>
      </c>
      <c r="K248" t="str">
        <f t="shared" si="10"/>
        <v/>
      </c>
      <c r="L248" t="s">
        <v>16</v>
      </c>
      <c r="M248">
        <v>4</v>
      </c>
      <c r="T248">
        <f t="shared" si="11"/>
        <v>20</v>
      </c>
      <c r="U248" t="s">
        <v>1113</v>
      </c>
      <c r="V248" s="4" t="s">
        <v>719</v>
      </c>
      <c r="W248">
        <v>247</v>
      </c>
      <c r="Y248">
        <f t="shared" si="13"/>
        <v>0</v>
      </c>
      <c r="Z248">
        <f t="shared" si="12"/>
        <v>0</v>
      </c>
    </row>
    <row r="249" spans="1:32" x14ac:dyDescent="0.25">
      <c r="A249" s="4">
        <v>5043</v>
      </c>
      <c r="B249" t="s">
        <v>25</v>
      </c>
      <c r="C249">
        <v>6</v>
      </c>
      <c r="D249">
        <v>1</v>
      </c>
      <c r="E249">
        <v>9</v>
      </c>
      <c r="F249" t="s">
        <v>14</v>
      </c>
      <c r="G249">
        <v>5.7</v>
      </c>
      <c r="I249">
        <v>5</v>
      </c>
      <c r="J249" t="s">
        <v>15</v>
      </c>
      <c r="K249" t="str">
        <f t="shared" si="10"/>
        <v/>
      </c>
      <c r="L249" t="s">
        <v>16</v>
      </c>
      <c r="M249">
        <v>4</v>
      </c>
      <c r="T249">
        <f t="shared" si="11"/>
        <v>20</v>
      </c>
      <c r="U249" t="s">
        <v>1118</v>
      </c>
      <c r="V249" s="4" t="s">
        <v>722</v>
      </c>
      <c r="W249">
        <v>248</v>
      </c>
      <c r="Y249">
        <f t="shared" si="13"/>
        <v>0</v>
      </c>
      <c r="Z249">
        <f t="shared" si="12"/>
        <v>0</v>
      </c>
    </row>
    <row r="250" spans="1:32" x14ac:dyDescent="0.25">
      <c r="A250" s="4">
        <v>5043</v>
      </c>
      <c r="B250" t="s">
        <v>25</v>
      </c>
      <c r="C250">
        <v>6</v>
      </c>
      <c r="D250">
        <v>1</v>
      </c>
      <c r="E250">
        <v>8</v>
      </c>
      <c r="F250" t="s">
        <v>14</v>
      </c>
      <c r="G250">
        <v>5.7</v>
      </c>
      <c r="I250">
        <v>5</v>
      </c>
      <c r="J250" t="s">
        <v>15</v>
      </c>
      <c r="K250" t="str">
        <f t="shared" si="10"/>
        <v/>
      </c>
      <c r="L250" t="s">
        <v>16</v>
      </c>
      <c r="M250">
        <v>4</v>
      </c>
      <c r="T250">
        <f t="shared" si="11"/>
        <v>20</v>
      </c>
      <c r="U250" t="s">
        <v>1122</v>
      </c>
      <c r="V250" s="4" t="s">
        <v>722</v>
      </c>
      <c r="W250">
        <v>249</v>
      </c>
      <c r="Y250">
        <f t="shared" si="13"/>
        <v>0</v>
      </c>
      <c r="Z250">
        <f t="shared" si="12"/>
        <v>0</v>
      </c>
    </row>
    <row r="251" spans="1:32" x14ac:dyDescent="0.25">
      <c r="A251" s="4">
        <v>5043</v>
      </c>
      <c r="B251" t="s">
        <v>25</v>
      </c>
      <c r="C251">
        <v>6</v>
      </c>
      <c r="D251">
        <v>1</v>
      </c>
      <c r="E251">
        <v>7</v>
      </c>
      <c r="F251" t="s">
        <v>14</v>
      </c>
      <c r="G251">
        <v>5.7</v>
      </c>
      <c r="I251">
        <v>5</v>
      </c>
      <c r="J251" t="s">
        <v>15</v>
      </c>
      <c r="K251" t="str">
        <f t="shared" si="10"/>
        <v/>
      </c>
      <c r="L251" t="s">
        <v>16</v>
      </c>
      <c r="M251">
        <v>4</v>
      </c>
      <c r="T251">
        <f t="shared" si="11"/>
        <v>20</v>
      </c>
      <c r="U251" t="s">
        <v>1125</v>
      </c>
      <c r="V251" s="4" t="s">
        <v>722</v>
      </c>
      <c r="W251">
        <v>250</v>
      </c>
      <c r="Y251">
        <f t="shared" si="13"/>
        <v>0</v>
      </c>
      <c r="Z251">
        <f t="shared" si="12"/>
        <v>0</v>
      </c>
    </row>
    <row r="252" spans="1:32" x14ac:dyDescent="0.25">
      <c r="A252" s="4">
        <v>5043</v>
      </c>
      <c r="B252" t="s">
        <v>25</v>
      </c>
      <c r="C252">
        <v>6</v>
      </c>
      <c r="D252">
        <v>1</v>
      </c>
      <c r="E252">
        <v>6</v>
      </c>
      <c r="F252" t="s">
        <v>14</v>
      </c>
      <c r="G252">
        <v>5.7</v>
      </c>
      <c r="I252">
        <v>5</v>
      </c>
      <c r="J252" t="s">
        <v>15</v>
      </c>
      <c r="K252" t="str">
        <f t="shared" si="10"/>
        <v/>
      </c>
      <c r="L252" t="s">
        <v>16</v>
      </c>
      <c r="M252">
        <v>4</v>
      </c>
      <c r="T252">
        <f t="shared" si="11"/>
        <v>20</v>
      </c>
      <c r="U252" t="s">
        <v>1128</v>
      </c>
      <c r="V252" s="4" t="s">
        <v>1000</v>
      </c>
      <c r="W252">
        <v>251</v>
      </c>
      <c r="Y252">
        <f t="shared" si="13"/>
        <v>0</v>
      </c>
      <c r="Z252">
        <f t="shared" si="12"/>
        <v>0</v>
      </c>
    </row>
    <row r="253" spans="1:32" x14ac:dyDescent="0.25">
      <c r="A253" s="4">
        <v>5043</v>
      </c>
      <c r="B253" t="s">
        <v>25</v>
      </c>
      <c r="C253">
        <v>6</v>
      </c>
      <c r="D253">
        <v>1</v>
      </c>
      <c r="E253">
        <v>15</v>
      </c>
      <c r="F253" t="s">
        <v>14</v>
      </c>
      <c r="G253">
        <v>6</v>
      </c>
      <c r="I253">
        <v>5</v>
      </c>
      <c r="J253" t="s">
        <v>24</v>
      </c>
      <c r="K253" t="str">
        <f t="shared" si="10"/>
        <v/>
      </c>
      <c r="L253" t="s">
        <v>16</v>
      </c>
      <c r="M253">
        <v>2</v>
      </c>
      <c r="T253">
        <f t="shared" si="11"/>
        <v>20</v>
      </c>
      <c r="U253" t="s">
        <v>1132</v>
      </c>
      <c r="V253" s="4" t="s">
        <v>1133</v>
      </c>
      <c r="W253">
        <v>252</v>
      </c>
      <c r="Y253">
        <f t="shared" si="13"/>
        <v>0</v>
      </c>
      <c r="Z253">
        <f t="shared" si="12"/>
        <v>0</v>
      </c>
    </row>
    <row r="254" spans="1:32" x14ac:dyDescent="0.25">
      <c r="A254" s="4">
        <v>5043</v>
      </c>
      <c r="B254" t="s">
        <v>25</v>
      </c>
      <c r="C254">
        <v>6</v>
      </c>
      <c r="D254">
        <v>1</v>
      </c>
      <c r="E254">
        <v>14</v>
      </c>
      <c r="F254" t="s">
        <v>14</v>
      </c>
      <c r="G254">
        <v>6</v>
      </c>
      <c r="I254">
        <v>5</v>
      </c>
      <c r="J254" t="s">
        <v>24</v>
      </c>
      <c r="K254" t="str">
        <f t="shared" si="10"/>
        <v/>
      </c>
      <c r="L254" t="s">
        <v>16</v>
      </c>
      <c r="M254">
        <v>2</v>
      </c>
      <c r="T254">
        <f t="shared" si="11"/>
        <v>20</v>
      </c>
      <c r="U254" t="s">
        <v>1141</v>
      </c>
      <c r="V254" s="4" t="s">
        <v>1133</v>
      </c>
      <c r="W254">
        <v>253</v>
      </c>
      <c r="Y254">
        <f t="shared" si="13"/>
        <v>0</v>
      </c>
      <c r="Z254">
        <f t="shared" si="12"/>
        <v>0</v>
      </c>
    </row>
    <row r="255" spans="1:32" x14ac:dyDescent="0.25">
      <c r="A255" s="4">
        <v>5043</v>
      </c>
      <c r="B255" t="s">
        <v>25</v>
      </c>
      <c r="C255">
        <v>6</v>
      </c>
      <c r="D255">
        <v>1</v>
      </c>
      <c r="E255">
        <v>13</v>
      </c>
      <c r="F255" t="s">
        <v>14</v>
      </c>
      <c r="G255">
        <v>6</v>
      </c>
      <c r="I255">
        <v>5</v>
      </c>
      <c r="J255" t="s">
        <v>24</v>
      </c>
      <c r="K255" t="str">
        <f t="shared" si="10"/>
        <v/>
      </c>
      <c r="L255" t="s">
        <v>16</v>
      </c>
      <c r="M255">
        <v>2</v>
      </c>
      <c r="T255">
        <f t="shared" si="11"/>
        <v>20</v>
      </c>
      <c r="U255" t="s">
        <v>1144</v>
      </c>
      <c r="V255" s="4" t="s">
        <v>1133</v>
      </c>
      <c r="W255">
        <v>254</v>
      </c>
      <c r="Y255">
        <f t="shared" si="13"/>
        <v>0</v>
      </c>
      <c r="Z255">
        <f t="shared" si="12"/>
        <v>0</v>
      </c>
    </row>
    <row r="256" spans="1:32" x14ac:dyDescent="0.25">
      <c r="A256" s="4">
        <v>5043</v>
      </c>
      <c r="B256" t="s">
        <v>25</v>
      </c>
      <c r="C256">
        <v>6</v>
      </c>
      <c r="D256">
        <v>1</v>
      </c>
      <c r="E256">
        <v>12</v>
      </c>
      <c r="F256" t="s">
        <v>14</v>
      </c>
      <c r="G256">
        <v>6</v>
      </c>
      <c r="I256">
        <v>5</v>
      </c>
      <c r="J256" t="s">
        <v>24</v>
      </c>
      <c r="K256" t="str">
        <f t="shared" si="10"/>
        <v/>
      </c>
      <c r="L256" t="s">
        <v>16</v>
      </c>
      <c r="M256">
        <v>2</v>
      </c>
      <c r="T256">
        <f t="shared" si="11"/>
        <v>20</v>
      </c>
      <c r="U256" t="s">
        <v>1146</v>
      </c>
      <c r="V256" s="4" t="s">
        <v>1133</v>
      </c>
      <c r="W256">
        <v>255</v>
      </c>
      <c r="Y256">
        <f t="shared" si="13"/>
        <v>0</v>
      </c>
      <c r="Z256">
        <f t="shared" si="12"/>
        <v>0</v>
      </c>
    </row>
    <row r="257" spans="1:26" x14ac:dyDescent="0.25">
      <c r="A257" s="4">
        <v>5043</v>
      </c>
      <c r="B257" t="s">
        <v>25</v>
      </c>
      <c r="C257">
        <v>6</v>
      </c>
      <c r="D257">
        <v>1</v>
      </c>
      <c r="E257">
        <v>11</v>
      </c>
      <c r="F257" t="s">
        <v>14</v>
      </c>
      <c r="G257">
        <v>6</v>
      </c>
      <c r="I257">
        <v>5</v>
      </c>
      <c r="J257" t="s">
        <v>24</v>
      </c>
      <c r="K257" t="str">
        <f t="shared" si="10"/>
        <v/>
      </c>
      <c r="L257" t="s">
        <v>16</v>
      </c>
      <c r="M257">
        <v>2</v>
      </c>
      <c r="T257">
        <f t="shared" si="11"/>
        <v>20</v>
      </c>
      <c r="U257" t="s">
        <v>1153</v>
      </c>
      <c r="V257" s="4" t="s">
        <v>1133</v>
      </c>
      <c r="W257">
        <v>256</v>
      </c>
      <c r="Y257">
        <f t="shared" si="13"/>
        <v>0</v>
      </c>
      <c r="Z257">
        <f t="shared" si="12"/>
        <v>0</v>
      </c>
    </row>
    <row r="258" spans="1:26" x14ac:dyDescent="0.25">
      <c r="A258" s="4">
        <v>5043</v>
      </c>
      <c r="B258" t="s">
        <v>25</v>
      </c>
      <c r="C258">
        <v>6</v>
      </c>
      <c r="D258">
        <v>1</v>
      </c>
      <c r="E258">
        <v>15</v>
      </c>
      <c r="F258" t="s">
        <v>14</v>
      </c>
      <c r="G258">
        <v>6</v>
      </c>
      <c r="I258">
        <v>5</v>
      </c>
      <c r="J258" t="s">
        <v>17</v>
      </c>
      <c r="K258" t="str">
        <f t="shared" si="10"/>
        <v/>
      </c>
      <c r="L258" t="s">
        <v>16</v>
      </c>
      <c r="M258">
        <v>1</v>
      </c>
      <c r="T258">
        <f t="shared" si="11"/>
        <v>20</v>
      </c>
      <c r="U258" t="s">
        <v>1156</v>
      </c>
      <c r="V258" s="4" t="s">
        <v>1133</v>
      </c>
      <c r="W258">
        <v>257</v>
      </c>
      <c r="Y258">
        <f t="shared" si="13"/>
        <v>0</v>
      </c>
      <c r="Z258">
        <f t="shared" si="12"/>
        <v>0</v>
      </c>
    </row>
    <row r="259" spans="1:26" x14ac:dyDescent="0.25">
      <c r="A259" s="4">
        <v>5043</v>
      </c>
      <c r="B259" t="s">
        <v>25</v>
      </c>
      <c r="C259">
        <v>6</v>
      </c>
      <c r="D259">
        <v>1</v>
      </c>
      <c r="E259">
        <v>14</v>
      </c>
      <c r="F259" t="s">
        <v>14</v>
      </c>
      <c r="G259">
        <v>6</v>
      </c>
      <c r="I259">
        <v>5</v>
      </c>
      <c r="J259" t="s">
        <v>17</v>
      </c>
      <c r="K259" t="str">
        <f t="shared" ref="K259:K322" si="14">_xlfn.XLOOKUP(A259,V:V,U:U,"",0)</f>
        <v/>
      </c>
      <c r="L259" t="s">
        <v>16</v>
      </c>
      <c r="M259">
        <v>1</v>
      </c>
      <c r="T259">
        <f t="shared" ref="T259:T322" si="15">LEN(U259)</f>
        <v>20</v>
      </c>
      <c r="U259" t="s">
        <v>1158</v>
      </c>
      <c r="V259" s="4" t="s">
        <v>1159</v>
      </c>
      <c r="W259">
        <v>258</v>
      </c>
      <c r="Y259">
        <f t="shared" ref="Y259:Y322" si="16">LEN(O259)</f>
        <v>0</v>
      </c>
      <c r="Z259">
        <f t="shared" ref="Z259:Z322" si="17">LEN(P259)</f>
        <v>0</v>
      </c>
    </row>
    <row r="260" spans="1:26" x14ac:dyDescent="0.25">
      <c r="A260" s="4">
        <v>5043</v>
      </c>
      <c r="B260" t="s">
        <v>25</v>
      </c>
      <c r="C260">
        <v>6</v>
      </c>
      <c r="D260">
        <v>1</v>
      </c>
      <c r="E260">
        <v>13</v>
      </c>
      <c r="F260" t="s">
        <v>14</v>
      </c>
      <c r="G260">
        <v>6</v>
      </c>
      <c r="I260">
        <v>5</v>
      </c>
      <c r="J260" t="s">
        <v>17</v>
      </c>
      <c r="K260" t="str">
        <f t="shared" si="14"/>
        <v/>
      </c>
      <c r="L260" t="s">
        <v>16</v>
      </c>
      <c r="M260">
        <v>1</v>
      </c>
      <c r="T260">
        <f t="shared" si="15"/>
        <v>20</v>
      </c>
      <c r="U260" t="s">
        <v>1165</v>
      </c>
      <c r="V260" s="4" t="s">
        <v>1159</v>
      </c>
      <c r="W260">
        <v>259</v>
      </c>
      <c r="Y260">
        <f t="shared" si="16"/>
        <v>0</v>
      </c>
      <c r="Z260">
        <f t="shared" si="17"/>
        <v>0</v>
      </c>
    </row>
    <row r="261" spans="1:26" x14ac:dyDescent="0.25">
      <c r="A261" s="4">
        <v>5043</v>
      </c>
      <c r="B261" t="s">
        <v>25</v>
      </c>
      <c r="C261">
        <v>6</v>
      </c>
      <c r="D261">
        <v>1</v>
      </c>
      <c r="E261">
        <v>12</v>
      </c>
      <c r="F261" t="s">
        <v>14</v>
      </c>
      <c r="G261">
        <v>6</v>
      </c>
      <c r="I261">
        <v>5</v>
      </c>
      <c r="J261" t="s">
        <v>17</v>
      </c>
      <c r="K261" t="str">
        <f t="shared" si="14"/>
        <v/>
      </c>
      <c r="L261" t="s">
        <v>16</v>
      </c>
      <c r="M261">
        <v>1</v>
      </c>
      <c r="T261">
        <f t="shared" si="15"/>
        <v>20</v>
      </c>
      <c r="U261" t="s">
        <v>1169</v>
      </c>
      <c r="V261" s="4" t="s">
        <v>1159</v>
      </c>
      <c r="W261">
        <v>260</v>
      </c>
      <c r="Y261">
        <f t="shared" si="16"/>
        <v>0</v>
      </c>
      <c r="Z261">
        <f t="shared" si="17"/>
        <v>0</v>
      </c>
    </row>
    <row r="262" spans="1:26" x14ac:dyDescent="0.25">
      <c r="A262" s="4">
        <v>5043</v>
      </c>
      <c r="B262" t="s">
        <v>25</v>
      </c>
      <c r="C262">
        <v>6</v>
      </c>
      <c r="D262">
        <v>1</v>
      </c>
      <c r="E262">
        <v>11</v>
      </c>
      <c r="F262" t="s">
        <v>14</v>
      </c>
      <c r="G262">
        <v>6</v>
      </c>
      <c r="I262">
        <v>5</v>
      </c>
      <c r="J262" t="s">
        <v>17</v>
      </c>
      <c r="K262" t="str">
        <f t="shared" si="14"/>
        <v/>
      </c>
      <c r="L262" t="s">
        <v>16</v>
      </c>
      <c r="M262">
        <v>1</v>
      </c>
      <c r="T262">
        <f t="shared" si="15"/>
        <v>20</v>
      </c>
      <c r="U262" t="s">
        <v>1173</v>
      </c>
      <c r="V262" s="4" t="s">
        <v>1159</v>
      </c>
      <c r="W262">
        <v>261</v>
      </c>
      <c r="Y262">
        <f t="shared" si="16"/>
        <v>0</v>
      </c>
      <c r="Z262">
        <f t="shared" si="17"/>
        <v>0</v>
      </c>
    </row>
    <row r="263" spans="1:26" x14ac:dyDescent="0.25">
      <c r="A263" s="4">
        <v>5043</v>
      </c>
      <c r="B263" t="s">
        <v>25</v>
      </c>
      <c r="C263">
        <v>6</v>
      </c>
      <c r="D263">
        <v>1</v>
      </c>
      <c r="E263">
        <v>15</v>
      </c>
      <c r="F263" t="s">
        <v>14</v>
      </c>
      <c r="G263">
        <v>6</v>
      </c>
      <c r="I263">
        <v>5</v>
      </c>
      <c r="J263" t="s">
        <v>20</v>
      </c>
      <c r="K263" t="str">
        <f t="shared" si="14"/>
        <v/>
      </c>
      <c r="L263" t="s">
        <v>16</v>
      </c>
      <c r="M263">
        <v>5</v>
      </c>
      <c r="T263">
        <f t="shared" si="15"/>
        <v>20</v>
      </c>
      <c r="U263" t="s">
        <v>1178</v>
      </c>
      <c r="V263" s="4" t="s">
        <v>1159</v>
      </c>
      <c r="W263">
        <v>262</v>
      </c>
      <c r="Y263">
        <f t="shared" si="16"/>
        <v>0</v>
      </c>
      <c r="Z263">
        <f t="shared" si="17"/>
        <v>0</v>
      </c>
    </row>
    <row r="264" spans="1:26" x14ac:dyDescent="0.25">
      <c r="A264" s="4">
        <v>5043</v>
      </c>
      <c r="B264" t="s">
        <v>25</v>
      </c>
      <c r="C264">
        <v>6</v>
      </c>
      <c r="D264">
        <v>1</v>
      </c>
      <c r="E264">
        <v>14</v>
      </c>
      <c r="F264" t="s">
        <v>14</v>
      </c>
      <c r="G264">
        <v>6</v>
      </c>
      <c r="I264">
        <v>5</v>
      </c>
      <c r="J264" t="s">
        <v>20</v>
      </c>
      <c r="K264" t="str">
        <f t="shared" si="14"/>
        <v/>
      </c>
      <c r="L264" t="s">
        <v>16</v>
      </c>
      <c r="M264">
        <v>5</v>
      </c>
      <c r="T264">
        <f t="shared" si="15"/>
        <v>20</v>
      </c>
      <c r="U264" t="s">
        <v>1181</v>
      </c>
      <c r="V264" s="4" t="s">
        <v>1159</v>
      </c>
      <c r="W264">
        <v>263</v>
      </c>
      <c r="Y264">
        <f t="shared" si="16"/>
        <v>0</v>
      </c>
      <c r="Z264">
        <f t="shared" si="17"/>
        <v>0</v>
      </c>
    </row>
    <row r="265" spans="1:26" x14ac:dyDescent="0.25">
      <c r="A265" s="4">
        <v>5043</v>
      </c>
      <c r="B265" t="s">
        <v>25</v>
      </c>
      <c r="C265">
        <v>6</v>
      </c>
      <c r="D265">
        <v>1</v>
      </c>
      <c r="E265">
        <v>13</v>
      </c>
      <c r="F265" t="s">
        <v>14</v>
      </c>
      <c r="G265">
        <v>6</v>
      </c>
      <c r="I265">
        <v>5</v>
      </c>
      <c r="J265" t="s">
        <v>20</v>
      </c>
      <c r="K265" t="str">
        <f t="shared" si="14"/>
        <v/>
      </c>
      <c r="L265" t="s">
        <v>16</v>
      </c>
      <c r="M265">
        <v>5</v>
      </c>
      <c r="T265">
        <f t="shared" si="15"/>
        <v>20</v>
      </c>
      <c r="U265" t="s">
        <v>1183</v>
      </c>
      <c r="V265" s="4" t="s">
        <v>1159</v>
      </c>
      <c r="W265">
        <v>264</v>
      </c>
      <c r="Y265">
        <f t="shared" si="16"/>
        <v>0</v>
      </c>
      <c r="Z265">
        <f t="shared" si="17"/>
        <v>0</v>
      </c>
    </row>
    <row r="266" spans="1:26" x14ac:dyDescent="0.25">
      <c r="A266" s="4">
        <v>5043</v>
      </c>
      <c r="B266" t="s">
        <v>25</v>
      </c>
      <c r="C266">
        <v>6</v>
      </c>
      <c r="D266">
        <v>1</v>
      </c>
      <c r="E266">
        <v>12</v>
      </c>
      <c r="F266" t="s">
        <v>14</v>
      </c>
      <c r="G266">
        <v>6</v>
      </c>
      <c r="I266">
        <v>5</v>
      </c>
      <c r="J266" t="s">
        <v>20</v>
      </c>
      <c r="K266" t="str">
        <f t="shared" si="14"/>
        <v/>
      </c>
      <c r="L266" t="s">
        <v>16</v>
      </c>
      <c r="M266">
        <v>5</v>
      </c>
      <c r="T266">
        <f t="shared" si="15"/>
        <v>20</v>
      </c>
      <c r="U266" t="s">
        <v>1185</v>
      </c>
      <c r="V266" s="4" t="s">
        <v>1159</v>
      </c>
      <c r="W266">
        <v>265</v>
      </c>
      <c r="Y266">
        <f t="shared" si="16"/>
        <v>0</v>
      </c>
      <c r="Z266">
        <f t="shared" si="17"/>
        <v>0</v>
      </c>
    </row>
    <row r="267" spans="1:26" x14ac:dyDescent="0.25">
      <c r="A267" s="4">
        <v>5043</v>
      </c>
      <c r="B267" t="s">
        <v>25</v>
      </c>
      <c r="C267">
        <v>6</v>
      </c>
      <c r="D267">
        <v>1</v>
      </c>
      <c r="E267">
        <v>11</v>
      </c>
      <c r="F267" t="s">
        <v>14</v>
      </c>
      <c r="G267">
        <v>6</v>
      </c>
      <c r="I267">
        <v>5</v>
      </c>
      <c r="J267" t="s">
        <v>20</v>
      </c>
      <c r="K267" t="str">
        <f t="shared" si="14"/>
        <v/>
      </c>
      <c r="L267" t="s">
        <v>16</v>
      </c>
      <c r="M267">
        <v>5</v>
      </c>
      <c r="T267">
        <f t="shared" si="15"/>
        <v>20</v>
      </c>
      <c r="U267" t="s">
        <v>1190</v>
      </c>
      <c r="V267" s="4" t="s">
        <v>1159</v>
      </c>
      <c r="W267">
        <v>266</v>
      </c>
      <c r="Y267">
        <f t="shared" si="16"/>
        <v>0</v>
      </c>
      <c r="Z267">
        <f t="shared" si="17"/>
        <v>0</v>
      </c>
    </row>
    <row r="268" spans="1:26" x14ac:dyDescent="0.25">
      <c r="A268" s="4">
        <v>5043</v>
      </c>
      <c r="B268" t="s">
        <v>25</v>
      </c>
      <c r="C268">
        <v>6</v>
      </c>
      <c r="D268">
        <v>1</v>
      </c>
      <c r="E268">
        <v>15</v>
      </c>
      <c r="F268" t="s">
        <v>14</v>
      </c>
      <c r="G268">
        <v>6</v>
      </c>
      <c r="I268">
        <v>5</v>
      </c>
      <c r="J268" t="s">
        <v>15</v>
      </c>
      <c r="K268" t="str">
        <f t="shared" si="14"/>
        <v/>
      </c>
      <c r="L268" t="s">
        <v>16</v>
      </c>
      <c r="M268">
        <v>1</v>
      </c>
      <c r="T268">
        <f t="shared" si="15"/>
        <v>20</v>
      </c>
      <c r="U268" t="s">
        <v>1192</v>
      </c>
      <c r="V268" s="4" t="s">
        <v>1159</v>
      </c>
      <c r="W268">
        <v>267</v>
      </c>
      <c r="Y268">
        <f t="shared" si="16"/>
        <v>0</v>
      </c>
      <c r="Z268">
        <f t="shared" si="17"/>
        <v>0</v>
      </c>
    </row>
    <row r="269" spans="1:26" x14ac:dyDescent="0.25">
      <c r="A269" s="4">
        <v>5043</v>
      </c>
      <c r="B269" t="s">
        <v>25</v>
      </c>
      <c r="C269">
        <v>6</v>
      </c>
      <c r="D269">
        <v>1</v>
      </c>
      <c r="E269">
        <v>14</v>
      </c>
      <c r="F269" t="s">
        <v>14</v>
      </c>
      <c r="G269">
        <v>6</v>
      </c>
      <c r="I269">
        <v>5</v>
      </c>
      <c r="J269" t="s">
        <v>15</v>
      </c>
      <c r="K269" t="str">
        <f t="shared" si="14"/>
        <v/>
      </c>
      <c r="L269" t="s">
        <v>16</v>
      </c>
      <c r="M269">
        <v>1</v>
      </c>
      <c r="T269">
        <f t="shared" si="15"/>
        <v>20</v>
      </c>
      <c r="U269" t="s">
        <v>1194</v>
      </c>
      <c r="V269" s="4" t="s">
        <v>1159</v>
      </c>
      <c r="W269">
        <v>268</v>
      </c>
      <c r="Y269">
        <f t="shared" si="16"/>
        <v>0</v>
      </c>
      <c r="Z269">
        <f t="shared" si="17"/>
        <v>0</v>
      </c>
    </row>
    <row r="270" spans="1:26" x14ac:dyDescent="0.25">
      <c r="A270" s="4">
        <v>5043</v>
      </c>
      <c r="B270" t="s">
        <v>25</v>
      </c>
      <c r="C270">
        <v>6</v>
      </c>
      <c r="D270">
        <v>1</v>
      </c>
      <c r="E270">
        <v>13</v>
      </c>
      <c r="F270" t="s">
        <v>14</v>
      </c>
      <c r="G270">
        <v>6</v>
      </c>
      <c r="I270">
        <v>5</v>
      </c>
      <c r="J270" t="s">
        <v>15</v>
      </c>
      <c r="K270" t="str">
        <f t="shared" si="14"/>
        <v/>
      </c>
      <c r="L270" t="s">
        <v>16</v>
      </c>
      <c r="M270">
        <v>1</v>
      </c>
      <c r="T270">
        <f t="shared" si="15"/>
        <v>20</v>
      </c>
      <c r="U270" t="s">
        <v>1197</v>
      </c>
      <c r="V270" s="4" t="s">
        <v>1198</v>
      </c>
      <c r="W270">
        <v>269</v>
      </c>
      <c r="Y270">
        <f t="shared" si="16"/>
        <v>0</v>
      </c>
      <c r="Z270">
        <f t="shared" si="17"/>
        <v>0</v>
      </c>
    </row>
    <row r="271" spans="1:26" x14ac:dyDescent="0.25">
      <c r="A271" s="4">
        <v>5043</v>
      </c>
      <c r="B271" t="s">
        <v>25</v>
      </c>
      <c r="C271">
        <v>6</v>
      </c>
      <c r="D271">
        <v>1</v>
      </c>
      <c r="E271">
        <v>12</v>
      </c>
      <c r="F271" t="s">
        <v>14</v>
      </c>
      <c r="G271">
        <v>6</v>
      </c>
      <c r="I271">
        <v>5</v>
      </c>
      <c r="J271" t="s">
        <v>15</v>
      </c>
      <c r="K271" t="str">
        <f t="shared" si="14"/>
        <v/>
      </c>
      <c r="L271" t="s">
        <v>16</v>
      </c>
      <c r="M271">
        <v>1</v>
      </c>
      <c r="T271">
        <f t="shared" si="15"/>
        <v>20</v>
      </c>
      <c r="U271" t="s">
        <v>1202</v>
      </c>
      <c r="V271" s="4" t="s">
        <v>1198</v>
      </c>
      <c r="W271">
        <v>270</v>
      </c>
      <c r="Y271">
        <f t="shared" si="16"/>
        <v>0</v>
      </c>
      <c r="Z271">
        <f t="shared" si="17"/>
        <v>0</v>
      </c>
    </row>
    <row r="272" spans="1:26" x14ac:dyDescent="0.25">
      <c r="A272" s="4">
        <v>5043</v>
      </c>
      <c r="B272" t="s">
        <v>25</v>
      </c>
      <c r="C272">
        <v>6</v>
      </c>
      <c r="D272">
        <v>1</v>
      </c>
      <c r="E272">
        <v>11</v>
      </c>
      <c r="F272" t="s">
        <v>14</v>
      </c>
      <c r="G272">
        <v>6</v>
      </c>
      <c r="I272">
        <v>5</v>
      </c>
      <c r="J272" t="s">
        <v>15</v>
      </c>
      <c r="K272" t="str">
        <f t="shared" si="14"/>
        <v/>
      </c>
      <c r="L272" t="s">
        <v>16</v>
      </c>
      <c r="M272">
        <v>1</v>
      </c>
      <c r="T272">
        <f t="shared" si="15"/>
        <v>20</v>
      </c>
      <c r="U272" t="s">
        <v>1204</v>
      </c>
      <c r="V272" s="4" t="s">
        <v>1198</v>
      </c>
      <c r="W272">
        <v>271</v>
      </c>
      <c r="Y272">
        <f t="shared" si="16"/>
        <v>0</v>
      </c>
      <c r="Z272">
        <f t="shared" si="17"/>
        <v>0</v>
      </c>
    </row>
    <row r="273" spans="1:26" x14ac:dyDescent="0.25">
      <c r="A273" s="4">
        <v>1026</v>
      </c>
      <c r="B273" t="s">
        <v>13</v>
      </c>
      <c r="C273">
        <v>2</v>
      </c>
      <c r="D273">
        <v>1</v>
      </c>
      <c r="E273">
        <v>8</v>
      </c>
      <c r="F273" t="s">
        <v>14</v>
      </c>
      <c r="G273">
        <v>4.4000000000000004</v>
      </c>
      <c r="I273">
        <v>4</v>
      </c>
      <c r="J273" t="s">
        <v>17</v>
      </c>
      <c r="K273" t="str">
        <f t="shared" si="14"/>
        <v/>
      </c>
      <c r="L273" t="s">
        <v>16</v>
      </c>
      <c r="M273">
        <v>2</v>
      </c>
      <c r="T273">
        <f t="shared" si="15"/>
        <v>20</v>
      </c>
      <c r="U273" t="s">
        <v>1206</v>
      </c>
      <c r="V273" s="4" t="s">
        <v>1198</v>
      </c>
      <c r="W273">
        <v>272</v>
      </c>
      <c r="Y273">
        <f t="shared" si="16"/>
        <v>0</v>
      </c>
      <c r="Z273">
        <f t="shared" si="17"/>
        <v>0</v>
      </c>
    </row>
    <row r="274" spans="1:26" x14ac:dyDescent="0.25">
      <c r="A274" s="4">
        <v>1026</v>
      </c>
      <c r="B274" t="s">
        <v>13</v>
      </c>
      <c r="C274">
        <v>2</v>
      </c>
      <c r="D274">
        <v>1</v>
      </c>
      <c r="E274">
        <v>7</v>
      </c>
      <c r="F274" t="s">
        <v>14</v>
      </c>
      <c r="G274">
        <v>4.4000000000000004</v>
      </c>
      <c r="I274">
        <v>4</v>
      </c>
      <c r="J274" t="s">
        <v>17</v>
      </c>
      <c r="K274" t="str">
        <f t="shared" si="14"/>
        <v/>
      </c>
      <c r="L274" t="s">
        <v>16</v>
      </c>
      <c r="M274">
        <v>2</v>
      </c>
      <c r="T274">
        <f t="shared" si="15"/>
        <v>20</v>
      </c>
      <c r="U274" t="s">
        <v>1209</v>
      </c>
      <c r="V274" s="4" t="s">
        <v>1198</v>
      </c>
      <c r="W274">
        <v>273</v>
      </c>
      <c r="Y274">
        <f t="shared" si="16"/>
        <v>0</v>
      </c>
      <c r="Z274">
        <f t="shared" si="17"/>
        <v>0</v>
      </c>
    </row>
    <row r="275" spans="1:26" x14ac:dyDescent="0.25">
      <c r="A275" s="4">
        <v>1026</v>
      </c>
      <c r="B275" t="s">
        <v>13</v>
      </c>
      <c r="C275">
        <v>2</v>
      </c>
      <c r="D275">
        <v>1</v>
      </c>
      <c r="E275">
        <v>6</v>
      </c>
      <c r="F275" t="s">
        <v>14</v>
      </c>
      <c r="G275">
        <v>4.4000000000000004</v>
      </c>
      <c r="I275">
        <v>4</v>
      </c>
      <c r="J275" t="s">
        <v>17</v>
      </c>
      <c r="K275" t="str">
        <f t="shared" si="14"/>
        <v/>
      </c>
      <c r="L275" t="s">
        <v>16</v>
      </c>
      <c r="M275">
        <v>2</v>
      </c>
      <c r="T275">
        <f t="shared" si="15"/>
        <v>20</v>
      </c>
      <c r="U275" t="s">
        <v>1211</v>
      </c>
      <c r="V275" s="4" t="s">
        <v>1198</v>
      </c>
      <c r="W275">
        <v>274</v>
      </c>
      <c r="Y275">
        <f t="shared" si="16"/>
        <v>0</v>
      </c>
      <c r="Z275">
        <f t="shared" si="17"/>
        <v>0</v>
      </c>
    </row>
    <row r="276" spans="1:26" x14ac:dyDescent="0.25">
      <c r="A276" s="4">
        <v>1026</v>
      </c>
      <c r="B276" t="s">
        <v>13</v>
      </c>
      <c r="C276">
        <v>2</v>
      </c>
      <c r="D276">
        <v>1</v>
      </c>
      <c r="E276">
        <v>5</v>
      </c>
      <c r="F276" t="s">
        <v>14</v>
      </c>
      <c r="G276">
        <v>4.4000000000000004</v>
      </c>
      <c r="I276">
        <v>4</v>
      </c>
      <c r="J276" t="s">
        <v>17</v>
      </c>
      <c r="K276" t="str">
        <f t="shared" si="14"/>
        <v/>
      </c>
      <c r="L276" t="s">
        <v>16</v>
      </c>
      <c r="M276">
        <v>2</v>
      </c>
      <c r="T276">
        <f t="shared" si="15"/>
        <v>20</v>
      </c>
      <c r="U276" t="s">
        <v>1213</v>
      </c>
      <c r="V276" s="4" t="s">
        <v>1214</v>
      </c>
      <c r="W276">
        <v>275</v>
      </c>
      <c r="Y276">
        <f t="shared" si="16"/>
        <v>0</v>
      </c>
      <c r="Z276">
        <f t="shared" si="17"/>
        <v>0</v>
      </c>
    </row>
    <row r="277" spans="1:26" x14ac:dyDescent="0.25">
      <c r="A277" s="4">
        <v>1026</v>
      </c>
      <c r="B277" t="s">
        <v>13</v>
      </c>
      <c r="C277">
        <v>2</v>
      </c>
      <c r="D277">
        <v>1</v>
      </c>
      <c r="E277">
        <v>8</v>
      </c>
      <c r="F277" t="s">
        <v>14</v>
      </c>
      <c r="G277">
        <v>4.4000000000000004</v>
      </c>
      <c r="I277">
        <v>4</v>
      </c>
      <c r="J277" t="s">
        <v>15</v>
      </c>
      <c r="K277" t="str">
        <f t="shared" si="14"/>
        <v/>
      </c>
      <c r="L277" t="s">
        <v>16</v>
      </c>
      <c r="M277">
        <v>1</v>
      </c>
      <c r="T277">
        <f t="shared" si="15"/>
        <v>20</v>
      </c>
      <c r="U277" t="s">
        <v>1218</v>
      </c>
      <c r="V277" s="4" t="s">
        <v>1214</v>
      </c>
      <c r="W277">
        <v>276</v>
      </c>
      <c r="Y277">
        <f t="shared" si="16"/>
        <v>0</v>
      </c>
      <c r="Z277">
        <f t="shared" si="17"/>
        <v>0</v>
      </c>
    </row>
    <row r="278" spans="1:26" x14ac:dyDescent="0.25">
      <c r="A278" s="4">
        <v>1026</v>
      </c>
      <c r="B278" t="s">
        <v>13</v>
      </c>
      <c r="C278">
        <v>2</v>
      </c>
      <c r="D278">
        <v>1</v>
      </c>
      <c r="E278">
        <v>7</v>
      </c>
      <c r="F278" t="s">
        <v>14</v>
      </c>
      <c r="G278">
        <v>4.4000000000000004</v>
      </c>
      <c r="I278">
        <v>4</v>
      </c>
      <c r="J278" t="s">
        <v>15</v>
      </c>
      <c r="K278" t="str">
        <f t="shared" si="14"/>
        <v/>
      </c>
      <c r="L278" t="s">
        <v>16</v>
      </c>
      <c r="M278">
        <v>1</v>
      </c>
      <c r="T278">
        <f t="shared" si="15"/>
        <v>20</v>
      </c>
      <c r="U278" t="s">
        <v>1220</v>
      </c>
      <c r="V278" s="4" t="s">
        <v>1214</v>
      </c>
      <c r="W278">
        <v>277</v>
      </c>
      <c r="Y278">
        <f t="shared" si="16"/>
        <v>0</v>
      </c>
      <c r="Z278">
        <f t="shared" si="17"/>
        <v>0</v>
      </c>
    </row>
    <row r="279" spans="1:26" x14ac:dyDescent="0.25">
      <c r="A279" s="4">
        <v>1026</v>
      </c>
      <c r="B279" t="s">
        <v>13</v>
      </c>
      <c r="C279">
        <v>2</v>
      </c>
      <c r="D279">
        <v>1</v>
      </c>
      <c r="E279">
        <v>6</v>
      </c>
      <c r="F279" t="s">
        <v>14</v>
      </c>
      <c r="G279">
        <v>4.4000000000000004</v>
      </c>
      <c r="I279">
        <v>4</v>
      </c>
      <c r="J279" t="s">
        <v>15</v>
      </c>
      <c r="K279" t="str">
        <f t="shared" si="14"/>
        <v/>
      </c>
      <c r="L279" t="s">
        <v>16</v>
      </c>
      <c r="M279">
        <v>1</v>
      </c>
      <c r="T279">
        <f t="shared" si="15"/>
        <v>20</v>
      </c>
      <c r="U279" t="s">
        <v>1222</v>
      </c>
      <c r="V279" s="4" t="s">
        <v>1214</v>
      </c>
      <c r="W279">
        <v>278</v>
      </c>
      <c r="Y279">
        <f t="shared" si="16"/>
        <v>0</v>
      </c>
      <c r="Z279">
        <f t="shared" si="17"/>
        <v>0</v>
      </c>
    </row>
    <row r="280" spans="1:26" x14ac:dyDescent="0.25">
      <c r="A280" s="4">
        <v>1026</v>
      </c>
      <c r="B280" t="s">
        <v>13</v>
      </c>
      <c r="C280">
        <v>2</v>
      </c>
      <c r="D280">
        <v>1</v>
      </c>
      <c r="E280">
        <v>5</v>
      </c>
      <c r="F280" t="s">
        <v>14</v>
      </c>
      <c r="G280">
        <v>4.4000000000000004</v>
      </c>
      <c r="I280">
        <v>4</v>
      </c>
      <c r="J280" t="s">
        <v>15</v>
      </c>
      <c r="K280" t="str">
        <f t="shared" si="14"/>
        <v/>
      </c>
      <c r="L280" t="s">
        <v>16</v>
      </c>
      <c r="M280">
        <v>1</v>
      </c>
      <c r="T280">
        <f t="shared" si="15"/>
        <v>20</v>
      </c>
      <c r="U280" t="s">
        <v>1225</v>
      </c>
      <c r="V280" s="4" t="s">
        <v>1214</v>
      </c>
      <c r="W280">
        <v>279</v>
      </c>
      <c r="Y280">
        <f t="shared" si="16"/>
        <v>0</v>
      </c>
      <c r="Z280">
        <f t="shared" si="17"/>
        <v>0</v>
      </c>
    </row>
    <row r="281" spans="1:26" x14ac:dyDescent="0.25">
      <c r="A281" s="4">
        <v>1026</v>
      </c>
      <c r="B281" t="s">
        <v>13</v>
      </c>
      <c r="C281">
        <v>2</v>
      </c>
      <c r="D281">
        <v>1</v>
      </c>
      <c r="E281">
        <v>12</v>
      </c>
      <c r="F281" t="s">
        <v>14</v>
      </c>
      <c r="G281">
        <v>4.8499999999999996</v>
      </c>
      <c r="I281">
        <v>4</v>
      </c>
      <c r="J281" t="s">
        <v>17</v>
      </c>
      <c r="K281" t="str">
        <f t="shared" si="14"/>
        <v/>
      </c>
      <c r="L281" t="s">
        <v>16</v>
      </c>
      <c r="M281">
        <v>3</v>
      </c>
      <c r="T281">
        <f t="shared" si="15"/>
        <v>20</v>
      </c>
      <c r="U281" t="s">
        <v>1228</v>
      </c>
      <c r="V281" s="4" t="s">
        <v>1214</v>
      </c>
      <c r="W281">
        <v>280</v>
      </c>
      <c r="Y281">
        <f t="shared" si="16"/>
        <v>0</v>
      </c>
      <c r="Z281">
        <f t="shared" si="17"/>
        <v>0</v>
      </c>
    </row>
    <row r="282" spans="1:26" x14ac:dyDescent="0.25">
      <c r="A282" s="4">
        <v>1026</v>
      </c>
      <c r="B282" t="s">
        <v>13</v>
      </c>
      <c r="C282">
        <v>2</v>
      </c>
      <c r="D282">
        <v>1</v>
      </c>
      <c r="E282">
        <v>11</v>
      </c>
      <c r="F282" t="s">
        <v>14</v>
      </c>
      <c r="G282">
        <v>4.8499999999999996</v>
      </c>
      <c r="I282">
        <v>4</v>
      </c>
      <c r="J282" t="s">
        <v>17</v>
      </c>
      <c r="K282" t="str">
        <f t="shared" si="14"/>
        <v/>
      </c>
      <c r="L282" t="s">
        <v>16</v>
      </c>
      <c r="M282">
        <v>3</v>
      </c>
      <c r="T282">
        <f t="shared" si="15"/>
        <v>20</v>
      </c>
      <c r="U282" t="s">
        <v>1231</v>
      </c>
      <c r="V282" s="4" t="s">
        <v>1214</v>
      </c>
      <c r="W282">
        <v>281</v>
      </c>
      <c r="Y282">
        <f t="shared" si="16"/>
        <v>0</v>
      </c>
      <c r="Z282">
        <f t="shared" si="17"/>
        <v>0</v>
      </c>
    </row>
    <row r="283" spans="1:26" x14ac:dyDescent="0.25">
      <c r="A283" s="4">
        <v>1026</v>
      </c>
      <c r="B283" t="s">
        <v>13</v>
      </c>
      <c r="C283">
        <v>2</v>
      </c>
      <c r="D283">
        <v>1</v>
      </c>
      <c r="E283">
        <v>10</v>
      </c>
      <c r="F283" t="s">
        <v>14</v>
      </c>
      <c r="G283">
        <v>4.8499999999999996</v>
      </c>
      <c r="I283">
        <v>4</v>
      </c>
      <c r="J283" t="s">
        <v>17</v>
      </c>
      <c r="K283" t="str">
        <f t="shared" si="14"/>
        <v/>
      </c>
      <c r="L283" t="s">
        <v>16</v>
      </c>
      <c r="M283">
        <v>3</v>
      </c>
      <c r="T283">
        <f t="shared" si="15"/>
        <v>20</v>
      </c>
      <c r="U283" t="s">
        <v>1233</v>
      </c>
      <c r="V283" s="4" t="s">
        <v>1214</v>
      </c>
      <c r="W283">
        <v>282</v>
      </c>
      <c r="Y283">
        <f t="shared" si="16"/>
        <v>0</v>
      </c>
      <c r="Z283">
        <f t="shared" si="17"/>
        <v>0</v>
      </c>
    </row>
    <row r="284" spans="1:26" x14ac:dyDescent="0.25">
      <c r="A284" s="4">
        <v>1026</v>
      </c>
      <c r="B284" t="s">
        <v>13</v>
      </c>
      <c r="C284">
        <v>2</v>
      </c>
      <c r="D284">
        <v>1</v>
      </c>
      <c r="E284">
        <v>9</v>
      </c>
      <c r="F284" t="s">
        <v>14</v>
      </c>
      <c r="G284">
        <v>4.8499999999999996</v>
      </c>
      <c r="I284">
        <v>4</v>
      </c>
      <c r="J284" t="s">
        <v>17</v>
      </c>
      <c r="K284" t="str">
        <f t="shared" si="14"/>
        <v/>
      </c>
      <c r="L284" t="s">
        <v>16</v>
      </c>
      <c r="M284">
        <v>3</v>
      </c>
      <c r="T284">
        <f t="shared" si="15"/>
        <v>20</v>
      </c>
      <c r="U284" t="s">
        <v>1235</v>
      </c>
      <c r="V284" s="4" t="s">
        <v>1214</v>
      </c>
      <c r="W284">
        <v>283</v>
      </c>
      <c r="Y284">
        <f t="shared" si="16"/>
        <v>0</v>
      </c>
      <c r="Z284">
        <f t="shared" si="17"/>
        <v>0</v>
      </c>
    </row>
    <row r="285" spans="1:26" x14ac:dyDescent="0.25">
      <c r="A285" s="4">
        <v>1026</v>
      </c>
      <c r="B285" t="s">
        <v>13</v>
      </c>
      <c r="C285">
        <v>2</v>
      </c>
      <c r="D285">
        <v>1</v>
      </c>
      <c r="E285">
        <v>12</v>
      </c>
      <c r="F285" t="s">
        <v>14</v>
      </c>
      <c r="G285">
        <v>4.8499999999999996</v>
      </c>
      <c r="I285">
        <v>4</v>
      </c>
      <c r="J285" t="s">
        <v>18</v>
      </c>
      <c r="K285" t="str">
        <f t="shared" si="14"/>
        <v/>
      </c>
      <c r="L285" t="s">
        <v>16</v>
      </c>
      <c r="M285">
        <v>2</v>
      </c>
      <c r="T285">
        <f t="shared" si="15"/>
        <v>20</v>
      </c>
      <c r="U285" t="s">
        <v>1241</v>
      </c>
      <c r="V285" s="4" t="s">
        <v>1214</v>
      </c>
      <c r="W285">
        <v>284</v>
      </c>
      <c r="Y285">
        <f t="shared" si="16"/>
        <v>0</v>
      </c>
      <c r="Z285">
        <f t="shared" si="17"/>
        <v>0</v>
      </c>
    </row>
    <row r="286" spans="1:26" x14ac:dyDescent="0.25">
      <c r="A286" s="4">
        <v>1026</v>
      </c>
      <c r="B286" t="s">
        <v>13</v>
      </c>
      <c r="C286">
        <v>2</v>
      </c>
      <c r="D286">
        <v>1</v>
      </c>
      <c r="E286">
        <v>11</v>
      </c>
      <c r="F286" t="s">
        <v>14</v>
      </c>
      <c r="G286">
        <v>4.8499999999999996</v>
      </c>
      <c r="I286">
        <v>4</v>
      </c>
      <c r="J286" t="s">
        <v>18</v>
      </c>
      <c r="K286" t="str">
        <f t="shared" si="14"/>
        <v/>
      </c>
      <c r="L286" t="s">
        <v>16</v>
      </c>
      <c r="M286">
        <v>2</v>
      </c>
      <c r="T286">
        <f t="shared" si="15"/>
        <v>20</v>
      </c>
      <c r="U286" t="s">
        <v>1243</v>
      </c>
      <c r="V286" s="4" t="s">
        <v>1214</v>
      </c>
      <c r="W286">
        <v>285</v>
      </c>
      <c r="Y286">
        <f t="shared" si="16"/>
        <v>0</v>
      </c>
      <c r="Z286">
        <f t="shared" si="17"/>
        <v>0</v>
      </c>
    </row>
    <row r="287" spans="1:26" x14ac:dyDescent="0.25">
      <c r="A287" s="4">
        <v>1026</v>
      </c>
      <c r="B287" t="s">
        <v>13</v>
      </c>
      <c r="C287">
        <v>2</v>
      </c>
      <c r="D287">
        <v>1</v>
      </c>
      <c r="E287">
        <v>10</v>
      </c>
      <c r="F287" t="s">
        <v>14</v>
      </c>
      <c r="G287">
        <v>4.8499999999999996</v>
      </c>
      <c r="I287">
        <v>4</v>
      </c>
      <c r="J287" t="s">
        <v>18</v>
      </c>
      <c r="K287" t="str">
        <f t="shared" si="14"/>
        <v/>
      </c>
      <c r="L287" t="s">
        <v>16</v>
      </c>
      <c r="M287">
        <v>2</v>
      </c>
      <c r="T287">
        <f t="shared" si="15"/>
        <v>20</v>
      </c>
      <c r="U287" t="s">
        <v>1245</v>
      </c>
      <c r="V287" s="4" t="s">
        <v>1214</v>
      </c>
      <c r="W287">
        <v>286</v>
      </c>
      <c r="Y287">
        <f t="shared" si="16"/>
        <v>0</v>
      </c>
      <c r="Z287">
        <f t="shared" si="17"/>
        <v>0</v>
      </c>
    </row>
    <row r="288" spans="1:26" x14ac:dyDescent="0.25">
      <c r="A288" s="4">
        <v>1026</v>
      </c>
      <c r="B288" t="s">
        <v>13</v>
      </c>
      <c r="C288">
        <v>2</v>
      </c>
      <c r="D288">
        <v>1</v>
      </c>
      <c r="E288">
        <v>9</v>
      </c>
      <c r="F288" t="s">
        <v>14</v>
      </c>
      <c r="G288">
        <v>4.8499999999999996</v>
      </c>
      <c r="I288">
        <v>4</v>
      </c>
      <c r="J288" t="s">
        <v>18</v>
      </c>
      <c r="K288" t="str">
        <f t="shared" si="14"/>
        <v/>
      </c>
      <c r="L288" t="s">
        <v>16</v>
      </c>
      <c r="M288">
        <v>2</v>
      </c>
      <c r="T288">
        <f t="shared" si="15"/>
        <v>20</v>
      </c>
      <c r="U288" t="s">
        <v>1248</v>
      </c>
      <c r="V288" s="4" t="s">
        <v>1214</v>
      </c>
      <c r="W288">
        <v>287</v>
      </c>
      <c r="Y288">
        <f t="shared" si="16"/>
        <v>0</v>
      </c>
      <c r="Z288">
        <f t="shared" si="17"/>
        <v>0</v>
      </c>
    </row>
    <row r="289" spans="1:26" x14ac:dyDescent="0.25">
      <c r="A289" s="4">
        <v>1026</v>
      </c>
      <c r="B289" t="s">
        <v>13</v>
      </c>
      <c r="C289">
        <v>2</v>
      </c>
      <c r="D289">
        <v>1</v>
      </c>
      <c r="E289">
        <v>16</v>
      </c>
      <c r="F289" t="s">
        <v>14</v>
      </c>
      <c r="G289">
        <v>5.3</v>
      </c>
      <c r="I289">
        <v>4</v>
      </c>
      <c r="J289" t="s">
        <v>17</v>
      </c>
      <c r="K289" t="str">
        <f t="shared" si="14"/>
        <v/>
      </c>
      <c r="L289" t="s">
        <v>16</v>
      </c>
      <c r="M289">
        <v>1</v>
      </c>
      <c r="T289">
        <f t="shared" si="15"/>
        <v>20</v>
      </c>
      <c r="U289" t="s">
        <v>1255</v>
      </c>
      <c r="V289" s="4" t="s">
        <v>1214</v>
      </c>
      <c r="W289">
        <v>288</v>
      </c>
      <c r="Y289">
        <f t="shared" si="16"/>
        <v>0</v>
      </c>
      <c r="Z289">
        <f t="shared" si="17"/>
        <v>0</v>
      </c>
    </row>
    <row r="290" spans="1:26" x14ac:dyDescent="0.25">
      <c r="A290" s="4">
        <v>1026</v>
      </c>
      <c r="B290" t="s">
        <v>13</v>
      </c>
      <c r="C290">
        <v>2</v>
      </c>
      <c r="D290">
        <v>1</v>
      </c>
      <c r="E290">
        <v>15</v>
      </c>
      <c r="F290" t="s">
        <v>14</v>
      </c>
      <c r="G290">
        <v>5.3</v>
      </c>
      <c r="I290">
        <v>4</v>
      </c>
      <c r="J290" t="s">
        <v>17</v>
      </c>
      <c r="K290" t="str">
        <f t="shared" si="14"/>
        <v/>
      </c>
      <c r="L290" t="s">
        <v>16</v>
      </c>
      <c r="M290">
        <v>1</v>
      </c>
      <c r="T290">
        <f t="shared" si="15"/>
        <v>20</v>
      </c>
      <c r="U290" t="s">
        <v>1257</v>
      </c>
      <c r="V290" s="4" t="s">
        <v>1214</v>
      </c>
      <c r="W290">
        <v>289</v>
      </c>
      <c r="Y290">
        <f t="shared" si="16"/>
        <v>0</v>
      </c>
      <c r="Z290">
        <f t="shared" si="17"/>
        <v>0</v>
      </c>
    </row>
    <row r="291" spans="1:26" x14ac:dyDescent="0.25">
      <c r="A291" s="4">
        <v>1026</v>
      </c>
      <c r="B291" t="s">
        <v>13</v>
      </c>
      <c r="C291">
        <v>2</v>
      </c>
      <c r="D291">
        <v>1</v>
      </c>
      <c r="E291">
        <v>14</v>
      </c>
      <c r="F291" t="s">
        <v>14</v>
      </c>
      <c r="G291">
        <v>5.3</v>
      </c>
      <c r="I291">
        <v>4</v>
      </c>
      <c r="J291" t="s">
        <v>17</v>
      </c>
      <c r="K291" t="str">
        <f t="shared" si="14"/>
        <v/>
      </c>
      <c r="L291" t="s">
        <v>16</v>
      </c>
      <c r="M291">
        <v>1</v>
      </c>
      <c r="T291">
        <f t="shared" si="15"/>
        <v>20</v>
      </c>
      <c r="U291" t="s">
        <v>1259</v>
      </c>
      <c r="V291" s="4" t="s">
        <v>1214</v>
      </c>
      <c r="W291">
        <v>290</v>
      </c>
      <c r="Y291">
        <f t="shared" si="16"/>
        <v>0</v>
      </c>
      <c r="Z291">
        <f t="shared" si="17"/>
        <v>0</v>
      </c>
    </row>
    <row r="292" spans="1:26" x14ac:dyDescent="0.25">
      <c r="A292" s="4">
        <v>1026</v>
      </c>
      <c r="B292" t="s">
        <v>13</v>
      </c>
      <c r="C292">
        <v>2</v>
      </c>
      <c r="D292">
        <v>1</v>
      </c>
      <c r="E292">
        <v>13</v>
      </c>
      <c r="F292" t="s">
        <v>14</v>
      </c>
      <c r="G292">
        <v>5.3</v>
      </c>
      <c r="I292">
        <v>4</v>
      </c>
      <c r="J292" t="s">
        <v>17</v>
      </c>
      <c r="K292" t="str">
        <f t="shared" si="14"/>
        <v/>
      </c>
      <c r="L292" t="s">
        <v>16</v>
      </c>
      <c r="M292">
        <v>1</v>
      </c>
      <c r="T292">
        <f t="shared" si="15"/>
        <v>20</v>
      </c>
      <c r="U292" t="s">
        <v>1261</v>
      </c>
      <c r="V292" s="4" t="s">
        <v>1262</v>
      </c>
      <c r="W292">
        <v>291</v>
      </c>
      <c r="Y292">
        <f t="shared" si="16"/>
        <v>0</v>
      </c>
      <c r="Z292">
        <f t="shared" si="17"/>
        <v>0</v>
      </c>
    </row>
    <row r="293" spans="1:26" x14ac:dyDescent="0.25">
      <c r="A293" s="4">
        <v>1026</v>
      </c>
      <c r="B293" t="s">
        <v>13</v>
      </c>
      <c r="C293">
        <v>2</v>
      </c>
      <c r="D293">
        <v>1</v>
      </c>
      <c r="E293">
        <v>16</v>
      </c>
      <c r="F293" t="s">
        <v>14</v>
      </c>
      <c r="G293">
        <v>5.3</v>
      </c>
      <c r="I293">
        <v>4</v>
      </c>
      <c r="J293" t="s">
        <v>20</v>
      </c>
      <c r="K293" t="str">
        <f t="shared" si="14"/>
        <v/>
      </c>
      <c r="L293" t="s">
        <v>16</v>
      </c>
      <c r="M293">
        <v>3</v>
      </c>
      <c r="T293">
        <f t="shared" si="15"/>
        <v>20</v>
      </c>
      <c r="U293" t="s">
        <v>1267</v>
      </c>
      <c r="V293" s="4" t="s">
        <v>1262</v>
      </c>
      <c r="W293">
        <v>292</v>
      </c>
      <c r="Y293">
        <f t="shared" si="16"/>
        <v>0</v>
      </c>
      <c r="Z293">
        <f t="shared" si="17"/>
        <v>0</v>
      </c>
    </row>
    <row r="294" spans="1:26" x14ac:dyDescent="0.25">
      <c r="A294" s="4">
        <v>1026</v>
      </c>
      <c r="B294" t="s">
        <v>13</v>
      </c>
      <c r="C294">
        <v>2</v>
      </c>
      <c r="D294">
        <v>1</v>
      </c>
      <c r="E294">
        <v>15</v>
      </c>
      <c r="F294" t="s">
        <v>14</v>
      </c>
      <c r="G294">
        <v>5.3</v>
      </c>
      <c r="I294">
        <v>4</v>
      </c>
      <c r="J294" t="s">
        <v>20</v>
      </c>
      <c r="K294" t="str">
        <f t="shared" si="14"/>
        <v/>
      </c>
      <c r="L294" t="s">
        <v>16</v>
      </c>
      <c r="M294">
        <v>3</v>
      </c>
      <c r="T294">
        <f t="shared" si="15"/>
        <v>20</v>
      </c>
      <c r="U294" t="s">
        <v>1270</v>
      </c>
      <c r="V294" s="4" t="s">
        <v>1262</v>
      </c>
      <c r="W294">
        <v>293</v>
      </c>
      <c r="Y294">
        <f t="shared" si="16"/>
        <v>0</v>
      </c>
      <c r="Z294">
        <f t="shared" si="17"/>
        <v>0</v>
      </c>
    </row>
    <row r="295" spans="1:26" x14ac:dyDescent="0.25">
      <c r="A295" s="4">
        <v>1026</v>
      </c>
      <c r="B295" t="s">
        <v>13</v>
      </c>
      <c r="C295">
        <v>2</v>
      </c>
      <c r="D295">
        <v>1</v>
      </c>
      <c r="E295">
        <v>14</v>
      </c>
      <c r="F295" t="s">
        <v>14</v>
      </c>
      <c r="G295">
        <v>5.3</v>
      </c>
      <c r="I295">
        <v>4</v>
      </c>
      <c r="J295" t="s">
        <v>20</v>
      </c>
      <c r="K295" t="str">
        <f t="shared" si="14"/>
        <v/>
      </c>
      <c r="L295" t="s">
        <v>16</v>
      </c>
      <c r="M295">
        <v>3</v>
      </c>
      <c r="T295">
        <f t="shared" si="15"/>
        <v>20</v>
      </c>
      <c r="U295" t="s">
        <v>1277</v>
      </c>
      <c r="V295" s="4" t="s">
        <v>1262</v>
      </c>
      <c r="W295">
        <v>294</v>
      </c>
      <c r="Y295">
        <f t="shared" si="16"/>
        <v>0</v>
      </c>
      <c r="Z295">
        <f t="shared" si="17"/>
        <v>0</v>
      </c>
    </row>
    <row r="296" spans="1:26" x14ac:dyDescent="0.25">
      <c r="A296" s="4">
        <v>1026</v>
      </c>
      <c r="B296" t="s">
        <v>13</v>
      </c>
      <c r="C296">
        <v>2</v>
      </c>
      <c r="D296">
        <v>1</v>
      </c>
      <c r="E296">
        <v>13</v>
      </c>
      <c r="F296" t="s">
        <v>14</v>
      </c>
      <c r="G296">
        <v>5.3</v>
      </c>
      <c r="I296">
        <v>4</v>
      </c>
      <c r="J296" t="s">
        <v>20</v>
      </c>
      <c r="K296" t="str">
        <f t="shared" si="14"/>
        <v/>
      </c>
      <c r="L296" t="s">
        <v>16</v>
      </c>
      <c r="M296">
        <v>3</v>
      </c>
      <c r="T296">
        <f t="shared" si="15"/>
        <v>20</v>
      </c>
      <c r="U296" t="s">
        <v>1280</v>
      </c>
      <c r="V296" s="4" t="s">
        <v>1281</v>
      </c>
      <c r="W296">
        <v>295</v>
      </c>
      <c r="Y296">
        <f t="shared" si="16"/>
        <v>0</v>
      </c>
      <c r="Z296">
        <f t="shared" si="17"/>
        <v>0</v>
      </c>
    </row>
    <row r="297" spans="1:26" x14ac:dyDescent="0.25">
      <c r="A297" s="4">
        <v>1026</v>
      </c>
      <c r="B297" t="s">
        <v>13</v>
      </c>
      <c r="C297">
        <v>2</v>
      </c>
      <c r="D297">
        <v>1</v>
      </c>
      <c r="E297">
        <v>16</v>
      </c>
      <c r="F297" t="s">
        <v>14</v>
      </c>
      <c r="G297">
        <v>5.3</v>
      </c>
      <c r="I297">
        <v>4</v>
      </c>
      <c r="J297" t="s">
        <v>15</v>
      </c>
      <c r="K297" t="str">
        <f t="shared" si="14"/>
        <v/>
      </c>
      <c r="L297" t="s">
        <v>16</v>
      </c>
      <c r="M297">
        <v>1</v>
      </c>
      <c r="T297">
        <f t="shared" si="15"/>
        <v>20</v>
      </c>
      <c r="U297" t="s">
        <v>1289</v>
      </c>
      <c r="V297" s="4" t="s">
        <v>1281</v>
      </c>
      <c r="W297">
        <v>296</v>
      </c>
      <c r="Y297">
        <f t="shared" si="16"/>
        <v>0</v>
      </c>
      <c r="Z297">
        <f t="shared" si="17"/>
        <v>0</v>
      </c>
    </row>
    <row r="298" spans="1:26" x14ac:dyDescent="0.25">
      <c r="A298" s="4">
        <v>1026</v>
      </c>
      <c r="B298" t="s">
        <v>13</v>
      </c>
      <c r="C298">
        <v>2</v>
      </c>
      <c r="D298">
        <v>1</v>
      </c>
      <c r="E298">
        <v>15</v>
      </c>
      <c r="F298" t="s">
        <v>14</v>
      </c>
      <c r="G298">
        <v>5.3</v>
      </c>
      <c r="I298">
        <v>4</v>
      </c>
      <c r="J298" t="s">
        <v>15</v>
      </c>
      <c r="K298" t="str">
        <f t="shared" si="14"/>
        <v/>
      </c>
      <c r="L298" t="s">
        <v>16</v>
      </c>
      <c r="M298">
        <v>1</v>
      </c>
      <c r="T298">
        <f t="shared" si="15"/>
        <v>20</v>
      </c>
      <c r="U298" t="s">
        <v>1291</v>
      </c>
      <c r="V298" s="4" t="s">
        <v>1281</v>
      </c>
      <c r="W298">
        <v>297</v>
      </c>
      <c r="Y298">
        <f t="shared" si="16"/>
        <v>0</v>
      </c>
      <c r="Z298">
        <f t="shared" si="17"/>
        <v>0</v>
      </c>
    </row>
    <row r="299" spans="1:26" x14ac:dyDescent="0.25">
      <c r="A299" s="4">
        <v>1026</v>
      </c>
      <c r="B299" t="s">
        <v>13</v>
      </c>
      <c r="C299">
        <v>2</v>
      </c>
      <c r="D299">
        <v>1</v>
      </c>
      <c r="E299">
        <v>14</v>
      </c>
      <c r="F299" t="s">
        <v>14</v>
      </c>
      <c r="G299">
        <v>5.3</v>
      </c>
      <c r="I299">
        <v>4</v>
      </c>
      <c r="J299" t="s">
        <v>15</v>
      </c>
      <c r="K299" t="str">
        <f t="shared" si="14"/>
        <v/>
      </c>
      <c r="L299" t="s">
        <v>16</v>
      </c>
      <c r="M299">
        <v>1</v>
      </c>
      <c r="T299">
        <f t="shared" si="15"/>
        <v>20</v>
      </c>
      <c r="U299" t="s">
        <v>1295</v>
      </c>
      <c r="V299" s="4" t="s">
        <v>1281</v>
      </c>
      <c r="W299">
        <v>298</v>
      </c>
      <c r="Y299">
        <f t="shared" si="16"/>
        <v>0</v>
      </c>
      <c r="Z299">
        <f t="shared" si="17"/>
        <v>0</v>
      </c>
    </row>
    <row r="300" spans="1:26" x14ac:dyDescent="0.25">
      <c r="A300" s="4">
        <v>1026</v>
      </c>
      <c r="B300" t="s">
        <v>13</v>
      </c>
      <c r="C300">
        <v>2</v>
      </c>
      <c r="D300">
        <v>1</v>
      </c>
      <c r="E300">
        <v>13</v>
      </c>
      <c r="F300" t="s">
        <v>14</v>
      </c>
      <c r="G300">
        <v>5.3</v>
      </c>
      <c r="I300">
        <v>4</v>
      </c>
      <c r="J300" t="s">
        <v>15</v>
      </c>
      <c r="K300" t="str">
        <f t="shared" si="14"/>
        <v/>
      </c>
      <c r="L300" t="s">
        <v>16</v>
      </c>
      <c r="M300">
        <v>1</v>
      </c>
      <c r="T300">
        <f t="shared" si="15"/>
        <v>20</v>
      </c>
      <c r="U300" t="s">
        <v>1297</v>
      </c>
      <c r="V300" s="4" t="s">
        <v>1298</v>
      </c>
      <c r="W300">
        <v>299</v>
      </c>
      <c r="Y300">
        <f t="shared" si="16"/>
        <v>0</v>
      </c>
      <c r="Z300">
        <f t="shared" si="17"/>
        <v>0</v>
      </c>
    </row>
    <row r="301" spans="1:26" x14ac:dyDescent="0.25">
      <c r="A301" s="4">
        <v>5022</v>
      </c>
      <c r="B301" t="s">
        <v>13</v>
      </c>
      <c r="C301">
        <v>6</v>
      </c>
      <c r="D301">
        <v>1</v>
      </c>
      <c r="E301">
        <v>5</v>
      </c>
      <c r="F301" t="s">
        <v>14</v>
      </c>
      <c r="G301">
        <v>4.5</v>
      </c>
      <c r="I301">
        <v>4</v>
      </c>
      <c r="J301" t="s">
        <v>17</v>
      </c>
      <c r="K301" t="str">
        <f t="shared" si="14"/>
        <v/>
      </c>
      <c r="L301" t="s">
        <v>16</v>
      </c>
      <c r="M301">
        <v>8</v>
      </c>
      <c r="T301">
        <f t="shared" si="15"/>
        <v>20</v>
      </c>
      <c r="U301" t="s">
        <v>1305</v>
      </c>
      <c r="V301" s="4" t="s">
        <v>1298</v>
      </c>
      <c r="W301">
        <v>300</v>
      </c>
      <c r="Y301">
        <f t="shared" si="16"/>
        <v>0</v>
      </c>
      <c r="Z301">
        <f t="shared" si="17"/>
        <v>0</v>
      </c>
    </row>
    <row r="302" spans="1:26" x14ac:dyDescent="0.25">
      <c r="A302" s="4">
        <v>5022</v>
      </c>
      <c r="B302" t="s">
        <v>13</v>
      </c>
      <c r="C302">
        <v>6</v>
      </c>
      <c r="D302">
        <v>1</v>
      </c>
      <c r="E302">
        <v>4</v>
      </c>
      <c r="F302" t="s">
        <v>14</v>
      </c>
      <c r="G302">
        <v>4.5</v>
      </c>
      <c r="I302">
        <v>4</v>
      </c>
      <c r="J302" t="s">
        <v>17</v>
      </c>
      <c r="K302" t="str">
        <f t="shared" si="14"/>
        <v/>
      </c>
      <c r="L302" t="s">
        <v>16</v>
      </c>
      <c r="M302">
        <v>8</v>
      </c>
      <c r="T302">
        <f t="shared" si="15"/>
        <v>20</v>
      </c>
      <c r="U302" t="s">
        <v>1307</v>
      </c>
      <c r="V302" s="4" t="s">
        <v>1298</v>
      </c>
      <c r="W302">
        <v>301</v>
      </c>
      <c r="Y302">
        <f t="shared" si="16"/>
        <v>0</v>
      </c>
      <c r="Z302">
        <f t="shared" si="17"/>
        <v>0</v>
      </c>
    </row>
    <row r="303" spans="1:26" x14ac:dyDescent="0.25">
      <c r="A303" s="4">
        <v>5022</v>
      </c>
      <c r="B303" t="s">
        <v>13</v>
      </c>
      <c r="C303">
        <v>6</v>
      </c>
      <c r="D303">
        <v>1</v>
      </c>
      <c r="E303">
        <v>3</v>
      </c>
      <c r="F303" t="s">
        <v>14</v>
      </c>
      <c r="G303">
        <v>4.5</v>
      </c>
      <c r="I303">
        <v>4</v>
      </c>
      <c r="J303" t="s">
        <v>17</v>
      </c>
      <c r="K303" t="str">
        <f t="shared" si="14"/>
        <v/>
      </c>
      <c r="L303" t="s">
        <v>16</v>
      </c>
      <c r="M303">
        <v>8</v>
      </c>
      <c r="T303">
        <f t="shared" si="15"/>
        <v>20</v>
      </c>
      <c r="U303" t="s">
        <v>1310</v>
      </c>
      <c r="V303" s="4" t="s">
        <v>1311</v>
      </c>
      <c r="W303">
        <v>302</v>
      </c>
      <c r="Y303">
        <f t="shared" si="16"/>
        <v>0</v>
      </c>
      <c r="Z303">
        <f t="shared" si="17"/>
        <v>0</v>
      </c>
    </row>
    <row r="304" spans="1:26" x14ac:dyDescent="0.25">
      <c r="A304" s="4">
        <v>5022</v>
      </c>
      <c r="B304" t="s">
        <v>13</v>
      </c>
      <c r="C304">
        <v>6</v>
      </c>
      <c r="D304">
        <v>1</v>
      </c>
      <c r="E304">
        <v>2</v>
      </c>
      <c r="F304" t="s">
        <v>14</v>
      </c>
      <c r="G304">
        <v>4.5</v>
      </c>
      <c r="I304">
        <v>4</v>
      </c>
      <c r="J304" t="s">
        <v>17</v>
      </c>
      <c r="K304" t="str">
        <f t="shared" si="14"/>
        <v/>
      </c>
      <c r="L304" t="s">
        <v>16</v>
      </c>
      <c r="M304">
        <v>8</v>
      </c>
      <c r="T304">
        <f t="shared" si="15"/>
        <v>20</v>
      </c>
      <c r="U304" t="s">
        <v>1319</v>
      </c>
      <c r="V304" s="4" t="s">
        <v>1311</v>
      </c>
      <c r="W304">
        <v>303</v>
      </c>
      <c r="Y304">
        <f t="shared" si="16"/>
        <v>0</v>
      </c>
      <c r="Z304">
        <f t="shared" si="17"/>
        <v>0</v>
      </c>
    </row>
    <row r="305" spans="1:26" x14ac:dyDescent="0.25">
      <c r="A305" s="4">
        <v>5022</v>
      </c>
      <c r="B305" t="s">
        <v>13</v>
      </c>
      <c r="C305">
        <v>6</v>
      </c>
      <c r="D305">
        <v>1</v>
      </c>
      <c r="E305">
        <v>5</v>
      </c>
      <c r="F305" t="s">
        <v>14</v>
      </c>
      <c r="G305">
        <v>4.5</v>
      </c>
      <c r="I305">
        <v>4</v>
      </c>
      <c r="J305" t="s">
        <v>15</v>
      </c>
      <c r="K305" t="str">
        <f t="shared" si="14"/>
        <v/>
      </c>
      <c r="L305" t="s">
        <v>16</v>
      </c>
      <c r="M305">
        <v>7</v>
      </c>
      <c r="T305">
        <f t="shared" si="15"/>
        <v>20</v>
      </c>
      <c r="U305" t="s">
        <v>1321</v>
      </c>
      <c r="V305" s="4" t="s">
        <v>1311</v>
      </c>
      <c r="W305">
        <v>304</v>
      </c>
      <c r="Y305">
        <f t="shared" si="16"/>
        <v>0</v>
      </c>
      <c r="Z305">
        <f t="shared" si="17"/>
        <v>0</v>
      </c>
    </row>
    <row r="306" spans="1:26" x14ac:dyDescent="0.25">
      <c r="A306" s="4">
        <v>5022</v>
      </c>
      <c r="B306" t="s">
        <v>13</v>
      </c>
      <c r="C306">
        <v>6</v>
      </c>
      <c r="D306">
        <v>1</v>
      </c>
      <c r="E306">
        <v>4</v>
      </c>
      <c r="F306" t="s">
        <v>14</v>
      </c>
      <c r="G306">
        <v>4.5</v>
      </c>
      <c r="I306">
        <v>4</v>
      </c>
      <c r="J306" t="s">
        <v>15</v>
      </c>
      <c r="K306" t="str">
        <f t="shared" si="14"/>
        <v/>
      </c>
      <c r="L306" t="s">
        <v>16</v>
      </c>
      <c r="M306">
        <v>7</v>
      </c>
      <c r="T306">
        <f t="shared" si="15"/>
        <v>20</v>
      </c>
      <c r="U306" t="s">
        <v>1324</v>
      </c>
      <c r="V306" s="4" t="s">
        <v>1311</v>
      </c>
      <c r="W306">
        <v>305</v>
      </c>
      <c r="Y306">
        <f t="shared" si="16"/>
        <v>0</v>
      </c>
      <c r="Z306">
        <f t="shared" si="17"/>
        <v>0</v>
      </c>
    </row>
    <row r="307" spans="1:26" x14ac:dyDescent="0.25">
      <c r="A307" s="4">
        <v>5022</v>
      </c>
      <c r="B307" t="s">
        <v>13</v>
      </c>
      <c r="C307">
        <v>6</v>
      </c>
      <c r="D307">
        <v>1</v>
      </c>
      <c r="E307">
        <v>3</v>
      </c>
      <c r="F307" t="s">
        <v>14</v>
      </c>
      <c r="G307">
        <v>4.5</v>
      </c>
      <c r="I307">
        <v>4</v>
      </c>
      <c r="J307" t="s">
        <v>15</v>
      </c>
      <c r="K307" t="str">
        <f t="shared" si="14"/>
        <v/>
      </c>
      <c r="L307" t="s">
        <v>16</v>
      </c>
      <c r="M307">
        <v>7</v>
      </c>
      <c r="T307">
        <f t="shared" si="15"/>
        <v>20</v>
      </c>
      <c r="U307" t="s">
        <v>1326</v>
      </c>
      <c r="V307" s="4" t="s">
        <v>1311</v>
      </c>
      <c r="W307">
        <v>306</v>
      </c>
      <c r="Y307">
        <f t="shared" si="16"/>
        <v>0</v>
      </c>
      <c r="Z307">
        <f t="shared" si="17"/>
        <v>0</v>
      </c>
    </row>
    <row r="308" spans="1:26" x14ac:dyDescent="0.25">
      <c r="A308" s="4">
        <v>5022</v>
      </c>
      <c r="B308" t="s">
        <v>13</v>
      </c>
      <c r="C308">
        <v>6</v>
      </c>
      <c r="D308">
        <v>1</v>
      </c>
      <c r="E308">
        <v>2</v>
      </c>
      <c r="F308" t="s">
        <v>14</v>
      </c>
      <c r="G308">
        <v>4.5</v>
      </c>
      <c r="I308">
        <v>4</v>
      </c>
      <c r="J308" t="s">
        <v>15</v>
      </c>
      <c r="K308" t="str">
        <f t="shared" si="14"/>
        <v/>
      </c>
      <c r="L308" t="s">
        <v>16</v>
      </c>
      <c r="M308">
        <v>7</v>
      </c>
      <c r="T308">
        <f t="shared" si="15"/>
        <v>20</v>
      </c>
      <c r="U308" t="s">
        <v>1332</v>
      </c>
      <c r="V308" s="4" t="s">
        <v>1311</v>
      </c>
      <c r="W308">
        <v>307</v>
      </c>
      <c r="Y308">
        <f t="shared" si="16"/>
        <v>0</v>
      </c>
      <c r="Z308">
        <f t="shared" si="17"/>
        <v>0</v>
      </c>
    </row>
    <row r="309" spans="1:26" x14ac:dyDescent="0.25">
      <c r="A309" s="4">
        <v>5022</v>
      </c>
      <c r="B309" t="s">
        <v>13</v>
      </c>
      <c r="C309">
        <v>6</v>
      </c>
      <c r="D309">
        <v>1</v>
      </c>
      <c r="E309">
        <v>5</v>
      </c>
      <c r="F309" t="s">
        <v>14</v>
      </c>
      <c r="G309">
        <v>4.5</v>
      </c>
      <c r="I309">
        <v>4</v>
      </c>
      <c r="J309" t="s">
        <v>18</v>
      </c>
      <c r="K309" t="str">
        <f t="shared" si="14"/>
        <v/>
      </c>
      <c r="L309" t="s">
        <v>16</v>
      </c>
      <c r="M309">
        <v>7</v>
      </c>
      <c r="T309">
        <f t="shared" si="15"/>
        <v>20</v>
      </c>
      <c r="U309" t="s">
        <v>1334</v>
      </c>
      <c r="V309" s="4" t="s">
        <v>1311</v>
      </c>
      <c r="W309">
        <v>308</v>
      </c>
      <c r="Y309">
        <f t="shared" si="16"/>
        <v>0</v>
      </c>
      <c r="Z309">
        <f t="shared" si="17"/>
        <v>0</v>
      </c>
    </row>
    <row r="310" spans="1:26" x14ac:dyDescent="0.25">
      <c r="A310" s="4">
        <v>5022</v>
      </c>
      <c r="B310" t="s">
        <v>13</v>
      </c>
      <c r="C310">
        <v>6</v>
      </c>
      <c r="D310">
        <v>1</v>
      </c>
      <c r="E310">
        <v>4</v>
      </c>
      <c r="F310" t="s">
        <v>14</v>
      </c>
      <c r="G310">
        <v>4.5</v>
      </c>
      <c r="I310">
        <v>4</v>
      </c>
      <c r="J310" t="s">
        <v>18</v>
      </c>
      <c r="K310" t="str">
        <f t="shared" si="14"/>
        <v/>
      </c>
      <c r="L310" t="s">
        <v>16</v>
      </c>
      <c r="M310">
        <v>7</v>
      </c>
      <c r="T310">
        <f t="shared" si="15"/>
        <v>20</v>
      </c>
      <c r="U310" t="s">
        <v>1336</v>
      </c>
      <c r="V310" s="4" t="s">
        <v>1311</v>
      </c>
      <c r="W310">
        <v>309</v>
      </c>
      <c r="Y310">
        <f t="shared" si="16"/>
        <v>0</v>
      </c>
      <c r="Z310">
        <f t="shared" si="17"/>
        <v>0</v>
      </c>
    </row>
    <row r="311" spans="1:26" x14ac:dyDescent="0.25">
      <c r="A311" s="4">
        <v>5022</v>
      </c>
      <c r="B311" t="s">
        <v>13</v>
      </c>
      <c r="C311">
        <v>6</v>
      </c>
      <c r="D311">
        <v>1</v>
      </c>
      <c r="E311">
        <v>3</v>
      </c>
      <c r="F311" t="s">
        <v>14</v>
      </c>
      <c r="G311">
        <v>4.5</v>
      </c>
      <c r="I311">
        <v>4</v>
      </c>
      <c r="J311" t="s">
        <v>18</v>
      </c>
      <c r="K311" t="str">
        <f t="shared" si="14"/>
        <v/>
      </c>
      <c r="L311" t="s">
        <v>16</v>
      </c>
      <c r="M311">
        <v>7</v>
      </c>
      <c r="T311">
        <f t="shared" si="15"/>
        <v>20</v>
      </c>
      <c r="U311" t="s">
        <v>1338</v>
      </c>
      <c r="V311" s="4" t="s">
        <v>1311</v>
      </c>
      <c r="W311">
        <v>310</v>
      </c>
      <c r="Y311">
        <f t="shared" si="16"/>
        <v>0</v>
      </c>
      <c r="Z311">
        <f t="shared" si="17"/>
        <v>0</v>
      </c>
    </row>
    <row r="312" spans="1:26" x14ac:dyDescent="0.25">
      <c r="A312" s="4">
        <v>5022</v>
      </c>
      <c r="B312" t="s">
        <v>13</v>
      </c>
      <c r="C312">
        <v>6</v>
      </c>
      <c r="D312">
        <v>1</v>
      </c>
      <c r="E312">
        <v>2</v>
      </c>
      <c r="F312" t="s">
        <v>14</v>
      </c>
      <c r="G312">
        <v>4.5</v>
      </c>
      <c r="I312">
        <v>4</v>
      </c>
      <c r="J312" t="s">
        <v>18</v>
      </c>
      <c r="K312" t="str">
        <f t="shared" si="14"/>
        <v/>
      </c>
      <c r="L312" t="s">
        <v>16</v>
      </c>
      <c r="M312">
        <v>7</v>
      </c>
      <c r="T312">
        <f t="shared" si="15"/>
        <v>20</v>
      </c>
      <c r="U312" t="s">
        <v>1346</v>
      </c>
      <c r="V312" s="4" t="s">
        <v>1311</v>
      </c>
      <c r="W312">
        <v>311</v>
      </c>
      <c r="Y312">
        <f t="shared" si="16"/>
        <v>0</v>
      </c>
      <c r="Z312">
        <f t="shared" si="17"/>
        <v>0</v>
      </c>
    </row>
    <row r="313" spans="1:26" x14ac:dyDescent="0.25">
      <c r="A313" s="4">
        <v>5022</v>
      </c>
      <c r="B313" t="s">
        <v>13</v>
      </c>
      <c r="C313">
        <v>6</v>
      </c>
      <c r="D313">
        <v>1</v>
      </c>
      <c r="E313">
        <v>10</v>
      </c>
      <c r="F313" t="s">
        <v>14</v>
      </c>
      <c r="G313">
        <v>5.0999999999999996</v>
      </c>
      <c r="I313">
        <v>5</v>
      </c>
      <c r="J313" t="s">
        <v>17</v>
      </c>
      <c r="K313" t="str">
        <f t="shared" si="14"/>
        <v/>
      </c>
      <c r="L313" t="s">
        <v>16</v>
      </c>
      <c r="M313">
        <v>11</v>
      </c>
      <c r="T313">
        <f t="shared" si="15"/>
        <v>20</v>
      </c>
      <c r="U313" t="s">
        <v>1349</v>
      </c>
      <c r="V313" s="4" t="s">
        <v>1311</v>
      </c>
      <c r="W313">
        <v>312</v>
      </c>
      <c r="Y313">
        <f t="shared" si="16"/>
        <v>0</v>
      </c>
      <c r="Z313">
        <f t="shared" si="17"/>
        <v>0</v>
      </c>
    </row>
    <row r="314" spans="1:26" x14ac:dyDescent="0.25">
      <c r="A314" s="4">
        <v>5022</v>
      </c>
      <c r="B314" t="s">
        <v>13</v>
      </c>
      <c r="C314">
        <v>6</v>
      </c>
      <c r="D314">
        <v>1</v>
      </c>
      <c r="E314">
        <v>9</v>
      </c>
      <c r="F314" t="s">
        <v>14</v>
      </c>
      <c r="G314">
        <v>5.0999999999999996</v>
      </c>
      <c r="I314">
        <v>5</v>
      </c>
      <c r="J314" t="s">
        <v>17</v>
      </c>
      <c r="K314" t="str">
        <f t="shared" si="14"/>
        <v/>
      </c>
      <c r="L314" t="s">
        <v>16</v>
      </c>
      <c r="M314">
        <v>11</v>
      </c>
      <c r="T314">
        <f t="shared" si="15"/>
        <v>20</v>
      </c>
      <c r="U314" t="s">
        <v>1352</v>
      </c>
      <c r="V314" s="4" t="s">
        <v>1311</v>
      </c>
      <c r="W314">
        <v>313</v>
      </c>
      <c r="Y314">
        <f t="shared" si="16"/>
        <v>0</v>
      </c>
      <c r="Z314">
        <f t="shared" si="17"/>
        <v>0</v>
      </c>
    </row>
    <row r="315" spans="1:26" x14ac:dyDescent="0.25">
      <c r="A315" s="4">
        <v>5022</v>
      </c>
      <c r="B315" t="s">
        <v>13</v>
      </c>
      <c r="C315">
        <v>6</v>
      </c>
      <c r="D315">
        <v>1</v>
      </c>
      <c r="E315">
        <v>8</v>
      </c>
      <c r="F315" t="s">
        <v>14</v>
      </c>
      <c r="G315">
        <v>5.0999999999999996</v>
      </c>
      <c r="I315">
        <v>5</v>
      </c>
      <c r="J315" t="s">
        <v>17</v>
      </c>
      <c r="K315" t="str">
        <f t="shared" si="14"/>
        <v/>
      </c>
      <c r="L315" t="s">
        <v>16</v>
      </c>
      <c r="M315">
        <v>11</v>
      </c>
      <c r="T315">
        <f t="shared" si="15"/>
        <v>20</v>
      </c>
      <c r="U315" t="s">
        <v>1356</v>
      </c>
      <c r="V315" s="4" t="s">
        <v>1311</v>
      </c>
      <c r="W315">
        <v>314</v>
      </c>
      <c r="Y315">
        <f t="shared" si="16"/>
        <v>0</v>
      </c>
      <c r="Z315">
        <f t="shared" si="17"/>
        <v>0</v>
      </c>
    </row>
    <row r="316" spans="1:26" x14ac:dyDescent="0.25">
      <c r="A316" s="4">
        <v>5022</v>
      </c>
      <c r="B316" t="s">
        <v>13</v>
      </c>
      <c r="C316">
        <v>6</v>
      </c>
      <c r="D316">
        <v>1</v>
      </c>
      <c r="E316">
        <v>7</v>
      </c>
      <c r="F316" t="s">
        <v>14</v>
      </c>
      <c r="G316">
        <v>5.0999999999999996</v>
      </c>
      <c r="I316">
        <v>5</v>
      </c>
      <c r="J316" t="s">
        <v>17</v>
      </c>
      <c r="K316" t="str">
        <f t="shared" si="14"/>
        <v/>
      </c>
      <c r="L316" t="s">
        <v>16</v>
      </c>
      <c r="M316">
        <v>11</v>
      </c>
      <c r="T316">
        <f t="shared" si="15"/>
        <v>20</v>
      </c>
      <c r="U316" t="s">
        <v>1361</v>
      </c>
      <c r="V316" s="4" t="s">
        <v>1311</v>
      </c>
      <c r="W316">
        <v>315</v>
      </c>
      <c r="Y316">
        <f t="shared" si="16"/>
        <v>0</v>
      </c>
      <c r="Z316">
        <f t="shared" si="17"/>
        <v>0</v>
      </c>
    </row>
    <row r="317" spans="1:26" x14ac:dyDescent="0.25">
      <c r="A317" s="4">
        <v>5022</v>
      </c>
      <c r="B317" t="s">
        <v>13</v>
      </c>
      <c r="C317">
        <v>6</v>
      </c>
      <c r="D317">
        <v>1</v>
      </c>
      <c r="E317">
        <v>6</v>
      </c>
      <c r="F317" t="s">
        <v>14</v>
      </c>
      <c r="G317">
        <v>5.0999999999999996</v>
      </c>
      <c r="I317">
        <v>5</v>
      </c>
      <c r="J317" t="s">
        <v>17</v>
      </c>
      <c r="K317" t="str">
        <f t="shared" si="14"/>
        <v/>
      </c>
      <c r="L317" t="s">
        <v>16</v>
      </c>
      <c r="M317">
        <v>11</v>
      </c>
      <c r="T317">
        <f t="shared" si="15"/>
        <v>20</v>
      </c>
      <c r="U317" t="s">
        <v>1363</v>
      </c>
      <c r="V317" s="4" t="s">
        <v>1311</v>
      </c>
      <c r="W317">
        <v>316</v>
      </c>
      <c r="Y317">
        <f t="shared" si="16"/>
        <v>0</v>
      </c>
      <c r="Z317">
        <f t="shared" si="17"/>
        <v>0</v>
      </c>
    </row>
    <row r="318" spans="1:26" x14ac:dyDescent="0.25">
      <c r="A318" s="4">
        <v>5022</v>
      </c>
      <c r="B318" t="s">
        <v>13</v>
      </c>
      <c r="C318">
        <v>6</v>
      </c>
      <c r="D318">
        <v>1</v>
      </c>
      <c r="E318">
        <v>10</v>
      </c>
      <c r="F318" t="s">
        <v>14</v>
      </c>
      <c r="G318">
        <v>5.0999999999999996</v>
      </c>
      <c r="I318">
        <v>5</v>
      </c>
      <c r="J318" t="s">
        <v>15</v>
      </c>
      <c r="K318" t="str">
        <f t="shared" si="14"/>
        <v/>
      </c>
      <c r="L318" t="s">
        <v>16</v>
      </c>
      <c r="M318">
        <v>7</v>
      </c>
      <c r="T318">
        <f t="shared" si="15"/>
        <v>20</v>
      </c>
      <c r="U318" t="s">
        <v>1365</v>
      </c>
      <c r="V318" s="4" t="s">
        <v>1311</v>
      </c>
      <c r="W318">
        <v>317</v>
      </c>
      <c r="Y318">
        <f t="shared" si="16"/>
        <v>0</v>
      </c>
      <c r="Z318">
        <f t="shared" si="17"/>
        <v>0</v>
      </c>
    </row>
    <row r="319" spans="1:26" x14ac:dyDescent="0.25">
      <c r="A319" s="4">
        <v>5022</v>
      </c>
      <c r="B319" t="s">
        <v>13</v>
      </c>
      <c r="C319">
        <v>6</v>
      </c>
      <c r="D319">
        <v>1</v>
      </c>
      <c r="E319">
        <v>9</v>
      </c>
      <c r="F319" t="s">
        <v>14</v>
      </c>
      <c r="G319">
        <v>5.0999999999999996</v>
      </c>
      <c r="I319">
        <v>5</v>
      </c>
      <c r="J319" t="s">
        <v>15</v>
      </c>
      <c r="K319" t="str">
        <f t="shared" si="14"/>
        <v/>
      </c>
      <c r="L319" t="s">
        <v>16</v>
      </c>
      <c r="M319">
        <v>7</v>
      </c>
      <c r="T319">
        <f t="shared" si="15"/>
        <v>20</v>
      </c>
      <c r="U319" t="s">
        <v>1368</v>
      </c>
      <c r="V319" s="4" t="s">
        <v>1369</v>
      </c>
      <c r="W319">
        <v>318</v>
      </c>
      <c r="Y319">
        <f t="shared" si="16"/>
        <v>0</v>
      </c>
      <c r="Z319">
        <f t="shared" si="17"/>
        <v>0</v>
      </c>
    </row>
    <row r="320" spans="1:26" x14ac:dyDescent="0.25">
      <c r="A320" s="4">
        <v>5022</v>
      </c>
      <c r="B320" t="s">
        <v>13</v>
      </c>
      <c r="C320">
        <v>6</v>
      </c>
      <c r="D320">
        <v>1</v>
      </c>
      <c r="E320">
        <v>8</v>
      </c>
      <c r="F320" t="s">
        <v>14</v>
      </c>
      <c r="G320">
        <v>5.0999999999999996</v>
      </c>
      <c r="I320">
        <v>5</v>
      </c>
      <c r="J320" t="s">
        <v>15</v>
      </c>
      <c r="K320" t="str">
        <f t="shared" si="14"/>
        <v/>
      </c>
      <c r="L320" t="s">
        <v>16</v>
      </c>
      <c r="M320">
        <v>7</v>
      </c>
      <c r="T320">
        <f t="shared" si="15"/>
        <v>20</v>
      </c>
      <c r="U320" t="s">
        <v>1375</v>
      </c>
      <c r="V320" s="4" t="s">
        <v>1369</v>
      </c>
      <c r="W320">
        <v>319</v>
      </c>
      <c r="Y320">
        <f t="shared" si="16"/>
        <v>0</v>
      </c>
      <c r="Z320">
        <f t="shared" si="17"/>
        <v>0</v>
      </c>
    </row>
    <row r="321" spans="1:26" x14ac:dyDescent="0.25">
      <c r="A321" s="4">
        <v>5022</v>
      </c>
      <c r="B321" t="s">
        <v>13</v>
      </c>
      <c r="C321">
        <v>6</v>
      </c>
      <c r="D321">
        <v>1</v>
      </c>
      <c r="E321">
        <v>7</v>
      </c>
      <c r="F321" t="s">
        <v>14</v>
      </c>
      <c r="G321">
        <v>5.0999999999999996</v>
      </c>
      <c r="I321">
        <v>5</v>
      </c>
      <c r="J321" t="s">
        <v>15</v>
      </c>
      <c r="K321" t="str">
        <f t="shared" si="14"/>
        <v/>
      </c>
      <c r="L321" t="s">
        <v>16</v>
      </c>
      <c r="M321">
        <v>7</v>
      </c>
      <c r="T321">
        <f t="shared" si="15"/>
        <v>20</v>
      </c>
      <c r="U321" t="s">
        <v>1381</v>
      </c>
      <c r="V321" s="4" t="s">
        <v>1369</v>
      </c>
      <c r="W321">
        <v>320</v>
      </c>
      <c r="Y321">
        <f t="shared" si="16"/>
        <v>0</v>
      </c>
      <c r="Z321">
        <f t="shared" si="17"/>
        <v>0</v>
      </c>
    </row>
    <row r="322" spans="1:26" x14ac:dyDescent="0.25">
      <c r="A322" s="4">
        <v>5022</v>
      </c>
      <c r="B322" t="s">
        <v>13</v>
      </c>
      <c r="C322">
        <v>6</v>
      </c>
      <c r="D322">
        <v>1</v>
      </c>
      <c r="E322">
        <v>6</v>
      </c>
      <c r="F322" t="s">
        <v>14</v>
      </c>
      <c r="G322">
        <v>5.0999999999999996</v>
      </c>
      <c r="I322">
        <v>5</v>
      </c>
      <c r="J322" t="s">
        <v>15</v>
      </c>
      <c r="K322" t="str">
        <f t="shared" si="14"/>
        <v/>
      </c>
      <c r="L322" t="s">
        <v>16</v>
      </c>
      <c r="M322">
        <v>7</v>
      </c>
      <c r="T322">
        <f t="shared" si="15"/>
        <v>20</v>
      </c>
      <c r="U322" t="s">
        <v>1387</v>
      </c>
      <c r="V322" s="4" t="s">
        <v>1369</v>
      </c>
      <c r="W322">
        <v>321</v>
      </c>
      <c r="Y322">
        <f t="shared" si="16"/>
        <v>0</v>
      </c>
      <c r="Z322">
        <f t="shared" si="17"/>
        <v>0</v>
      </c>
    </row>
    <row r="323" spans="1:26" x14ac:dyDescent="0.25">
      <c r="A323" s="4">
        <v>5022</v>
      </c>
      <c r="B323" t="s">
        <v>13</v>
      </c>
      <c r="C323">
        <v>6</v>
      </c>
      <c r="D323">
        <v>1</v>
      </c>
      <c r="E323">
        <v>10</v>
      </c>
      <c r="F323" t="s">
        <v>14</v>
      </c>
      <c r="G323">
        <v>5.0999999999999996</v>
      </c>
      <c r="I323">
        <v>5</v>
      </c>
      <c r="J323" t="s">
        <v>18</v>
      </c>
      <c r="K323" t="str">
        <f t="shared" ref="K323:K386" si="18">_xlfn.XLOOKUP(A323,V:V,U:U,"",0)</f>
        <v/>
      </c>
      <c r="L323" t="s">
        <v>16</v>
      </c>
      <c r="M323">
        <v>11</v>
      </c>
      <c r="T323">
        <f t="shared" ref="T323:T386" si="19">LEN(U323)</f>
        <v>20</v>
      </c>
      <c r="U323" t="s">
        <v>1390</v>
      </c>
      <c r="V323" s="4" t="s">
        <v>1369</v>
      </c>
      <c r="W323">
        <v>322</v>
      </c>
      <c r="Y323">
        <f t="shared" ref="Y323:Y386" si="20">LEN(O323)</f>
        <v>0</v>
      </c>
      <c r="Z323">
        <f t="shared" ref="Z323:Z386" si="21">LEN(P323)</f>
        <v>0</v>
      </c>
    </row>
    <row r="324" spans="1:26" x14ac:dyDescent="0.25">
      <c r="A324" s="4">
        <v>5022</v>
      </c>
      <c r="B324" t="s">
        <v>13</v>
      </c>
      <c r="C324">
        <v>6</v>
      </c>
      <c r="D324">
        <v>1</v>
      </c>
      <c r="E324">
        <v>9</v>
      </c>
      <c r="F324" t="s">
        <v>14</v>
      </c>
      <c r="G324">
        <v>5.0999999999999996</v>
      </c>
      <c r="I324">
        <v>5</v>
      </c>
      <c r="J324" t="s">
        <v>18</v>
      </c>
      <c r="K324" t="str">
        <f t="shared" si="18"/>
        <v/>
      </c>
      <c r="L324" t="s">
        <v>16</v>
      </c>
      <c r="M324">
        <v>11</v>
      </c>
      <c r="T324">
        <f t="shared" si="19"/>
        <v>20</v>
      </c>
      <c r="U324" t="s">
        <v>1395</v>
      </c>
      <c r="V324" s="4" t="s">
        <v>1369</v>
      </c>
      <c r="W324">
        <v>323</v>
      </c>
      <c r="Y324">
        <f t="shared" si="20"/>
        <v>0</v>
      </c>
      <c r="Z324">
        <f t="shared" si="21"/>
        <v>0</v>
      </c>
    </row>
    <row r="325" spans="1:26" x14ac:dyDescent="0.25">
      <c r="A325" s="4">
        <v>5022</v>
      </c>
      <c r="B325" t="s">
        <v>13</v>
      </c>
      <c r="C325">
        <v>6</v>
      </c>
      <c r="D325">
        <v>1</v>
      </c>
      <c r="E325">
        <v>8</v>
      </c>
      <c r="F325" t="s">
        <v>14</v>
      </c>
      <c r="G325">
        <v>5.0999999999999996</v>
      </c>
      <c r="I325">
        <v>5</v>
      </c>
      <c r="J325" t="s">
        <v>18</v>
      </c>
      <c r="K325" t="str">
        <f t="shared" si="18"/>
        <v/>
      </c>
      <c r="L325" t="s">
        <v>16</v>
      </c>
      <c r="M325">
        <v>11</v>
      </c>
      <c r="T325">
        <f t="shared" si="19"/>
        <v>20</v>
      </c>
      <c r="U325" t="s">
        <v>1397</v>
      </c>
      <c r="V325" s="4" t="s">
        <v>1369</v>
      </c>
      <c r="W325">
        <v>324</v>
      </c>
      <c r="Y325">
        <f t="shared" si="20"/>
        <v>0</v>
      </c>
      <c r="Z325">
        <f t="shared" si="21"/>
        <v>0</v>
      </c>
    </row>
    <row r="326" spans="1:26" x14ac:dyDescent="0.25">
      <c r="A326" s="4">
        <v>5022</v>
      </c>
      <c r="B326" t="s">
        <v>13</v>
      </c>
      <c r="C326">
        <v>6</v>
      </c>
      <c r="D326">
        <v>1</v>
      </c>
      <c r="E326">
        <v>7</v>
      </c>
      <c r="F326" t="s">
        <v>14</v>
      </c>
      <c r="G326">
        <v>5.0999999999999996</v>
      </c>
      <c r="I326">
        <v>5</v>
      </c>
      <c r="J326" t="s">
        <v>18</v>
      </c>
      <c r="K326" t="str">
        <f t="shared" si="18"/>
        <v/>
      </c>
      <c r="L326" t="s">
        <v>16</v>
      </c>
      <c r="M326">
        <v>11</v>
      </c>
      <c r="T326">
        <f t="shared" si="19"/>
        <v>20</v>
      </c>
      <c r="U326" t="s">
        <v>1404</v>
      </c>
      <c r="V326" s="4" t="s">
        <v>1369</v>
      </c>
      <c r="W326">
        <v>325</v>
      </c>
      <c r="Y326">
        <f t="shared" si="20"/>
        <v>0</v>
      </c>
      <c r="Z326">
        <f t="shared" si="21"/>
        <v>0</v>
      </c>
    </row>
    <row r="327" spans="1:26" x14ac:dyDescent="0.25">
      <c r="A327" s="4">
        <v>5022</v>
      </c>
      <c r="B327" t="s">
        <v>13</v>
      </c>
      <c r="C327">
        <v>6</v>
      </c>
      <c r="D327">
        <v>1</v>
      </c>
      <c r="E327">
        <v>6</v>
      </c>
      <c r="F327" t="s">
        <v>14</v>
      </c>
      <c r="G327">
        <v>5.0999999999999996</v>
      </c>
      <c r="I327">
        <v>5</v>
      </c>
      <c r="J327" t="s">
        <v>18</v>
      </c>
      <c r="K327" t="str">
        <f t="shared" si="18"/>
        <v/>
      </c>
      <c r="L327" t="s">
        <v>16</v>
      </c>
      <c r="M327">
        <v>11</v>
      </c>
      <c r="T327">
        <f t="shared" si="19"/>
        <v>20</v>
      </c>
      <c r="U327" t="s">
        <v>1407</v>
      </c>
      <c r="V327" s="4" t="s">
        <v>1369</v>
      </c>
      <c r="W327">
        <v>326</v>
      </c>
      <c r="Y327">
        <f t="shared" si="20"/>
        <v>0</v>
      </c>
      <c r="Z327">
        <f t="shared" si="21"/>
        <v>0</v>
      </c>
    </row>
    <row r="328" spans="1:26" x14ac:dyDescent="0.25">
      <c r="A328" s="4">
        <v>1045</v>
      </c>
      <c r="B328" t="s">
        <v>26</v>
      </c>
      <c r="C328">
        <v>2</v>
      </c>
      <c r="D328">
        <v>1</v>
      </c>
      <c r="E328">
        <v>5</v>
      </c>
      <c r="F328" t="s">
        <v>14</v>
      </c>
      <c r="G328">
        <v>5.15</v>
      </c>
      <c r="I328">
        <v>4</v>
      </c>
      <c r="J328" t="s">
        <v>24</v>
      </c>
      <c r="K328" t="str">
        <f t="shared" si="18"/>
        <v/>
      </c>
      <c r="L328" t="s">
        <v>16</v>
      </c>
      <c r="M328">
        <v>4</v>
      </c>
      <c r="T328">
        <f t="shared" si="19"/>
        <v>20</v>
      </c>
      <c r="U328" t="s">
        <v>1411</v>
      </c>
      <c r="V328" s="4" t="s">
        <v>1369</v>
      </c>
      <c r="W328">
        <v>327</v>
      </c>
      <c r="Y328">
        <f t="shared" si="20"/>
        <v>0</v>
      </c>
      <c r="Z328">
        <f t="shared" si="21"/>
        <v>0</v>
      </c>
    </row>
    <row r="329" spans="1:26" x14ac:dyDescent="0.25">
      <c r="A329" s="4">
        <v>1045</v>
      </c>
      <c r="B329" t="s">
        <v>26</v>
      </c>
      <c r="C329">
        <v>2</v>
      </c>
      <c r="D329">
        <v>1</v>
      </c>
      <c r="E329">
        <v>4</v>
      </c>
      <c r="F329" t="s">
        <v>14</v>
      </c>
      <c r="G329">
        <v>5.15</v>
      </c>
      <c r="I329">
        <v>4</v>
      </c>
      <c r="J329" t="s">
        <v>24</v>
      </c>
      <c r="K329" t="str">
        <f t="shared" si="18"/>
        <v/>
      </c>
      <c r="L329" t="s">
        <v>16</v>
      </c>
      <c r="M329">
        <v>4</v>
      </c>
      <c r="T329">
        <f t="shared" si="19"/>
        <v>20</v>
      </c>
      <c r="U329" t="s">
        <v>1413</v>
      </c>
      <c r="V329" s="4" t="s">
        <v>1369</v>
      </c>
      <c r="W329">
        <v>328</v>
      </c>
      <c r="Y329">
        <f t="shared" si="20"/>
        <v>0</v>
      </c>
      <c r="Z329">
        <f t="shared" si="21"/>
        <v>0</v>
      </c>
    </row>
    <row r="330" spans="1:26" x14ac:dyDescent="0.25">
      <c r="A330" s="4">
        <v>1045</v>
      </c>
      <c r="B330" t="s">
        <v>26</v>
      </c>
      <c r="C330">
        <v>2</v>
      </c>
      <c r="D330">
        <v>1</v>
      </c>
      <c r="E330">
        <v>3</v>
      </c>
      <c r="F330" t="s">
        <v>14</v>
      </c>
      <c r="G330">
        <v>5.15</v>
      </c>
      <c r="I330">
        <v>4</v>
      </c>
      <c r="J330" t="s">
        <v>24</v>
      </c>
      <c r="K330" t="str">
        <f t="shared" si="18"/>
        <v/>
      </c>
      <c r="L330" t="s">
        <v>16</v>
      </c>
      <c r="M330">
        <v>4</v>
      </c>
      <c r="T330">
        <f t="shared" si="19"/>
        <v>20</v>
      </c>
      <c r="U330" t="s">
        <v>1419</v>
      </c>
      <c r="V330" s="4" t="s">
        <v>1369</v>
      </c>
      <c r="W330">
        <v>329</v>
      </c>
      <c r="Y330">
        <f t="shared" si="20"/>
        <v>0</v>
      </c>
      <c r="Z330">
        <f t="shared" si="21"/>
        <v>0</v>
      </c>
    </row>
    <row r="331" spans="1:26" x14ac:dyDescent="0.25">
      <c r="A331" s="4">
        <v>1045</v>
      </c>
      <c r="B331" t="s">
        <v>26</v>
      </c>
      <c r="C331">
        <v>2</v>
      </c>
      <c r="D331">
        <v>1</v>
      </c>
      <c r="E331">
        <v>2</v>
      </c>
      <c r="F331" t="s">
        <v>14</v>
      </c>
      <c r="G331">
        <v>5.15</v>
      </c>
      <c r="I331">
        <v>4</v>
      </c>
      <c r="J331" t="s">
        <v>24</v>
      </c>
      <c r="K331" t="str">
        <f t="shared" si="18"/>
        <v/>
      </c>
      <c r="L331" t="s">
        <v>16</v>
      </c>
      <c r="M331">
        <v>4</v>
      </c>
      <c r="T331">
        <f t="shared" si="19"/>
        <v>20</v>
      </c>
      <c r="U331" t="s">
        <v>1420</v>
      </c>
      <c r="V331" s="4" t="s">
        <v>1421</v>
      </c>
      <c r="W331">
        <v>330</v>
      </c>
      <c r="Y331">
        <f t="shared" si="20"/>
        <v>0</v>
      </c>
      <c r="Z331">
        <f t="shared" si="21"/>
        <v>0</v>
      </c>
    </row>
    <row r="332" spans="1:26" x14ac:dyDescent="0.25">
      <c r="A332" s="4">
        <v>1045</v>
      </c>
      <c r="B332" t="s">
        <v>26</v>
      </c>
      <c r="C332">
        <v>2</v>
      </c>
      <c r="D332">
        <v>1</v>
      </c>
      <c r="E332">
        <v>5</v>
      </c>
      <c r="F332" t="s">
        <v>14</v>
      </c>
      <c r="G332">
        <v>5.15</v>
      </c>
      <c r="I332">
        <v>4</v>
      </c>
      <c r="J332" t="s">
        <v>15</v>
      </c>
      <c r="K332" t="str">
        <f t="shared" si="18"/>
        <v/>
      </c>
      <c r="L332" t="s">
        <v>16</v>
      </c>
      <c r="M332">
        <v>4</v>
      </c>
      <c r="T332">
        <f t="shared" si="19"/>
        <v>20</v>
      </c>
      <c r="U332" t="s">
        <v>1426</v>
      </c>
      <c r="V332" s="4" t="s">
        <v>1421</v>
      </c>
      <c r="W332">
        <v>331</v>
      </c>
      <c r="Y332">
        <f t="shared" si="20"/>
        <v>0</v>
      </c>
      <c r="Z332">
        <f t="shared" si="21"/>
        <v>0</v>
      </c>
    </row>
    <row r="333" spans="1:26" x14ac:dyDescent="0.25">
      <c r="A333" s="4">
        <v>1045</v>
      </c>
      <c r="B333" t="s">
        <v>26</v>
      </c>
      <c r="C333">
        <v>2</v>
      </c>
      <c r="D333">
        <v>1</v>
      </c>
      <c r="E333">
        <v>4</v>
      </c>
      <c r="F333" t="s">
        <v>14</v>
      </c>
      <c r="G333">
        <v>5.15</v>
      </c>
      <c r="I333">
        <v>4</v>
      </c>
      <c r="J333" t="s">
        <v>15</v>
      </c>
      <c r="K333" t="str">
        <f t="shared" si="18"/>
        <v/>
      </c>
      <c r="L333" t="s">
        <v>16</v>
      </c>
      <c r="M333">
        <v>4</v>
      </c>
      <c r="T333">
        <f t="shared" si="19"/>
        <v>20</v>
      </c>
      <c r="U333" t="s">
        <v>1428</v>
      </c>
      <c r="V333" s="4" t="s">
        <v>1421</v>
      </c>
      <c r="W333">
        <v>332</v>
      </c>
      <c r="Y333">
        <f t="shared" si="20"/>
        <v>0</v>
      </c>
      <c r="Z333">
        <f t="shared" si="21"/>
        <v>0</v>
      </c>
    </row>
    <row r="334" spans="1:26" x14ac:dyDescent="0.25">
      <c r="A334" s="4">
        <v>1045</v>
      </c>
      <c r="B334" t="s">
        <v>26</v>
      </c>
      <c r="C334">
        <v>2</v>
      </c>
      <c r="D334">
        <v>1</v>
      </c>
      <c r="E334">
        <v>3</v>
      </c>
      <c r="F334" t="s">
        <v>14</v>
      </c>
      <c r="G334">
        <v>5.15</v>
      </c>
      <c r="I334">
        <v>4</v>
      </c>
      <c r="J334" t="s">
        <v>15</v>
      </c>
      <c r="K334" t="str">
        <f t="shared" si="18"/>
        <v/>
      </c>
      <c r="L334" t="s">
        <v>16</v>
      </c>
      <c r="M334">
        <v>4</v>
      </c>
      <c r="T334">
        <f t="shared" si="19"/>
        <v>20</v>
      </c>
      <c r="U334" t="s">
        <v>1431</v>
      </c>
      <c r="V334" s="4" t="s">
        <v>1421</v>
      </c>
      <c r="W334">
        <v>333</v>
      </c>
      <c r="Y334">
        <f t="shared" si="20"/>
        <v>0</v>
      </c>
      <c r="Z334">
        <f t="shared" si="21"/>
        <v>0</v>
      </c>
    </row>
    <row r="335" spans="1:26" x14ac:dyDescent="0.25">
      <c r="A335" s="4">
        <v>1045</v>
      </c>
      <c r="B335" t="s">
        <v>26</v>
      </c>
      <c r="C335">
        <v>2</v>
      </c>
      <c r="D335">
        <v>1</v>
      </c>
      <c r="E335">
        <v>2</v>
      </c>
      <c r="F335" t="s">
        <v>14</v>
      </c>
      <c r="G335">
        <v>5.15</v>
      </c>
      <c r="I335">
        <v>4</v>
      </c>
      <c r="J335" t="s">
        <v>15</v>
      </c>
      <c r="K335" t="str">
        <f t="shared" si="18"/>
        <v/>
      </c>
      <c r="L335" t="s">
        <v>16</v>
      </c>
      <c r="M335">
        <v>4</v>
      </c>
      <c r="T335">
        <f t="shared" si="19"/>
        <v>20</v>
      </c>
      <c r="U335" t="s">
        <v>1436</v>
      </c>
      <c r="V335" s="4" t="s">
        <v>1421</v>
      </c>
      <c r="W335">
        <v>334</v>
      </c>
      <c r="Y335">
        <f t="shared" si="20"/>
        <v>0</v>
      </c>
      <c r="Z335">
        <f t="shared" si="21"/>
        <v>0</v>
      </c>
    </row>
    <row r="336" spans="1:26" x14ac:dyDescent="0.25">
      <c r="A336" s="4">
        <v>1045</v>
      </c>
      <c r="B336" t="s">
        <v>26</v>
      </c>
      <c r="C336">
        <v>2</v>
      </c>
      <c r="D336">
        <v>1</v>
      </c>
      <c r="E336">
        <v>5</v>
      </c>
      <c r="F336" t="s">
        <v>14</v>
      </c>
      <c r="G336">
        <v>5.15</v>
      </c>
      <c r="I336">
        <v>4</v>
      </c>
      <c r="J336" t="s">
        <v>18</v>
      </c>
      <c r="K336" t="str">
        <f t="shared" si="18"/>
        <v/>
      </c>
      <c r="L336" t="s">
        <v>16</v>
      </c>
      <c r="M336">
        <v>6</v>
      </c>
      <c r="T336">
        <f t="shared" si="19"/>
        <v>20</v>
      </c>
      <c r="U336" t="s">
        <v>1439</v>
      </c>
      <c r="V336" s="4" t="s">
        <v>1421</v>
      </c>
      <c r="W336">
        <v>335</v>
      </c>
      <c r="Y336">
        <f t="shared" si="20"/>
        <v>0</v>
      </c>
      <c r="Z336">
        <f t="shared" si="21"/>
        <v>0</v>
      </c>
    </row>
    <row r="337" spans="1:26" x14ac:dyDescent="0.25">
      <c r="A337" s="4">
        <v>1045</v>
      </c>
      <c r="B337" t="s">
        <v>26</v>
      </c>
      <c r="C337">
        <v>2</v>
      </c>
      <c r="D337">
        <v>1</v>
      </c>
      <c r="E337">
        <v>4</v>
      </c>
      <c r="F337" t="s">
        <v>14</v>
      </c>
      <c r="G337">
        <v>5.15</v>
      </c>
      <c r="I337">
        <v>4</v>
      </c>
      <c r="J337" t="s">
        <v>18</v>
      </c>
      <c r="K337" t="str">
        <f t="shared" si="18"/>
        <v/>
      </c>
      <c r="L337" t="s">
        <v>16</v>
      </c>
      <c r="M337">
        <v>6</v>
      </c>
      <c r="T337">
        <f t="shared" si="19"/>
        <v>20</v>
      </c>
      <c r="U337" t="s">
        <v>1441</v>
      </c>
      <c r="V337" s="4" t="s">
        <v>1421</v>
      </c>
      <c r="W337">
        <v>336</v>
      </c>
      <c r="Y337">
        <f t="shared" si="20"/>
        <v>0</v>
      </c>
      <c r="Z337">
        <f t="shared" si="21"/>
        <v>0</v>
      </c>
    </row>
    <row r="338" spans="1:26" x14ac:dyDescent="0.25">
      <c r="A338" s="4">
        <v>1045</v>
      </c>
      <c r="B338" t="s">
        <v>26</v>
      </c>
      <c r="C338">
        <v>2</v>
      </c>
      <c r="D338">
        <v>1</v>
      </c>
      <c r="E338">
        <v>3</v>
      </c>
      <c r="F338" t="s">
        <v>14</v>
      </c>
      <c r="G338">
        <v>5.15</v>
      </c>
      <c r="I338">
        <v>4</v>
      </c>
      <c r="J338" t="s">
        <v>18</v>
      </c>
      <c r="K338" t="str">
        <f t="shared" si="18"/>
        <v/>
      </c>
      <c r="L338" t="s">
        <v>16</v>
      </c>
      <c r="M338">
        <v>6</v>
      </c>
      <c r="T338">
        <f t="shared" si="19"/>
        <v>20</v>
      </c>
      <c r="U338" t="s">
        <v>1445</v>
      </c>
      <c r="V338" s="4" t="s">
        <v>1421</v>
      </c>
      <c r="W338">
        <v>337</v>
      </c>
      <c r="Y338">
        <f t="shared" si="20"/>
        <v>0</v>
      </c>
      <c r="Z338">
        <f t="shared" si="21"/>
        <v>0</v>
      </c>
    </row>
    <row r="339" spans="1:26" x14ac:dyDescent="0.25">
      <c r="A339" s="4">
        <v>1045</v>
      </c>
      <c r="B339" t="s">
        <v>26</v>
      </c>
      <c r="C339">
        <v>2</v>
      </c>
      <c r="D339">
        <v>1</v>
      </c>
      <c r="E339">
        <v>2</v>
      </c>
      <c r="F339" t="s">
        <v>14</v>
      </c>
      <c r="G339">
        <v>5.15</v>
      </c>
      <c r="I339">
        <v>4</v>
      </c>
      <c r="J339" t="s">
        <v>18</v>
      </c>
      <c r="K339" t="str">
        <f t="shared" si="18"/>
        <v/>
      </c>
      <c r="L339" t="s">
        <v>16</v>
      </c>
      <c r="M339">
        <v>6</v>
      </c>
      <c r="T339">
        <f t="shared" si="19"/>
        <v>20</v>
      </c>
      <c r="U339" t="s">
        <v>1447</v>
      </c>
      <c r="V339" s="4" t="s">
        <v>1421</v>
      </c>
      <c r="W339">
        <v>338</v>
      </c>
      <c r="Y339">
        <f t="shared" si="20"/>
        <v>0</v>
      </c>
      <c r="Z339">
        <f t="shared" si="21"/>
        <v>0</v>
      </c>
    </row>
    <row r="340" spans="1:26" x14ac:dyDescent="0.25">
      <c r="A340" s="4">
        <v>1045</v>
      </c>
      <c r="B340" t="s">
        <v>26</v>
      </c>
      <c r="C340">
        <v>2</v>
      </c>
      <c r="D340">
        <v>1</v>
      </c>
      <c r="E340">
        <v>10</v>
      </c>
      <c r="F340" t="s">
        <v>14</v>
      </c>
      <c r="G340">
        <v>5.8</v>
      </c>
      <c r="I340">
        <v>5</v>
      </c>
      <c r="J340" t="s">
        <v>24</v>
      </c>
      <c r="K340" t="str">
        <f t="shared" si="18"/>
        <v/>
      </c>
      <c r="L340" t="s">
        <v>16</v>
      </c>
      <c r="M340">
        <v>4</v>
      </c>
      <c r="T340">
        <f t="shared" si="19"/>
        <v>20</v>
      </c>
      <c r="U340" t="s">
        <v>1450</v>
      </c>
      <c r="V340" s="4" t="s">
        <v>1421</v>
      </c>
      <c r="W340">
        <v>339</v>
      </c>
      <c r="Y340">
        <f t="shared" si="20"/>
        <v>0</v>
      </c>
      <c r="Z340">
        <f t="shared" si="21"/>
        <v>0</v>
      </c>
    </row>
    <row r="341" spans="1:26" x14ac:dyDescent="0.25">
      <c r="A341" s="4">
        <v>1045</v>
      </c>
      <c r="B341" t="s">
        <v>26</v>
      </c>
      <c r="C341">
        <v>2</v>
      </c>
      <c r="D341">
        <v>1</v>
      </c>
      <c r="E341">
        <v>9</v>
      </c>
      <c r="F341" t="s">
        <v>14</v>
      </c>
      <c r="G341">
        <v>5.8</v>
      </c>
      <c r="I341">
        <v>5</v>
      </c>
      <c r="J341" t="s">
        <v>24</v>
      </c>
      <c r="K341" t="str">
        <f t="shared" si="18"/>
        <v/>
      </c>
      <c r="L341" t="s">
        <v>16</v>
      </c>
      <c r="M341">
        <v>4</v>
      </c>
      <c r="T341">
        <f t="shared" si="19"/>
        <v>20</v>
      </c>
      <c r="U341" t="s">
        <v>1453</v>
      </c>
      <c r="V341" s="4" t="s">
        <v>1421</v>
      </c>
      <c r="W341">
        <v>340</v>
      </c>
      <c r="Y341">
        <f t="shared" si="20"/>
        <v>0</v>
      </c>
      <c r="Z341">
        <f t="shared" si="21"/>
        <v>0</v>
      </c>
    </row>
    <row r="342" spans="1:26" x14ac:dyDescent="0.25">
      <c r="A342" s="4">
        <v>1045</v>
      </c>
      <c r="B342" t="s">
        <v>26</v>
      </c>
      <c r="C342">
        <v>2</v>
      </c>
      <c r="D342">
        <v>1</v>
      </c>
      <c r="E342">
        <v>8</v>
      </c>
      <c r="F342" t="s">
        <v>14</v>
      </c>
      <c r="G342">
        <v>5.8</v>
      </c>
      <c r="I342">
        <v>5</v>
      </c>
      <c r="J342" t="s">
        <v>24</v>
      </c>
      <c r="K342" t="str">
        <f t="shared" si="18"/>
        <v/>
      </c>
      <c r="L342" t="s">
        <v>16</v>
      </c>
      <c r="M342">
        <v>4</v>
      </c>
      <c r="T342">
        <f t="shared" si="19"/>
        <v>20</v>
      </c>
      <c r="U342" t="s">
        <v>1456</v>
      </c>
      <c r="V342" s="4" t="s">
        <v>1421</v>
      </c>
      <c r="W342">
        <v>341</v>
      </c>
      <c r="Y342">
        <f t="shared" si="20"/>
        <v>0</v>
      </c>
      <c r="Z342">
        <f t="shared" si="21"/>
        <v>0</v>
      </c>
    </row>
    <row r="343" spans="1:26" x14ac:dyDescent="0.25">
      <c r="A343" s="4">
        <v>1045</v>
      </c>
      <c r="B343" t="s">
        <v>26</v>
      </c>
      <c r="C343">
        <v>2</v>
      </c>
      <c r="D343">
        <v>1</v>
      </c>
      <c r="E343">
        <v>7</v>
      </c>
      <c r="F343" t="s">
        <v>14</v>
      </c>
      <c r="G343">
        <v>5.8</v>
      </c>
      <c r="I343">
        <v>5</v>
      </c>
      <c r="J343" t="s">
        <v>24</v>
      </c>
      <c r="K343" t="str">
        <f t="shared" si="18"/>
        <v/>
      </c>
      <c r="L343" t="s">
        <v>16</v>
      </c>
      <c r="M343">
        <v>4</v>
      </c>
      <c r="T343">
        <f t="shared" si="19"/>
        <v>20</v>
      </c>
      <c r="U343" t="s">
        <v>1458</v>
      </c>
      <c r="V343" s="4" t="s">
        <v>1459</v>
      </c>
      <c r="W343">
        <v>342</v>
      </c>
      <c r="Y343">
        <f t="shared" si="20"/>
        <v>0</v>
      </c>
      <c r="Z343">
        <f t="shared" si="21"/>
        <v>0</v>
      </c>
    </row>
    <row r="344" spans="1:26" x14ac:dyDescent="0.25">
      <c r="A344" s="4">
        <v>1045</v>
      </c>
      <c r="B344" t="s">
        <v>26</v>
      </c>
      <c r="C344">
        <v>2</v>
      </c>
      <c r="D344">
        <v>1</v>
      </c>
      <c r="E344">
        <v>6</v>
      </c>
      <c r="F344" t="s">
        <v>14</v>
      </c>
      <c r="G344">
        <v>5.8</v>
      </c>
      <c r="I344">
        <v>5</v>
      </c>
      <c r="J344" t="s">
        <v>24</v>
      </c>
      <c r="K344" t="str">
        <f t="shared" si="18"/>
        <v/>
      </c>
      <c r="L344" t="s">
        <v>16</v>
      </c>
      <c r="M344">
        <v>4</v>
      </c>
      <c r="T344">
        <f t="shared" si="19"/>
        <v>20</v>
      </c>
      <c r="U344" t="s">
        <v>1468</v>
      </c>
      <c r="V344" s="4" t="s">
        <v>1459</v>
      </c>
      <c r="W344">
        <v>343</v>
      </c>
      <c r="Y344">
        <f t="shared" si="20"/>
        <v>0</v>
      </c>
      <c r="Z344">
        <f t="shared" si="21"/>
        <v>0</v>
      </c>
    </row>
    <row r="345" spans="1:26" x14ac:dyDescent="0.25">
      <c r="A345" s="4">
        <v>1045</v>
      </c>
      <c r="B345" t="s">
        <v>26</v>
      </c>
      <c r="C345">
        <v>2</v>
      </c>
      <c r="D345">
        <v>1</v>
      </c>
      <c r="E345">
        <v>10</v>
      </c>
      <c r="F345" t="s">
        <v>14</v>
      </c>
      <c r="G345">
        <v>5.8</v>
      </c>
      <c r="I345">
        <v>5</v>
      </c>
      <c r="J345" t="s">
        <v>15</v>
      </c>
      <c r="K345" t="str">
        <f t="shared" si="18"/>
        <v/>
      </c>
      <c r="L345" t="s">
        <v>16</v>
      </c>
      <c r="M345">
        <v>4</v>
      </c>
      <c r="T345">
        <f t="shared" si="19"/>
        <v>20</v>
      </c>
      <c r="U345" t="s">
        <v>1471</v>
      </c>
      <c r="V345" s="4" t="s">
        <v>1459</v>
      </c>
      <c r="W345">
        <v>344</v>
      </c>
      <c r="Y345">
        <f t="shared" si="20"/>
        <v>0</v>
      </c>
      <c r="Z345">
        <f t="shared" si="21"/>
        <v>0</v>
      </c>
    </row>
    <row r="346" spans="1:26" x14ac:dyDescent="0.25">
      <c r="A346" s="4">
        <v>1045</v>
      </c>
      <c r="B346" t="s">
        <v>26</v>
      </c>
      <c r="C346">
        <v>2</v>
      </c>
      <c r="D346">
        <v>1</v>
      </c>
      <c r="E346">
        <v>9</v>
      </c>
      <c r="F346" t="s">
        <v>14</v>
      </c>
      <c r="G346">
        <v>5.8</v>
      </c>
      <c r="I346">
        <v>5</v>
      </c>
      <c r="J346" t="s">
        <v>15</v>
      </c>
      <c r="K346" t="str">
        <f t="shared" si="18"/>
        <v/>
      </c>
      <c r="L346" t="s">
        <v>16</v>
      </c>
      <c r="M346">
        <v>4</v>
      </c>
      <c r="T346">
        <f t="shared" si="19"/>
        <v>20</v>
      </c>
      <c r="U346" t="s">
        <v>1476</v>
      </c>
      <c r="V346" s="4" t="s">
        <v>1459</v>
      </c>
      <c r="W346">
        <v>345</v>
      </c>
      <c r="Y346">
        <f t="shared" si="20"/>
        <v>0</v>
      </c>
      <c r="Z346">
        <f t="shared" si="21"/>
        <v>0</v>
      </c>
    </row>
    <row r="347" spans="1:26" x14ac:dyDescent="0.25">
      <c r="A347" s="4">
        <v>1045</v>
      </c>
      <c r="B347" t="s">
        <v>26</v>
      </c>
      <c r="C347">
        <v>2</v>
      </c>
      <c r="D347">
        <v>1</v>
      </c>
      <c r="E347">
        <v>8</v>
      </c>
      <c r="F347" t="s">
        <v>14</v>
      </c>
      <c r="G347">
        <v>5.8</v>
      </c>
      <c r="I347">
        <v>5</v>
      </c>
      <c r="J347" t="s">
        <v>15</v>
      </c>
      <c r="K347" t="str">
        <f t="shared" si="18"/>
        <v/>
      </c>
      <c r="L347" t="s">
        <v>16</v>
      </c>
      <c r="M347">
        <v>4</v>
      </c>
      <c r="T347">
        <f t="shared" si="19"/>
        <v>20</v>
      </c>
      <c r="U347" t="s">
        <v>1480</v>
      </c>
      <c r="V347" s="4" t="s">
        <v>1481</v>
      </c>
      <c r="W347">
        <v>346</v>
      </c>
      <c r="Y347">
        <f t="shared" si="20"/>
        <v>0</v>
      </c>
      <c r="Z347">
        <f t="shared" si="21"/>
        <v>0</v>
      </c>
    </row>
    <row r="348" spans="1:26" x14ac:dyDescent="0.25">
      <c r="A348" s="4">
        <v>1045</v>
      </c>
      <c r="B348" t="s">
        <v>26</v>
      </c>
      <c r="C348">
        <v>2</v>
      </c>
      <c r="D348">
        <v>1</v>
      </c>
      <c r="E348">
        <v>7</v>
      </c>
      <c r="F348" t="s">
        <v>14</v>
      </c>
      <c r="G348">
        <v>5.8</v>
      </c>
      <c r="I348">
        <v>5</v>
      </c>
      <c r="J348" t="s">
        <v>15</v>
      </c>
      <c r="K348" t="str">
        <f t="shared" si="18"/>
        <v/>
      </c>
      <c r="L348" t="s">
        <v>16</v>
      </c>
      <c r="M348">
        <v>4</v>
      </c>
      <c r="T348">
        <f t="shared" si="19"/>
        <v>20</v>
      </c>
      <c r="U348" t="s">
        <v>1486</v>
      </c>
      <c r="V348" s="4" t="s">
        <v>1481</v>
      </c>
      <c r="W348">
        <v>347</v>
      </c>
      <c r="Y348">
        <f t="shared" si="20"/>
        <v>0</v>
      </c>
      <c r="Z348">
        <f t="shared" si="21"/>
        <v>0</v>
      </c>
    </row>
    <row r="349" spans="1:26" x14ac:dyDescent="0.25">
      <c r="A349" s="4">
        <v>1045</v>
      </c>
      <c r="B349" t="s">
        <v>26</v>
      </c>
      <c r="C349">
        <v>2</v>
      </c>
      <c r="D349">
        <v>1</v>
      </c>
      <c r="E349">
        <v>6</v>
      </c>
      <c r="F349" t="s">
        <v>14</v>
      </c>
      <c r="G349">
        <v>5.8</v>
      </c>
      <c r="I349">
        <v>5</v>
      </c>
      <c r="J349" t="s">
        <v>15</v>
      </c>
      <c r="K349" t="str">
        <f t="shared" si="18"/>
        <v/>
      </c>
      <c r="L349" t="s">
        <v>16</v>
      </c>
      <c r="M349">
        <v>4</v>
      </c>
      <c r="T349">
        <f t="shared" si="19"/>
        <v>20</v>
      </c>
      <c r="U349" t="s">
        <v>1488</v>
      </c>
      <c r="V349" s="4" t="s">
        <v>1481</v>
      </c>
      <c r="W349">
        <v>348</v>
      </c>
      <c r="Y349">
        <f t="shared" si="20"/>
        <v>0</v>
      </c>
      <c r="Z349">
        <f t="shared" si="21"/>
        <v>0</v>
      </c>
    </row>
    <row r="350" spans="1:26" x14ac:dyDescent="0.25">
      <c r="A350" s="4">
        <v>1045</v>
      </c>
      <c r="B350" t="s">
        <v>26</v>
      </c>
      <c r="C350">
        <v>2</v>
      </c>
      <c r="D350">
        <v>1</v>
      </c>
      <c r="E350">
        <v>10</v>
      </c>
      <c r="F350" t="s">
        <v>14</v>
      </c>
      <c r="G350">
        <v>5.8</v>
      </c>
      <c r="I350">
        <v>5</v>
      </c>
      <c r="J350" t="s">
        <v>18</v>
      </c>
      <c r="K350" t="str">
        <f t="shared" si="18"/>
        <v/>
      </c>
      <c r="L350" t="s">
        <v>16</v>
      </c>
      <c r="M350">
        <v>3</v>
      </c>
      <c r="T350">
        <f t="shared" si="19"/>
        <v>20</v>
      </c>
      <c r="U350" t="s">
        <v>1490</v>
      </c>
      <c r="V350" s="4" t="s">
        <v>1491</v>
      </c>
      <c r="W350">
        <v>349</v>
      </c>
      <c r="Y350">
        <f t="shared" si="20"/>
        <v>0</v>
      </c>
      <c r="Z350">
        <f t="shared" si="21"/>
        <v>0</v>
      </c>
    </row>
    <row r="351" spans="1:26" x14ac:dyDescent="0.25">
      <c r="A351" s="4">
        <v>1045</v>
      </c>
      <c r="B351" t="s">
        <v>26</v>
      </c>
      <c r="C351">
        <v>2</v>
      </c>
      <c r="D351">
        <v>1</v>
      </c>
      <c r="E351">
        <v>9</v>
      </c>
      <c r="F351" t="s">
        <v>14</v>
      </c>
      <c r="G351">
        <v>5.8</v>
      </c>
      <c r="I351">
        <v>5</v>
      </c>
      <c r="J351" t="s">
        <v>18</v>
      </c>
      <c r="K351" t="str">
        <f t="shared" si="18"/>
        <v/>
      </c>
      <c r="L351" t="s">
        <v>16</v>
      </c>
      <c r="M351">
        <v>3</v>
      </c>
      <c r="T351">
        <f t="shared" si="19"/>
        <v>20</v>
      </c>
      <c r="U351" t="s">
        <v>1499</v>
      </c>
      <c r="V351" s="4" t="s">
        <v>1491</v>
      </c>
      <c r="W351">
        <v>350</v>
      </c>
      <c r="Y351">
        <f t="shared" si="20"/>
        <v>0</v>
      </c>
      <c r="Z351">
        <f t="shared" si="21"/>
        <v>0</v>
      </c>
    </row>
    <row r="352" spans="1:26" x14ac:dyDescent="0.25">
      <c r="A352" s="4">
        <v>1045</v>
      </c>
      <c r="B352" t="s">
        <v>26</v>
      </c>
      <c r="C352">
        <v>2</v>
      </c>
      <c r="D352">
        <v>1</v>
      </c>
      <c r="E352">
        <v>8</v>
      </c>
      <c r="F352" t="s">
        <v>14</v>
      </c>
      <c r="G352">
        <v>5.8</v>
      </c>
      <c r="I352">
        <v>5</v>
      </c>
      <c r="J352" t="s">
        <v>18</v>
      </c>
      <c r="K352" t="str">
        <f t="shared" si="18"/>
        <v/>
      </c>
      <c r="L352" t="s">
        <v>16</v>
      </c>
      <c r="M352">
        <v>3</v>
      </c>
      <c r="T352">
        <f t="shared" si="19"/>
        <v>20</v>
      </c>
      <c r="U352" t="s">
        <v>1501</v>
      </c>
      <c r="V352" s="4" t="s">
        <v>1491</v>
      </c>
      <c r="W352">
        <v>351</v>
      </c>
      <c r="Y352">
        <f t="shared" si="20"/>
        <v>0</v>
      </c>
      <c r="Z352">
        <f t="shared" si="21"/>
        <v>0</v>
      </c>
    </row>
    <row r="353" spans="1:26" x14ac:dyDescent="0.25">
      <c r="A353" s="4">
        <v>1045</v>
      </c>
      <c r="B353" t="s">
        <v>26</v>
      </c>
      <c r="C353">
        <v>2</v>
      </c>
      <c r="D353">
        <v>1</v>
      </c>
      <c r="E353">
        <v>7</v>
      </c>
      <c r="F353" t="s">
        <v>14</v>
      </c>
      <c r="G353">
        <v>5.8</v>
      </c>
      <c r="I353">
        <v>5</v>
      </c>
      <c r="J353" t="s">
        <v>18</v>
      </c>
      <c r="K353" t="str">
        <f t="shared" si="18"/>
        <v/>
      </c>
      <c r="L353" t="s">
        <v>16</v>
      </c>
      <c r="M353">
        <v>3</v>
      </c>
      <c r="T353">
        <f t="shared" si="19"/>
        <v>20</v>
      </c>
      <c r="U353" t="s">
        <v>1504</v>
      </c>
      <c r="V353" s="4" t="s">
        <v>1491</v>
      </c>
      <c r="W353">
        <v>352</v>
      </c>
      <c r="Y353">
        <f t="shared" si="20"/>
        <v>0</v>
      </c>
      <c r="Z353">
        <f t="shared" si="21"/>
        <v>0</v>
      </c>
    </row>
    <row r="354" spans="1:26" x14ac:dyDescent="0.25">
      <c r="A354" s="4">
        <v>1045</v>
      </c>
      <c r="B354" t="s">
        <v>26</v>
      </c>
      <c r="C354">
        <v>2</v>
      </c>
      <c r="D354">
        <v>1</v>
      </c>
      <c r="E354">
        <v>6</v>
      </c>
      <c r="F354" t="s">
        <v>14</v>
      </c>
      <c r="G354">
        <v>5.8</v>
      </c>
      <c r="I354">
        <v>5</v>
      </c>
      <c r="J354" t="s">
        <v>18</v>
      </c>
      <c r="K354" t="str">
        <f t="shared" si="18"/>
        <v/>
      </c>
      <c r="L354" t="s">
        <v>16</v>
      </c>
      <c r="M354">
        <v>3</v>
      </c>
      <c r="T354">
        <f t="shared" si="19"/>
        <v>20</v>
      </c>
      <c r="U354" t="s">
        <v>1506</v>
      </c>
      <c r="V354" s="4" t="s">
        <v>1507</v>
      </c>
      <c r="W354">
        <v>353</v>
      </c>
      <c r="Y354">
        <f t="shared" si="20"/>
        <v>0</v>
      </c>
      <c r="Z354">
        <f t="shared" si="21"/>
        <v>0</v>
      </c>
    </row>
    <row r="355" spans="1:26" x14ac:dyDescent="0.25">
      <c r="A355" s="4">
        <v>1049</v>
      </c>
      <c r="B355" t="s">
        <v>13</v>
      </c>
      <c r="C355">
        <v>2</v>
      </c>
      <c r="D355">
        <v>1</v>
      </c>
      <c r="E355">
        <v>4</v>
      </c>
      <c r="F355" t="s">
        <v>14</v>
      </c>
      <c r="G355">
        <v>4</v>
      </c>
      <c r="I355">
        <v>4</v>
      </c>
      <c r="J355" t="s">
        <v>17</v>
      </c>
      <c r="K355" t="str">
        <f t="shared" si="18"/>
        <v/>
      </c>
      <c r="L355" t="s">
        <v>16</v>
      </c>
      <c r="M355">
        <v>5</v>
      </c>
      <c r="T355">
        <f t="shared" si="19"/>
        <v>20</v>
      </c>
      <c r="U355" t="s">
        <v>1515</v>
      </c>
      <c r="V355" s="4" t="s">
        <v>1507</v>
      </c>
      <c r="W355">
        <v>354</v>
      </c>
      <c r="Y355">
        <f t="shared" si="20"/>
        <v>0</v>
      </c>
      <c r="Z355">
        <f t="shared" si="21"/>
        <v>0</v>
      </c>
    </row>
    <row r="356" spans="1:26" x14ac:dyDescent="0.25">
      <c r="A356" s="4">
        <v>1049</v>
      </c>
      <c r="B356" t="s">
        <v>13</v>
      </c>
      <c r="C356">
        <v>2</v>
      </c>
      <c r="D356">
        <v>1</v>
      </c>
      <c r="E356">
        <v>3</v>
      </c>
      <c r="F356" t="s">
        <v>14</v>
      </c>
      <c r="G356">
        <v>4</v>
      </c>
      <c r="I356">
        <v>4</v>
      </c>
      <c r="J356" t="s">
        <v>17</v>
      </c>
      <c r="K356" t="str">
        <f t="shared" si="18"/>
        <v/>
      </c>
      <c r="L356" t="s">
        <v>16</v>
      </c>
      <c r="M356">
        <v>5</v>
      </c>
      <c r="T356">
        <f t="shared" si="19"/>
        <v>20</v>
      </c>
      <c r="U356" t="s">
        <v>1518</v>
      </c>
      <c r="V356" s="4" t="s">
        <v>1507</v>
      </c>
      <c r="W356">
        <v>355</v>
      </c>
      <c r="Y356">
        <f t="shared" si="20"/>
        <v>0</v>
      </c>
      <c r="Z356">
        <f t="shared" si="21"/>
        <v>0</v>
      </c>
    </row>
    <row r="357" spans="1:26" x14ac:dyDescent="0.25">
      <c r="A357" s="4">
        <v>1049</v>
      </c>
      <c r="B357" t="s">
        <v>13</v>
      </c>
      <c r="C357">
        <v>2</v>
      </c>
      <c r="D357">
        <v>1</v>
      </c>
      <c r="E357">
        <v>2</v>
      </c>
      <c r="F357" t="s">
        <v>14</v>
      </c>
      <c r="G357">
        <v>4</v>
      </c>
      <c r="I357">
        <v>4</v>
      </c>
      <c r="J357" t="s">
        <v>17</v>
      </c>
      <c r="K357" t="str">
        <f t="shared" si="18"/>
        <v/>
      </c>
      <c r="L357" t="s">
        <v>16</v>
      </c>
      <c r="M357">
        <v>5</v>
      </c>
      <c r="T357">
        <f t="shared" si="19"/>
        <v>20</v>
      </c>
      <c r="U357" t="s">
        <v>1521</v>
      </c>
      <c r="V357" s="4" t="s">
        <v>1019</v>
      </c>
      <c r="W357">
        <v>356</v>
      </c>
      <c r="Y357">
        <f t="shared" si="20"/>
        <v>0</v>
      </c>
      <c r="Z357">
        <f t="shared" si="21"/>
        <v>0</v>
      </c>
    </row>
    <row r="358" spans="1:26" x14ac:dyDescent="0.25">
      <c r="A358" s="4">
        <v>1049</v>
      </c>
      <c r="B358" t="s">
        <v>13</v>
      </c>
      <c r="C358">
        <v>2</v>
      </c>
      <c r="D358">
        <v>1</v>
      </c>
      <c r="E358">
        <v>1</v>
      </c>
      <c r="F358" t="s">
        <v>14</v>
      </c>
      <c r="G358">
        <v>4</v>
      </c>
      <c r="I358">
        <v>4</v>
      </c>
      <c r="J358" t="s">
        <v>17</v>
      </c>
      <c r="K358" t="str">
        <f t="shared" si="18"/>
        <v/>
      </c>
      <c r="L358" t="s">
        <v>16</v>
      </c>
      <c r="M358">
        <v>5</v>
      </c>
      <c r="T358">
        <f t="shared" si="19"/>
        <v>20</v>
      </c>
      <c r="U358" t="s">
        <v>1527</v>
      </c>
      <c r="V358" s="4" t="s">
        <v>1019</v>
      </c>
      <c r="W358">
        <v>357</v>
      </c>
      <c r="Y358">
        <f t="shared" si="20"/>
        <v>0</v>
      </c>
      <c r="Z358">
        <f t="shared" si="21"/>
        <v>0</v>
      </c>
    </row>
    <row r="359" spans="1:26" x14ac:dyDescent="0.25">
      <c r="A359" s="4">
        <v>1049</v>
      </c>
      <c r="B359" t="s">
        <v>13</v>
      </c>
      <c r="C359">
        <v>2</v>
      </c>
      <c r="D359">
        <v>1</v>
      </c>
      <c r="E359">
        <v>4</v>
      </c>
      <c r="F359" t="s">
        <v>14</v>
      </c>
      <c r="G359">
        <v>4</v>
      </c>
      <c r="I359">
        <v>4</v>
      </c>
      <c r="J359" t="s">
        <v>15</v>
      </c>
      <c r="K359" t="str">
        <f t="shared" si="18"/>
        <v/>
      </c>
      <c r="L359" t="s">
        <v>16</v>
      </c>
      <c r="M359">
        <v>6</v>
      </c>
      <c r="T359">
        <f t="shared" si="19"/>
        <v>20</v>
      </c>
      <c r="U359" t="s">
        <v>1529</v>
      </c>
      <c r="V359" s="4" t="s">
        <v>1019</v>
      </c>
      <c r="W359">
        <v>358</v>
      </c>
      <c r="Y359">
        <f t="shared" si="20"/>
        <v>0</v>
      </c>
      <c r="Z359">
        <f t="shared" si="21"/>
        <v>0</v>
      </c>
    </row>
    <row r="360" spans="1:26" x14ac:dyDescent="0.25">
      <c r="A360" s="4">
        <v>1049</v>
      </c>
      <c r="B360" t="s">
        <v>13</v>
      </c>
      <c r="C360">
        <v>2</v>
      </c>
      <c r="D360">
        <v>1</v>
      </c>
      <c r="E360">
        <v>3</v>
      </c>
      <c r="F360" t="s">
        <v>14</v>
      </c>
      <c r="G360">
        <v>4</v>
      </c>
      <c r="I360">
        <v>4</v>
      </c>
      <c r="J360" t="s">
        <v>15</v>
      </c>
      <c r="K360" t="str">
        <f t="shared" si="18"/>
        <v/>
      </c>
      <c r="L360" t="s">
        <v>16</v>
      </c>
      <c r="M360">
        <v>6</v>
      </c>
      <c r="T360">
        <f t="shared" si="19"/>
        <v>20</v>
      </c>
      <c r="U360" t="s">
        <v>1534</v>
      </c>
      <c r="V360" s="4" t="s">
        <v>1000</v>
      </c>
      <c r="W360">
        <v>359</v>
      </c>
      <c r="Y360">
        <f t="shared" si="20"/>
        <v>0</v>
      </c>
      <c r="Z360">
        <f t="shared" si="21"/>
        <v>0</v>
      </c>
    </row>
    <row r="361" spans="1:26" x14ac:dyDescent="0.25">
      <c r="A361" s="4">
        <v>1049</v>
      </c>
      <c r="B361" t="s">
        <v>13</v>
      </c>
      <c r="C361">
        <v>2</v>
      </c>
      <c r="D361">
        <v>1</v>
      </c>
      <c r="E361">
        <v>2</v>
      </c>
      <c r="F361" t="s">
        <v>14</v>
      </c>
      <c r="G361">
        <v>4</v>
      </c>
      <c r="I361">
        <v>4</v>
      </c>
      <c r="J361" t="s">
        <v>15</v>
      </c>
      <c r="K361" t="str">
        <f t="shared" si="18"/>
        <v/>
      </c>
      <c r="L361" t="s">
        <v>16</v>
      </c>
      <c r="M361">
        <v>6</v>
      </c>
      <c r="T361">
        <f t="shared" si="19"/>
        <v>20</v>
      </c>
      <c r="U361" t="s">
        <v>1541</v>
      </c>
      <c r="V361" s="4" t="s">
        <v>1000</v>
      </c>
      <c r="W361">
        <v>360</v>
      </c>
      <c r="Y361">
        <f t="shared" si="20"/>
        <v>0</v>
      </c>
      <c r="Z361">
        <f t="shared" si="21"/>
        <v>0</v>
      </c>
    </row>
    <row r="362" spans="1:26" x14ac:dyDescent="0.25">
      <c r="A362" s="4">
        <v>1049</v>
      </c>
      <c r="B362" t="s">
        <v>13</v>
      </c>
      <c r="C362">
        <v>2</v>
      </c>
      <c r="D362">
        <v>1</v>
      </c>
      <c r="E362">
        <v>1</v>
      </c>
      <c r="F362" t="s">
        <v>14</v>
      </c>
      <c r="G362">
        <v>4</v>
      </c>
      <c r="I362">
        <v>4</v>
      </c>
      <c r="J362" t="s">
        <v>15</v>
      </c>
      <c r="K362" t="str">
        <f t="shared" si="18"/>
        <v/>
      </c>
      <c r="L362" t="s">
        <v>16</v>
      </c>
      <c r="M362">
        <v>6</v>
      </c>
      <c r="T362">
        <f t="shared" si="19"/>
        <v>20</v>
      </c>
      <c r="U362" t="s">
        <v>1543</v>
      </c>
      <c r="V362" s="4" t="s">
        <v>1000</v>
      </c>
      <c r="W362">
        <v>361</v>
      </c>
      <c r="Y362">
        <f t="shared" si="20"/>
        <v>0</v>
      </c>
      <c r="Z362">
        <f t="shared" si="21"/>
        <v>0</v>
      </c>
    </row>
    <row r="363" spans="1:26" x14ac:dyDescent="0.25">
      <c r="A363" s="4">
        <v>1049</v>
      </c>
      <c r="B363" t="s">
        <v>13</v>
      </c>
      <c r="C363">
        <v>2</v>
      </c>
      <c r="D363">
        <v>1</v>
      </c>
      <c r="E363">
        <v>4</v>
      </c>
      <c r="F363" t="s">
        <v>14</v>
      </c>
      <c r="G363">
        <v>4</v>
      </c>
      <c r="I363">
        <v>4</v>
      </c>
      <c r="J363" t="s">
        <v>18</v>
      </c>
      <c r="K363" t="str">
        <f t="shared" si="18"/>
        <v/>
      </c>
      <c r="L363" t="s">
        <v>16</v>
      </c>
      <c r="M363">
        <v>5</v>
      </c>
      <c r="T363">
        <f t="shared" si="19"/>
        <v>20</v>
      </c>
      <c r="U363" t="s">
        <v>1546</v>
      </c>
      <c r="V363" s="4" t="s">
        <v>1547</v>
      </c>
      <c r="W363">
        <v>362</v>
      </c>
      <c r="Y363">
        <f t="shared" si="20"/>
        <v>0</v>
      </c>
      <c r="Z363">
        <f t="shared" si="21"/>
        <v>0</v>
      </c>
    </row>
    <row r="364" spans="1:26" x14ac:dyDescent="0.25">
      <c r="A364" s="4">
        <v>1049</v>
      </c>
      <c r="B364" t="s">
        <v>13</v>
      </c>
      <c r="C364">
        <v>2</v>
      </c>
      <c r="D364">
        <v>1</v>
      </c>
      <c r="E364">
        <v>3</v>
      </c>
      <c r="F364" t="s">
        <v>14</v>
      </c>
      <c r="G364">
        <v>4</v>
      </c>
      <c r="I364">
        <v>4</v>
      </c>
      <c r="J364" t="s">
        <v>18</v>
      </c>
      <c r="K364" t="str">
        <f t="shared" si="18"/>
        <v/>
      </c>
      <c r="L364" t="s">
        <v>16</v>
      </c>
      <c r="M364">
        <v>5</v>
      </c>
      <c r="T364">
        <f t="shared" si="19"/>
        <v>20</v>
      </c>
      <c r="U364" t="s">
        <v>1553</v>
      </c>
      <c r="V364" s="4" t="s">
        <v>1547</v>
      </c>
      <c r="W364">
        <v>363</v>
      </c>
      <c r="Y364">
        <f t="shared" si="20"/>
        <v>0</v>
      </c>
      <c r="Z364">
        <f t="shared" si="21"/>
        <v>0</v>
      </c>
    </row>
    <row r="365" spans="1:26" x14ac:dyDescent="0.25">
      <c r="A365" s="4">
        <v>1049</v>
      </c>
      <c r="B365" t="s">
        <v>13</v>
      </c>
      <c r="C365">
        <v>2</v>
      </c>
      <c r="D365">
        <v>1</v>
      </c>
      <c r="E365">
        <v>2</v>
      </c>
      <c r="F365" t="s">
        <v>14</v>
      </c>
      <c r="G365">
        <v>4</v>
      </c>
      <c r="I365">
        <v>4</v>
      </c>
      <c r="J365" t="s">
        <v>18</v>
      </c>
      <c r="K365" t="str">
        <f t="shared" si="18"/>
        <v/>
      </c>
      <c r="L365" t="s">
        <v>16</v>
      </c>
      <c r="M365">
        <v>5</v>
      </c>
      <c r="T365">
        <f t="shared" si="19"/>
        <v>20</v>
      </c>
      <c r="U365" t="s">
        <v>1556</v>
      </c>
      <c r="V365" s="4" t="s">
        <v>1547</v>
      </c>
      <c r="W365">
        <v>364</v>
      </c>
      <c r="Y365">
        <f t="shared" si="20"/>
        <v>0</v>
      </c>
      <c r="Z365">
        <f t="shared" si="21"/>
        <v>0</v>
      </c>
    </row>
    <row r="366" spans="1:26" x14ac:dyDescent="0.25">
      <c r="A366" s="4">
        <v>1049</v>
      </c>
      <c r="B366" t="s">
        <v>13</v>
      </c>
      <c r="C366">
        <v>2</v>
      </c>
      <c r="D366">
        <v>1</v>
      </c>
      <c r="E366">
        <v>1</v>
      </c>
      <c r="F366" t="s">
        <v>14</v>
      </c>
      <c r="G366">
        <v>4</v>
      </c>
      <c r="I366">
        <v>4</v>
      </c>
      <c r="J366" t="s">
        <v>18</v>
      </c>
      <c r="K366" t="str">
        <f t="shared" si="18"/>
        <v/>
      </c>
      <c r="L366" t="s">
        <v>16</v>
      </c>
      <c r="M366">
        <v>5</v>
      </c>
      <c r="T366">
        <f t="shared" si="19"/>
        <v>20</v>
      </c>
      <c r="U366" t="s">
        <v>1558</v>
      </c>
      <c r="V366" s="4" t="s">
        <v>1022</v>
      </c>
      <c r="W366">
        <v>365</v>
      </c>
      <c r="Y366">
        <f t="shared" si="20"/>
        <v>0</v>
      </c>
      <c r="Z366">
        <f t="shared" si="21"/>
        <v>0</v>
      </c>
    </row>
    <row r="367" spans="1:26" x14ac:dyDescent="0.25">
      <c r="A367" s="4">
        <v>1049</v>
      </c>
      <c r="B367" t="s">
        <v>13</v>
      </c>
      <c r="C367">
        <v>2</v>
      </c>
      <c r="D367">
        <v>1</v>
      </c>
      <c r="E367">
        <v>8</v>
      </c>
      <c r="F367" t="s">
        <v>14</v>
      </c>
      <c r="G367">
        <v>4.5</v>
      </c>
      <c r="I367">
        <v>4</v>
      </c>
      <c r="J367" t="s">
        <v>17</v>
      </c>
      <c r="K367" t="str">
        <f t="shared" si="18"/>
        <v/>
      </c>
      <c r="L367" t="s">
        <v>16</v>
      </c>
      <c r="M367">
        <v>5</v>
      </c>
      <c r="T367">
        <f t="shared" si="19"/>
        <v>20</v>
      </c>
      <c r="U367" t="s">
        <v>1564</v>
      </c>
      <c r="V367" s="4" t="s">
        <v>1022</v>
      </c>
      <c r="W367">
        <v>366</v>
      </c>
      <c r="Y367">
        <f t="shared" si="20"/>
        <v>0</v>
      </c>
      <c r="Z367">
        <f t="shared" si="21"/>
        <v>0</v>
      </c>
    </row>
    <row r="368" spans="1:26" x14ac:dyDescent="0.25">
      <c r="A368" s="4">
        <v>1049</v>
      </c>
      <c r="B368" t="s">
        <v>13</v>
      </c>
      <c r="C368">
        <v>2</v>
      </c>
      <c r="D368">
        <v>1</v>
      </c>
      <c r="E368">
        <v>7</v>
      </c>
      <c r="F368" t="s">
        <v>14</v>
      </c>
      <c r="G368">
        <v>4.5</v>
      </c>
      <c r="I368">
        <v>4</v>
      </c>
      <c r="J368" t="s">
        <v>17</v>
      </c>
      <c r="K368" t="str">
        <f t="shared" si="18"/>
        <v/>
      </c>
      <c r="L368" t="s">
        <v>16</v>
      </c>
      <c r="M368">
        <v>5</v>
      </c>
      <c r="T368">
        <f t="shared" si="19"/>
        <v>20</v>
      </c>
      <c r="U368" t="s">
        <v>1566</v>
      </c>
      <c r="V368" s="4" t="s">
        <v>1022</v>
      </c>
      <c r="W368">
        <v>367</v>
      </c>
      <c r="Y368">
        <f t="shared" si="20"/>
        <v>0</v>
      </c>
      <c r="Z368">
        <f t="shared" si="21"/>
        <v>0</v>
      </c>
    </row>
    <row r="369" spans="1:26" x14ac:dyDescent="0.25">
      <c r="A369" s="4">
        <v>1049</v>
      </c>
      <c r="B369" t="s">
        <v>13</v>
      </c>
      <c r="C369">
        <v>2</v>
      </c>
      <c r="D369">
        <v>1</v>
      </c>
      <c r="E369">
        <v>6</v>
      </c>
      <c r="F369" t="s">
        <v>14</v>
      </c>
      <c r="G369">
        <v>4.5</v>
      </c>
      <c r="I369">
        <v>4</v>
      </c>
      <c r="J369" t="s">
        <v>17</v>
      </c>
      <c r="K369" t="str">
        <f t="shared" si="18"/>
        <v/>
      </c>
      <c r="L369" t="s">
        <v>16</v>
      </c>
      <c r="M369">
        <v>5</v>
      </c>
      <c r="T369">
        <f t="shared" si="19"/>
        <v>20</v>
      </c>
      <c r="U369" t="s">
        <v>1568</v>
      </c>
      <c r="V369" s="4" t="s">
        <v>1022</v>
      </c>
      <c r="W369">
        <v>368</v>
      </c>
      <c r="Y369">
        <f t="shared" si="20"/>
        <v>0</v>
      </c>
      <c r="Z369">
        <f t="shared" si="21"/>
        <v>0</v>
      </c>
    </row>
    <row r="370" spans="1:26" x14ac:dyDescent="0.25">
      <c r="A370" s="4">
        <v>1049</v>
      </c>
      <c r="B370" t="s">
        <v>13</v>
      </c>
      <c r="C370">
        <v>2</v>
      </c>
      <c r="D370">
        <v>1</v>
      </c>
      <c r="E370">
        <v>5</v>
      </c>
      <c r="F370" t="s">
        <v>14</v>
      </c>
      <c r="G370">
        <v>4.5</v>
      </c>
      <c r="I370">
        <v>4</v>
      </c>
      <c r="J370" t="s">
        <v>17</v>
      </c>
      <c r="K370" t="str">
        <f t="shared" si="18"/>
        <v/>
      </c>
      <c r="L370" t="s">
        <v>16</v>
      </c>
      <c r="M370">
        <v>5</v>
      </c>
      <c r="T370">
        <f t="shared" si="19"/>
        <v>20</v>
      </c>
      <c r="U370" t="s">
        <v>1571</v>
      </c>
      <c r="V370" s="4" t="s">
        <v>1133</v>
      </c>
      <c r="W370">
        <v>369</v>
      </c>
      <c r="Y370">
        <f t="shared" si="20"/>
        <v>0</v>
      </c>
      <c r="Z370">
        <f t="shared" si="21"/>
        <v>0</v>
      </c>
    </row>
    <row r="371" spans="1:26" x14ac:dyDescent="0.25">
      <c r="A371" s="4">
        <v>1049</v>
      </c>
      <c r="B371" t="s">
        <v>13</v>
      </c>
      <c r="C371">
        <v>2</v>
      </c>
      <c r="D371">
        <v>1</v>
      </c>
      <c r="E371">
        <v>8</v>
      </c>
      <c r="F371" t="s">
        <v>14</v>
      </c>
      <c r="G371">
        <v>4.5</v>
      </c>
      <c r="I371">
        <v>4</v>
      </c>
      <c r="J371" t="s">
        <v>15</v>
      </c>
      <c r="K371" t="str">
        <f t="shared" si="18"/>
        <v/>
      </c>
      <c r="L371" t="s">
        <v>16</v>
      </c>
      <c r="M371">
        <v>5</v>
      </c>
      <c r="T371">
        <f t="shared" si="19"/>
        <v>20</v>
      </c>
      <c r="U371" t="s">
        <v>1578</v>
      </c>
      <c r="V371" s="4" t="s">
        <v>1133</v>
      </c>
      <c r="W371">
        <v>370</v>
      </c>
      <c r="Y371">
        <f t="shared" si="20"/>
        <v>0</v>
      </c>
      <c r="Z371">
        <f t="shared" si="21"/>
        <v>0</v>
      </c>
    </row>
    <row r="372" spans="1:26" x14ac:dyDescent="0.25">
      <c r="A372" s="4">
        <v>1049</v>
      </c>
      <c r="B372" t="s">
        <v>13</v>
      </c>
      <c r="C372">
        <v>2</v>
      </c>
      <c r="D372">
        <v>1</v>
      </c>
      <c r="E372">
        <v>7</v>
      </c>
      <c r="F372" t="s">
        <v>14</v>
      </c>
      <c r="G372">
        <v>4.5</v>
      </c>
      <c r="I372">
        <v>4</v>
      </c>
      <c r="J372" t="s">
        <v>15</v>
      </c>
      <c r="K372" t="str">
        <f t="shared" si="18"/>
        <v/>
      </c>
      <c r="L372" t="s">
        <v>16</v>
      </c>
      <c r="M372">
        <v>5</v>
      </c>
      <c r="T372">
        <f t="shared" si="19"/>
        <v>20</v>
      </c>
      <c r="U372" t="s">
        <v>1581</v>
      </c>
      <c r="V372" s="4" t="s">
        <v>1133</v>
      </c>
      <c r="W372">
        <v>371</v>
      </c>
      <c r="Y372">
        <f t="shared" si="20"/>
        <v>0</v>
      </c>
      <c r="Z372">
        <f t="shared" si="21"/>
        <v>0</v>
      </c>
    </row>
    <row r="373" spans="1:26" x14ac:dyDescent="0.25">
      <c r="A373" s="4">
        <v>1049</v>
      </c>
      <c r="B373" t="s">
        <v>13</v>
      </c>
      <c r="C373">
        <v>2</v>
      </c>
      <c r="D373">
        <v>1</v>
      </c>
      <c r="E373">
        <v>6</v>
      </c>
      <c r="F373" t="s">
        <v>14</v>
      </c>
      <c r="G373">
        <v>4.5</v>
      </c>
      <c r="I373">
        <v>4</v>
      </c>
      <c r="J373" t="s">
        <v>15</v>
      </c>
      <c r="K373" t="str">
        <f t="shared" si="18"/>
        <v/>
      </c>
      <c r="L373" t="s">
        <v>16</v>
      </c>
      <c r="M373">
        <v>5</v>
      </c>
      <c r="T373">
        <f t="shared" si="19"/>
        <v>20</v>
      </c>
      <c r="U373" t="s">
        <v>1585</v>
      </c>
      <c r="V373" s="4" t="s">
        <v>1133</v>
      </c>
      <c r="W373">
        <v>372</v>
      </c>
      <c r="Y373">
        <f t="shared" si="20"/>
        <v>0</v>
      </c>
      <c r="Z373">
        <f t="shared" si="21"/>
        <v>0</v>
      </c>
    </row>
    <row r="374" spans="1:26" x14ac:dyDescent="0.25">
      <c r="A374" s="4">
        <v>1049</v>
      </c>
      <c r="B374" t="s">
        <v>13</v>
      </c>
      <c r="C374">
        <v>2</v>
      </c>
      <c r="D374">
        <v>1</v>
      </c>
      <c r="E374">
        <v>5</v>
      </c>
      <c r="F374" t="s">
        <v>14</v>
      </c>
      <c r="G374">
        <v>4.5</v>
      </c>
      <c r="I374">
        <v>4</v>
      </c>
      <c r="J374" t="s">
        <v>15</v>
      </c>
      <c r="K374" t="str">
        <f t="shared" si="18"/>
        <v/>
      </c>
      <c r="L374" t="s">
        <v>16</v>
      </c>
      <c r="M374">
        <v>5</v>
      </c>
      <c r="T374">
        <f t="shared" si="19"/>
        <v>20</v>
      </c>
      <c r="U374" t="s">
        <v>1589</v>
      </c>
      <c r="V374" s="4" t="s">
        <v>1590</v>
      </c>
      <c r="W374">
        <v>373</v>
      </c>
      <c r="Y374">
        <f t="shared" si="20"/>
        <v>0</v>
      </c>
      <c r="Z374">
        <f t="shared" si="21"/>
        <v>0</v>
      </c>
    </row>
    <row r="375" spans="1:26" x14ac:dyDescent="0.25">
      <c r="A375" s="4">
        <v>1049</v>
      </c>
      <c r="B375" t="s">
        <v>13</v>
      </c>
      <c r="C375">
        <v>2</v>
      </c>
      <c r="D375">
        <v>1</v>
      </c>
      <c r="E375">
        <v>8</v>
      </c>
      <c r="F375" t="s">
        <v>14</v>
      </c>
      <c r="G375">
        <v>4.5</v>
      </c>
      <c r="I375">
        <v>4</v>
      </c>
      <c r="J375" t="s">
        <v>18</v>
      </c>
      <c r="K375" t="str">
        <f t="shared" si="18"/>
        <v/>
      </c>
      <c r="L375" t="s">
        <v>16</v>
      </c>
      <c r="M375">
        <v>9</v>
      </c>
      <c r="T375">
        <f t="shared" si="19"/>
        <v>20</v>
      </c>
      <c r="U375" t="s">
        <v>1597</v>
      </c>
      <c r="V375" s="4" t="s">
        <v>1590</v>
      </c>
      <c r="W375">
        <v>374</v>
      </c>
      <c r="Y375">
        <f t="shared" si="20"/>
        <v>0</v>
      </c>
      <c r="Z375">
        <f t="shared" si="21"/>
        <v>0</v>
      </c>
    </row>
    <row r="376" spans="1:26" x14ac:dyDescent="0.25">
      <c r="A376" s="4">
        <v>1049</v>
      </c>
      <c r="B376" t="s">
        <v>13</v>
      </c>
      <c r="C376">
        <v>2</v>
      </c>
      <c r="D376">
        <v>1</v>
      </c>
      <c r="E376">
        <v>7</v>
      </c>
      <c r="F376" t="s">
        <v>14</v>
      </c>
      <c r="G376">
        <v>4.5</v>
      </c>
      <c r="I376">
        <v>4</v>
      </c>
      <c r="J376" t="s">
        <v>18</v>
      </c>
      <c r="K376" t="str">
        <f t="shared" si="18"/>
        <v/>
      </c>
      <c r="L376" t="s">
        <v>16</v>
      </c>
      <c r="M376">
        <v>9</v>
      </c>
      <c r="T376">
        <f t="shared" si="19"/>
        <v>20</v>
      </c>
      <c r="U376" t="s">
        <v>1599</v>
      </c>
      <c r="V376" s="4" t="s">
        <v>1590</v>
      </c>
      <c r="W376">
        <v>375</v>
      </c>
      <c r="Y376">
        <f t="shared" si="20"/>
        <v>0</v>
      </c>
      <c r="Z376">
        <f t="shared" si="21"/>
        <v>0</v>
      </c>
    </row>
    <row r="377" spans="1:26" x14ac:dyDescent="0.25">
      <c r="A377" s="4">
        <v>1049</v>
      </c>
      <c r="B377" t="s">
        <v>13</v>
      </c>
      <c r="C377">
        <v>2</v>
      </c>
      <c r="D377">
        <v>1</v>
      </c>
      <c r="E377">
        <v>6</v>
      </c>
      <c r="F377" t="s">
        <v>14</v>
      </c>
      <c r="G377">
        <v>4.5</v>
      </c>
      <c r="I377">
        <v>4</v>
      </c>
      <c r="J377" t="s">
        <v>18</v>
      </c>
      <c r="K377" t="str">
        <f t="shared" si="18"/>
        <v/>
      </c>
      <c r="L377" t="s">
        <v>16</v>
      </c>
      <c r="M377">
        <v>9</v>
      </c>
      <c r="T377">
        <f t="shared" si="19"/>
        <v>20</v>
      </c>
      <c r="U377" t="s">
        <v>1602</v>
      </c>
      <c r="V377" s="4" t="s">
        <v>1590</v>
      </c>
      <c r="W377">
        <v>376</v>
      </c>
      <c r="Y377">
        <f t="shared" si="20"/>
        <v>0</v>
      </c>
      <c r="Z377">
        <f t="shared" si="21"/>
        <v>0</v>
      </c>
    </row>
    <row r="378" spans="1:26" x14ac:dyDescent="0.25">
      <c r="A378" s="4">
        <v>1049</v>
      </c>
      <c r="B378" t="s">
        <v>13</v>
      </c>
      <c r="C378">
        <v>2</v>
      </c>
      <c r="D378">
        <v>1</v>
      </c>
      <c r="E378">
        <v>5</v>
      </c>
      <c r="F378" t="s">
        <v>14</v>
      </c>
      <c r="G378">
        <v>4.5</v>
      </c>
      <c r="I378">
        <v>4</v>
      </c>
      <c r="J378" t="s">
        <v>18</v>
      </c>
      <c r="K378" t="str">
        <f t="shared" si="18"/>
        <v/>
      </c>
      <c r="L378" t="s">
        <v>16</v>
      </c>
      <c r="M378">
        <v>9</v>
      </c>
      <c r="T378">
        <f t="shared" si="19"/>
        <v>20</v>
      </c>
      <c r="U378" t="s">
        <v>1604</v>
      </c>
      <c r="V378" s="4" t="s">
        <v>1605</v>
      </c>
      <c r="W378">
        <v>377</v>
      </c>
      <c r="Y378">
        <f t="shared" si="20"/>
        <v>0</v>
      </c>
      <c r="Z378">
        <f t="shared" si="21"/>
        <v>0</v>
      </c>
    </row>
    <row r="379" spans="1:26" x14ac:dyDescent="0.25">
      <c r="A379" s="4">
        <v>1049</v>
      </c>
      <c r="B379" t="s">
        <v>13</v>
      </c>
      <c r="C379">
        <v>2</v>
      </c>
      <c r="D379">
        <v>1</v>
      </c>
      <c r="E379">
        <v>12</v>
      </c>
      <c r="F379" t="s">
        <v>14</v>
      </c>
      <c r="G379">
        <v>5</v>
      </c>
      <c r="I379">
        <v>4</v>
      </c>
      <c r="J379" t="s">
        <v>15</v>
      </c>
      <c r="K379" t="str">
        <f t="shared" si="18"/>
        <v/>
      </c>
      <c r="L379" t="s">
        <v>16</v>
      </c>
      <c r="M379">
        <v>3</v>
      </c>
      <c r="T379">
        <f t="shared" si="19"/>
        <v>20</v>
      </c>
      <c r="U379" t="s">
        <v>1613</v>
      </c>
      <c r="V379" s="4" t="s">
        <v>1605</v>
      </c>
      <c r="W379">
        <v>378</v>
      </c>
      <c r="Y379">
        <f t="shared" si="20"/>
        <v>0</v>
      </c>
      <c r="Z379">
        <f t="shared" si="21"/>
        <v>0</v>
      </c>
    </row>
    <row r="380" spans="1:26" x14ac:dyDescent="0.25">
      <c r="A380" s="4">
        <v>1049</v>
      </c>
      <c r="B380" t="s">
        <v>13</v>
      </c>
      <c r="C380">
        <v>2</v>
      </c>
      <c r="D380">
        <v>1</v>
      </c>
      <c r="E380">
        <v>11</v>
      </c>
      <c r="F380" t="s">
        <v>14</v>
      </c>
      <c r="G380">
        <v>5</v>
      </c>
      <c r="I380">
        <v>4</v>
      </c>
      <c r="J380" t="s">
        <v>15</v>
      </c>
      <c r="K380" t="str">
        <f t="shared" si="18"/>
        <v/>
      </c>
      <c r="L380" t="s">
        <v>16</v>
      </c>
      <c r="M380">
        <v>3</v>
      </c>
      <c r="T380">
        <f t="shared" si="19"/>
        <v>20</v>
      </c>
      <c r="U380" t="s">
        <v>1615</v>
      </c>
      <c r="V380" s="4" t="s">
        <v>1605</v>
      </c>
      <c r="W380">
        <v>379</v>
      </c>
      <c r="Y380">
        <f t="shared" si="20"/>
        <v>0</v>
      </c>
      <c r="Z380">
        <f t="shared" si="21"/>
        <v>0</v>
      </c>
    </row>
    <row r="381" spans="1:26" x14ac:dyDescent="0.25">
      <c r="A381" s="4">
        <v>1049</v>
      </c>
      <c r="B381" t="s">
        <v>13</v>
      </c>
      <c r="C381">
        <v>2</v>
      </c>
      <c r="D381">
        <v>1</v>
      </c>
      <c r="E381">
        <v>10</v>
      </c>
      <c r="F381" t="s">
        <v>14</v>
      </c>
      <c r="G381">
        <v>5</v>
      </c>
      <c r="I381">
        <v>4</v>
      </c>
      <c r="J381" t="s">
        <v>15</v>
      </c>
      <c r="K381" t="str">
        <f t="shared" si="18"/>
        <v/>
      </c>
      <c r="L381" t="s">
        <v>16</v>
      </c>
      <c r="M381">
        <v>3</v>
      </c>
      <c r="T381">
        <f t="shared" si="19"/>
        <v>20</v>
      </c>
      <c r="U381" t="s">
        <v>1617</v>
      </c>
      <c r="V381" s="4" t="s">
        <v>1304</v>
      </c>
      <c r="W381">
        <v>380</v>
      </c>
      <c r="Y381">
        <f t="shared" si="20"/>
        <v>0</v>
      </c>
      <c r="Z381">
        <f t="shared" si="21"/>
        <v>0</v>
      </c>
    </row>
    <row r="382" spans="1:26" x14ac:dyDescent="0.25">
      <c r="A382" s="4">
        <v>1049</v>
      </c>
      <c r="B382" t="s">
        <v>13</v>
      </c>
      <c r="C382">
        <v>2</v>
      </c>
      <c r="D382">
        <v>1</v>
      </c>
      <c r="E382">
        <v>9</v>
      </c>
      <c r="F382" t="s">
        <v>14</v>
      </c>
      <c r="G382">
        <v>5</v>
      </c>
      <c r="I382">
        <v>4</v>
      </c>
      <c r="J382" t="s">
        <v>15</v>
      </c>
      <c r="K382" t="str">
        <f t="shared" si="18"/>
        <v/>
      </c>
      <c r="L382" t="s">
        <v>16</v>
      </c>
      <c r="M382">
        <v>3</v>
      </c>
      <c r="T382">
        <f t="shared" si="19"/>
        <v>20</v>
      </c>
      <c r="U382" t="s">
        <v>1623</v>
      </c>
      <c r="V382" s="4" t="s">
        <v>1304</v>
      </c>
      <c r="W382">
        <v>381</v>
      </c>
      <c r="Y382">
        <f t="shared" si="20"/>
        <v>0</v>
      </c>
      <c r="Z382">
        <f t="shared" si="21"/>
        <v>0</v>
      </c>
    </row>
    <row r="383" spans="1:26" x14ac:dyDescent="0.25">
      <c r="A383" s="4">
        <v>1049</v>
      </c>
      <c r="B383" t="s">
        <v>13</v>
      </c>
      <c r="C383">
        <v>2</v>
      </c>
      <c r="D383">
        <v>1</v>
      </c>
      <c r="E383">
        <v>16</v>
      </c>
      <c r="F383" t="s">
        <v>14</v>
      </c>
      <c r="G383">
        <v>5.5</v>
      </c>
      <c r="I383">
        <v>4</v>
      </c>
      <c r="J383" t="s">
        <v>18</v>
      </c>
      <c r="K383" t="str">
        <f t="shared" si="18"/>
        <v/>
      </c>
      <c r="L383" t="s">
        <v>16</v>
      </c>
      <c r="M383">
        <v>3</v>
      </c>
      <c r="T383">
        <f t="shared" si="19"/>
        <v>20</v>
      </c>
      <c r="U383" t="s">
        <v>1626</v>
      </c>
      <c r="V383" s="4" t="s">
        <v>1304</v>
      </c>
      <c r="W383">
        <v>382</v>
      </c>
      <c r="Y383">
        <f t="shared" si="20"/>
        <v>0</v>
      </c>
      <c r="Z383">
        <f t="shared" si="21"/>
        <v>0</v>
      </c>
    </row>
    <row r="384" spans="1:26" x14ac:dyDescent="0.25">
      <c r="A384" s="4">
        <v>1049</v>
      </c>
      <c r="B384" t="s">
        <v>13</v>
      </c>
      <c r="C384">
        <v>2</v>
      </c>
      <c r="D384">
        <v>1</v>
      </c>
      <c r="E384">
        <v>15</v>
      </c>
      <c r="F384" t="s">
        <v>14</v>
      </c>
      <c r="G384">
        <v>5.5</v>
      </c>
      <c r="I384">
        <v>4</v>
      </c>
      <c r="J384" t="s">
        <v>18</v>
      </c>
      <c r="K384" t="str">
        <f t="shared" si="18"/>
        <v/>
      </c>
      <c r="L384" t="s">
        <v>16</v>
      </c>
      <c r="M384">
        <v>3</v>
      </c>
      <c r="T384">
        <f t="shared" si="19"/>
        <v>20</v>
      </c>
      <c r="U384" t="s">
        <v>1629</v>
      </c>
      <c r="V384" s="4" t="s">
        <v>1296</v>
      </c>
      <c r="W384">
        <v>383</v>
      </c>
      <c r="Y384">
        <f t="shared" si="20"/>
        <v>0</v>
      </c>
      <c r="Z384">
        <f t="shared" si="21"/>
        <v>0</v>
      </c>
    </row>
    <row r="385" spans="1:26" x14ac:dyDescent="0.25">
      <c r="A385" s="4">
        <v>1049</v>
      </c>
      <c r="B385" t="s">
        <v>13</v>
      </c>
      <c r="C385">
        <v>2</v>
      </c>
      <c r="D385">
        <v>1</v>
      </c>
      <c r="E385">
        <v>14</v>
      </c>
      <c r="F385" t="s">
        <v>14</v>
      </c>
      <c r="G385">
        <v>5.5</v>
      </c>
      <c r="I385">
        <v>4</v>
      </c>
      <c r="J385" t="s">
        <v>18</v>
      </c>
      <c r="K385" t="str">
        <f t="shared" si="18"/>
        <v/>
      </c>
      <c r="L385" t="s">
        <v>16</v>
      </c>
      <c r="M385">
        <v>3</v>
      </c>
      <c r="T385">
        <f t="shared" si="19"/>
        <v>20</v>
      </c>
      <c r="U385" t="s">
        <v>1634</v>
      </c>
      <c r="V385" s="4" t="s">
        <v>1296</v>
      </c>
      <c r="W385">
        <v>384</v>
      </c>
      <c r="Y385">
        <f t="shared" si="20"/>
        <v>0</v>
      </c>
      <c r="Z385">
        <f t="shared" si="21"/>
        <v>0</v>
      </c>
    </row>
    <row r="386" spans="1:26" x14ac:dyDescent="0.25">
      <c r="A386" s="4">
        <v>1049</v>
      </c>
      <c r="B386" t="s">
        <v>13</v>
      </c>
      <c r="C386">
        <v>2</v>
      </c>
      <c r="D386">
        <v>1</v>
      </c>
      <c r="E386">
        <v>13</v>
      </c>
      <c r="F386" t="s">
        <v>14</v>
      </c>
      <c r="G386">
        <v>5.5</v>
      </c>
      <c r="I386">
        <v>4</v>
      </c>
      <c r="J386" t="s">
        <v>18</v>
      </c>
      <c r="K386" t="str">
        <f t="shared" si="18"/>
        <v/>
      </c>
      <c r="L386" t="s">
        <v>16</v>
      </c>
      <c r="M386">
        <v>3</v>
      </c>
      <c r="T386">
        <f t="shared" si="19"/>
        <v>20</v>
      </c>
      <c r="U386" t="s">
        <v>1636</v>
      </c>
      <c r="V386" s="4" t="s">
        <v>1296</v>
      </c>
      <c r="W386">
        <v>385</v>
      </c>
      <c r="Y386">
        <f t="shared" si="20"/>
        <v>0</v>
      </c>
      <c r="Z386">
        <f t="shared" si="21"/>
        <v>0</v>
      </c>
    </row>
    <row r="387" spans="1:26" x14ac:dyDescent="0.25">
      <c r="A387" s="4">
        <v>1062</v>
      </c>
      <c r="B387" t="s">
        <v>13</v>
      </c>
      <c r="C387">
        <v>2</v>
      </c>
      <c r="D387">
        <v>1</v>
      </c>
      <c r="E387">
        <v>4</v>
      </c>
      <c r="F387" t="s">
        <v>14</v>
      </c>
      <c r="G387">
        <v>4.4000000000000004</v>
      </c>
      <c r="I387">
        <v>4</v>
      </c>
      <c r="J387" t="s">
        <v>17</v>
      </c>
      <c r="K387" t="str">
        <f t="shared" ref="K387:K450" si="22">_xlfn.XLOOKUP(A387,V:V,U:U,"",0)</f>
        <v/>
      </c>
      <c r="L387" t="s">
        <v>16</v>
      </c>
      <c r="M387">
        <v>4</v>
      </c>
      <c r="T387">
        <f t="shared" ref="T387:T450" si="23">LEN(U387)</f>
        <v>20</v>
      </c>
      <c r="U387" t="s">
        <v>1639</v>
      </c>
      <c r="V387" s="4" t="s">
        <v>1288</v>
      </c>
      <c r="W387">
        <v>386</v>
      </c>
      <c r="Y387">
        <f t="shared" ref="Y387:Y450" si="24">LEN(O387)</f>
        <v>0</v>
      </c>
      <c r="Z387">
        <f t="shared" ref="Z387:Z450" si="25">LEN(P387)</f>
        <v>0</v>
      </c>
    </row>
    <row r="388" spans="1:26" x14ac:dyDescent="0.25">
      <c r="A388" s="4">
        <v>1062</v>
      </c>
      <c r="B388" t="s">
        <v>13</v>
      </c>
      <c r="C388">
        <v>2</v>
      </c>
      <c r="D388">
        <v>1</v>
      </c>
      <c r="E388">
        <v>3</v>
      </c>
      <c r="F388" t="s">
        <v>14</v>
      </c>
      <c r="G388">
        <v>4.4000000000000004</v>
      </c>
      <c r="I388">
        <v>4</v>
      </c>
      <c r="J388" t="s">
        <v>17</v>
      </c>
      <c r="K388" t="str">
        <f t="shared" si="22"/>
        <v/>
      </c>
      <c r="L388" t="s">
        <v>16</v>
      </c>
      <c r="M388">
        <v>4</v>
      </c>
      <c r="T388">
        <f t="shared" si="23"/>
        <v>20</v>
      </c>
      <c r="U388" t="s">
        <v>1643</v>
      </c>
      <c r="V388" s="4" t="s">
        <v>1288</v>
      </c>
      <c r="W388">
        <v>387</v>
      </c>
      <c r="Y388">
        <f t="shared" si="24"/>
        <v>0</v>
      </c>
      <c r="Z388">
        <f t="shared" si="25"/>
        <v>0</v>
      </c>
    </row>
    <row r="389" spans="1:26" x14ac:dyDescent="0.25">
      <c r="A389" s="4">
        <v>1062</v>
      </c>
      <c r="B389" t="s">
        <v>13</v>
      </c>
      <c r="C389">
        <v>2</v>
      </c>
      <c r="D389">
        <v>1</v>
      </c>
      <c r="E389">
        <v>2</v>
      </c>
      <c r="F389" t="s">
        <v>14</v>
      </c>
      <c r="G389">
        <v>4.4000000000000004</v>
      </c>
      <c r="I389">
        <v>4</v>
      </c>
      <c r="J389" t="s">
        <v>17</v>
      </c>
      <c r="K389" t="str">
        <f t="shared" si="22"/>
        <v/>
      </c>
      <c r="L389" t="s">
        <v>16</v>
      </c>
      <c r="M389">
        <v>4</v>
      </c>
      <c r="T389">
        <f t="shared" si="23"/>
        <v>20</v>
      </c>
      <c r="U389" t="s">
        <v>1646</v>
      </c>
      <c r="V389" s="4" t="s">
        <v>1288</v>
      </c>
      <c r="W389">
        <v>388</v>
      </c>
      <c r="Y389">
        <f t="shared" si="24"/>
        <v>0</v>
      </c>
      <c r="Z389">
        <f t="shared" si="25"/>
        <v>0</v>
      </c>
    </row>
    <row r="390" spans="1:26" x14ac:dyDescent="0.25">
      <c r="A390" s="4">
        <v>1062</v>
      </c>
      <c r="B390" t="s">
        <v>13</v>
      </c>
      <c r="C390">
        <v>2</v>
      </c>
      <c r="D390">
        <v>1</v>
      </c>
      <c r="E390">
        <v>1</v>
      </c>
      <c r="F390" t="s">
        <v>14</v>
      </c>
      <c r="G390">
        <v>4.4000000000000004</v>
      </c>
      <c r="I390">
        <v>4</v>
      </c>
      <c r="J390" t="s">
        <v>17</v>
      </c>
      <c r="K390" t="str">
        <f t="shared" si="22"/>
        <v/>
      </c>
      <c r="L390" t="s">
        <v>16</v>
      </c>
      <c r="M390">
        <v>4</v>
      </c>
      <c r="T390">
        <f t="shared" si="23"/>
        <v>20</v>
      </c>
      <c r="U390" t="s">
        <v>1650</v>
      </c>
      <c r="V390" s="4" t="s">
        <v>1294</v>
      </c>
      <c r="W390">
        <v>389</v>
      </c>
      <c r="Y390">
        <f t="shared" si="24"/>
        <v>0</v>
      </c>
      <c r="Z390">
        <f t="shared" si="25"/>
        <v>0</v>
      </c>
    </row>
    <row r="391" spans="1:26" x14ac:dyDescent="0.25">
      <c r="A391" s="4">
        <v>1062</v>
      </c>
      <c r="B391" t="s">
        <v>13</v>
      </c>
      <c r="C391">
        <v>2</v>
      </c>
      <c r="D391">
        <v>1</v>
      </c>
      <c r="E391">
        <v>4</v>
      </c>
      <c r="F391" t="s">
        <v>14</v>
      </c>
      <c r="G391">
        <v>4.4000000000000004</v>
      </c>
      <c r="I391">
        <v>4</v>
      </c>
      <c r="J391" t="s">
        <v>15</v>
      </c>
      <c r="K391" t="str">
        <f t="shared" si="22"/>
        <v/>
      </c>
      <c r="L391" t="s">
        <v>16</v>
      </c>
      <c r="M391">
        <v>4</v>
      </c>
      <c r="T391">
        <f t="shared" si="23"/>
        <v>20</v>
      </c>
      <c r="U391" t="s">
        <v>1653</v>
      </c>
      <c r="V391" s="4" t="s">
        <v>1294</v>
      </c>
      <c r="W391">
        <v>390</v>
      </c>
      <c r="Y391">
        <f t="shared" si="24"/>
        <v>0</v>
      </c>
      <c r="Z391">
        <f t="shared" si="25"/>
        <v>0</v>
      </c>
    </row>
    <row r="392" spans="1:26" x14ac:dyDescent="0.25">
      <c r="A392" s="4">
        <v>1062</v>
      </c>
      <c r="B392" t="s">
        <v>13</v>
      </c>
      <c r="C392">
        <v>2</v>
      </c>
      <c r="D392">
        <v>1</v>
      </c>
      <c r="E392">
        <v>3</v>
      </c>
      <c r="F392" t="s">
        <v>14</v>
      </c>
      <c r="G392">
        <v>4.4000000000000004</v>
      </c>
      <c r="I392">
        <v>4</v>
      </c>
      <c r="J392" t="s">
        <v>15</v>
      </c>
      <c r="K392" t="str">
        <f t="shared" si="22"/>
        <v/>
      </c>
      <c r="L392" t="s">
        <v>16</v>
      </c>
      <c r="M392">
        <v>4</v>
      </c>
      <c r="T392">
        <f t="shared" si="23"/>
        <v>20</v>
      </c>
      <c r="U392" t="s">
        <v>1656</v>
      </c>
      <c r="V392" s="4" t="s">
        <v>1294</v>
      </c>
      <c r="W392">
        <v>391</v>
      </c>
      <c r="Y392">
        <f t="shared" si="24"/>
        <v>0</v>
      </c>
      <c r="Z392">
        <f t="shared" si="25"/>
        <v>0</v>
      </c>
    </row>
    <row r="393" spans="1:26" x14ac:dyDescent="0.25">
      <c r="A393" s="4">
        <v>1062</v>
      </c>
      <c r="B393" t="s">
        <v>13</v>
      </c>
      <c r="C393">
        <v>2</v>
      </c>
      <c r="D393">
        <v>1</v>
      </c>
      <c r="E393">
        <v>2</v>
      </c>
      <c r="F393" t="s">
        <v>14</v>
      </c>
      <c r="G393">
        <v>4.4000000000000004</v>
      </c>
      <c r="I393">
        <v>4</v>
      </c>
      <c r="J393" t="s">
        <v>15</v>
      </c>
      <c r="K393" t="str">
        <f t="shared" si="22"/>
        <v/>
      </c>
      <c r="L393" t="s">
        <v>16</v>
      </c>
      <c r="M393">
        <v>4</v>
      </c>
      <c r="T393">
        <f t="shared" si="23"/>
        <v>20</v>
      </c>
      <c r="U393" t="s">
        <v>1658</v>
      </c>
      <c r="V393" s="4" t="s">
        <v>1659</v>
      </c>
      <c r="W393">
        <v>392</v>
      </c>
      <c r="Y393">
        <f t="shared" si="24"/>
        <v>0</v>
      </c>
      <c r="Z393">
        <f t="shared" si="25"/>
        <v>0</v>
      </c>
    </row>
    <row r="394" spans="1:26" x14ac:dyDescent="0.25">
      <c r="A394" s="4">
        <v>1062</v>
      </c>
      <c r="B394" t="s">
        <v>13</v>
      </c>
      <c r="C394">
        <v>2</v>
      </c>
      <c r="D394">
        <v>1</v>
      </c>
      <c r="E394">
        <v>1</v>
      </c>
      <c r="F394" t="s">
        <v>14</v>
      </c>
      <c r="G394">
        <v>4.4000000000000004</v>
      </c>
      <c r="I394">
        <v>4</v>
      </c>
      <c r="J394" t="s">
        <v>15</v>
      </c>
      <c r="K394" t="str">
        <f t="shared" si="22"/>
        <v/>
      </c>
      <c r="L394" t="s">
        <v>16</v>
      </c>
      <c r="M394">
        <v>4</v>
      </c>
      <c r="T394">
        <f t="shared" si="23"/>
        <v>20</v>
      </c>
      <c r="U394" t="s">
        <v>1665</v>
      </c>
      <c r="V394" s="4" t="s">
        <v>1659</v>
      </c>
      <c r="W394">
        <v>393</v>
      </c>
      <c r="Y394">
        <f t="shared" si="24"/>
        <v>0</v>
      </c>
      <c r="Z394">
        <f t="shared" si="25"/>
        <v>0</v>
      </c>
    </row>
    <row r="395" spans="1:26" x14ac:dyDescent="0.25">
      <c r="A395" s="4">
        <v>1062</v>
      </c>
      <c r="B395" t="s">
        <v>13</v>
      </c>
      <c r="C395">
        <v>2</v>
      </c>
      <c r="D395">
        <v>1</v>
      </c>
      <c r="E395">
        <v>4</v>
      </c>
      <c r="F395" t="s">
        <v>14</v>
      </c>
      <c r="G395">
        <v>4.4000000000000004</v>
      </c>
      <c r="I395">
        <v>4</v>
      </c>
      <c r="J395" t="s">
        <v>18</v>
      </c>
      <c r="K395" t="str">
        <f t="shared" si="22"/>
        <v/>
      </c>
      <c r="L395" t="s">
        <v>16</v>
      </c>
      <c r="M395">
        <v>3</v>
      </c>
      <c r="T395">
        <f t="shared" si="23"/>
        <v>20</v>
      </c>
      <c r="U395" t="s">
        <v>1666</v>
      </c>
      <c r="V395" s="4" t="s">
        <v>1659</v>
      </c>
      <c r="W395">
        <v>394</v>
      </c>
      <c r="Y395">
        <f t="shared" si="24"/>
        <v>0</v>
      </c>
      <c r="Z395">
        <f t="shared" si="25"/>
        <v>0</v>
      </c>
    </row>
    <row r="396" spans="1:26" x14ac:dyDescent="0.25">
      <c r="A396" s="4">
        <v>1062</v>
      </c>
      <c r="B396" t="s">
        <v>13</v>
      </c>
      <c r="C396">
        <v>2</v>
      </c>
      <c r="D396">
        <v>1</v>
      </c>
      <c r="E396">
        <v>3</v>
      </c>
      <c r="F396" t="s">
        <v>14</v>
      </c>
      <c r="G396">
        <v>4.4000000000000004</v>
      </c>
      <c r="I396">
        <v>4</v>
      </c>
      <c r="J396" t="s">
        <v>18</v>
      </c>
      <c r="K396" t="str">
        <f t="shared" si="22"/>
        <v/>
      </c>
      <c r="L396" t="s">
        <v>16</v>
      </c>
      <c r="M396">
        <v>3</v>
      </c>
      <c r="T396">
        <f t="shared" si="23"/>
        <v>20</v>
      </c>
      <c r="U396" t="s">
        <v>1669</v>
      </c>
      <c r="V396" s="4" t="s">
        <v>1306</v>
      </c>
      <c r="W396">
        <v>395</v>
      </c>
      <c r="Y396">
        <f t="shared" si="24"/>
        <v>0</v>
      </c>
      <c r="Z396">
        <f t="shared" si="25"/>
        <v>0</v>
      </c>
    </row>
    <row r="397" spans="1:26" x14ac:dyDescent="0.25">
      <c r="A397" s="4">
        <v>1062</v>
      </c>
      <c r="B397" t="s">
        <v>13</v>
      </c>
      <c r="C397">
        <v>2</v>
      </c>
      <c r="D397">
        <v>1</v>
      </c>
      <c r="E397">
        <v>2</v>
      </c>
      <c r="F397" t="s">
        <v>14</v>
      </c>
      <c r="G397">
        <v>4.4000000000000004</v>
      </c>
      <c r="I397">
        <v>4</v>
      </c>
      <c r="J397" t="s">
        <v>18</v>
      </c>
      <c r="K397" t="str">
        <f t="shared" si="22"/>
        <v/>
      </c>
      <c r="L397" t="s">
        <v>16</v>
      </c>
      <c r="M397">
        <v>3</v>
      </c>
      <c r="T397">
        <f t="shared" si="23"/>
        <v>20</v>
      </c>
      <c r="U397" t="s">
        <v>1675</v>
      </c>
      <c r="V397" s="4" t="s">
        <v>1306</v>
      </c>
      <c r="W397">
        <v>396</v>
      </c>
      <c r="Y397">
        <f t="shared" si="24"/>
        <v>0</v>
      </c>
      <c r="Z397">
        <f t="shared" si="25"/>
        <v>0</v>
      </c>
    </row>
    <row r="398" spans="1:26" x14ac:dyDescent="0.25">
      <c r="A398" s="4">
        <v>1062</v>
      </c>
      <c r="B398" t="s">
        <v>13</v>
      </c>
      <c r="C398">
        <v>2</v>
      </c>
      <c r="D398">
        <v>1</v>
      </c>
      <c r="E398">
        <v>1</v>
      </c>
      <c r="F398" t="s">
        <v>14</v>
      </c>
      <c r="G398">
        <v>4.4000000000000004</v>
      </c>
      <c r="I398">
        <v>4</v>
      </c>
      <c r="J398" t="s">
        <v>18</v>
      </c>
      <c r="K398" t="str">
        <f t="shared" si="22"/>
        <v/>
      </c>
      <c r="L398" t="s">
        <v>16</v>
      </c>
      <c r="M398">
        <v>3</v>
      </c>
      <c r="T398">
        <f t="shared" si="23"/>
        <v>20</v>
      </c>
      <c r="U398" t="s">
        <v>1678</v>
      </c>
      <c r="V398" s="4" t="s">
        <v>1306</v>
      </c>
      <c r="W398">
        <v>397</v>
      </c>
      <c r="Y398">
        <f t="shared" si="24"/>
        <v>0</v>
      </c>
      <c r="Z398">
        <f t="shared" si="25"/>
        <v>0</v>
      </c>
    </row>
    <row r="399" spans="1:26" x14ac:dyDescent="0.25">
      <c r="A399" s="4">
        <v>1062</v>
      </c>
      <c r="B399" t="s">
        <v>13</v>
      </c>
      <c r="C399">
        <v>2</v>
      </c>
      <c r="D399">
        <v>1</v>
      </c>
      <c r="E399">
        <v>8</v>
      </c>
      <c r="F399" t="s">
        <v>14</v>
      </c>
      <c r="G399">
        <v>5</v>
      </c>
      <c r="I399">
        <v>4</v>
      </c>
      <c r="J399" t="s">
        <v>17</v>
      </c>
      <c r="K399" t="str">
        <f t="shared" si="22"/>
        <v/>
      </c>
      <c r="L399" t="s">
        <v>16</v>
      </c>
      <c r="M399">
        <v>1</v>
      </c>
      <c r="T399">
        <f t="shared" si="23"/>
        <v>20</v>
      </c>
      <c r="U399" t="s">
        <v>1681</v>
      </c>
      <c r="V399" s="4" t="s">
        <v>1306</v>
      </c>
      <c r="W399">
        <v>398</v>
      </c>
      <c r="Y399">
        <f t="shared" si="24"/>
        <v>0</v>
      </c>
      <c r="Z399">
        <f t="shared" si="25"/>
        <v>0</v>
      </c>
    </row>
    <row r="400" spans="1:26" x14ac:dyDescent="0.25">
      <c r="A400" s="4">
        <v>1062</v>
      </c>
      <c r="B400" t="s">
        <v>13</v>
      </c>
      <c r="C400">
        <v>2</v>
      </c>
      <c r="D400">
        <v>1</v>
      </c>
      <c r="E400">
        <v>7</v>
      </c>
      <c r="F400" t="s">
        <v>14</v>
      </c>
      <c r="G400">
        <v>5</v>
      </c>
      <c r="I400">
        <v>4</v>
      </c>
      <c r="J400" t="s">
        <v>17</v>
      </c>
      <c r="K400" t="str">
        <f t="shared" si="22"/>
        <v/>
      </c>
      <c r="L400" t="s">
        <v>16</v>
      </c>
      <c r="M400">
        <v>1</v>
      </c>
      <c r="T400">
        <f t="shared" si="23"/>
        <v>20</v>
      </c>
      <c r="U400" t="s">
        <v>1685</v>
      </c>
      <c r="V400" s="4" t="s">
        <v>1309</v>
      </c>
      <c r="W400">
        <v>399</v>
      </c>
      <c r="Y400">
        <f t="shared" si="24"/>
        <v>0</v>
      </c>
      <c r="Z400">
        <f t="shared" si="25"/>
        <v>0</v>
      </c>
    </row>
    <row r="401" spans="1:26" x14ac:dyDescent="0.25">
      <c r="A401" s="4">
        <v>1062</v>
      </c>
      <c r="B401" t="s">
        <v>13</v>
      </c>
      <c r="C401">
        <v>2</v>
      </c>
      <c r="D401">
        <v>1</v>
      </c>
      <c r="E401">
        <v>6</v>
      </c>
      <c r="F401" t="s">
        <v>14</v>
      </c>
      <c r="G401">
        <v>5</v>
      </c>
      <c r="I401">
        <v>4</v>
      </c>
      <c r="J401" t="s">
        <v>17</v>
      </c>
      <c r="K401" t="str">
        <f t="shared" si="22"/>
        <v/>
      </c>
      <c r="L401" t="s">
        <v>16</v>
      </c>
      <c r="M401">
        <v>1</v>
      </c>
      <c r="T401">
        <f t="shared" si="23"/>
        <v>20</v>
      </c>
      <c r="U401" t="s">
        <v>1689</v>
      </c>
      <c r="V401" s="4" t="s">
        <v>1309</v>
      </c>
      <c r="W401">
        <v>400</v>
      </c>
      <c r="Y401">
        <f t="shared" si="24"/>
        <v>0</v>
      </c>
      <c r="Z401">
        <f t="shared" si="25"/>
        <v>0</v>
      </c>
    </row>
    <row r="402" spans="1:26" x14ac:dyDescent="0.25">
      <c r="A402" s="4">
        <v>1062</v>
      </c>
      <c r="B402" t="s">
        <v>13</v>
      </c>
      <c r="C402">
        <v>2</v>
      </c>
      <c r="D402">
        <v>1</v>
      </c>
      <c r="E402">
        <v>5</v>
      </c>
      <c r="F402" t="s">
        <v>14</v>
      </c>
      <c r="G402">
        <v>5</v>
      </c>
      <c r="I402">
        <v>4</v>
      </c>
      <c r="J402" t="s">
        <v>17</v>
      </c>
      <c r="K402" t="str">
        <f t="shared" si="22"/>
        <v/>
      </c>
      <c r="L402" t="s">
        <v>16</v>
      </c>
      <c r="M402">
        <v>1</v>
      </c>
      <c r="T402">
        <f t="shared" si="23"/>
        <v>20</v>
      </c>
      <c r="U402" t="s">
        <v>1692</v>
      </c>
      <c r="V402" s="4" t="s">
        <v>1309</v>
      </c>
      <c r="W402">
        <v>401</v>
      </c>
      <c r="Y402">
        <f t="shared" si="24"/>
        <v>0</v>
      </c>
      <c r="Z402">
        <f t="shared" si="25"/>
        <v>0</v>
      </c>
    </row>
    <row r="403" spans="1:26" x14ac:dyDescent="0.25">
      <c r="A403" s="4">
        <v>1062</v>
      </c>
      <c r="B403" t="s">
        <v>13</v>
      </c>
      <c r="C403">
        <v>2</v>
      </c>
      <c r="D403">
        <v>1</v>
      </c>
      <c r="E403">
        <v>8</v>
      </c>
      <c r="F403" t="s">
        <v>14</v>
      </c>
      <c r="G403">
        <v>5</v>
      </c>
      <c r="I403">
        <v>4</v>
      </c>
      <c r="J403" t="s">
        <v>15</v>
      </c>
      <c r="K403" t="str">
        <f t="shared" si="22"/>
        <v/>
      </c>
      <c r="L403" t="s">
        <v>16</v>
      </c>
      <c r="M403">
        <v>1</v>
      </c>
      <c r="T403">
        <f t="shared" si="23"/>
        <v>20</v>
      </c>
      <c r="U403" t="s">
        <v>1696</v>
      </c>
      <c r="V403" s="4" t="s">
        <v>1309</v>
      </c>
      <c r="W403">
        <v>402</v>
      </c>
      <c r="Y403">
        <f t="shared" si="24"/>
        <v>0</v>
      </c>
      <c r="Z403">
        <f t="shared" si="25"/>
        <v>0</v>
      </c>
    </row>
    <row r="404" spans="1:26" x14ac:dyDescent="0.25">
      <c r="A404" s="4">
        <v>1062</v>
      </c>
      <c r="B404" t="s">
        <v>13</v>
      </c>
      <c r="C404">
        <v>2</v>
      </c>
      <c r="D404">
        <v>1</v>
      </c>
      <c r="E404">
        <v>7</v>
      </c>
      <c r="F404" t="s">
        <v>14</v>
      </c>
      <c r="G404">
        <v>5</v>
      </c>
      <c r="I404">
        <v>4</v>
      </c>
      <c r="J404" t="s">
        <v>15</v>
      </c>
      <c r="K404" t="str">
        <f t="shared" si="22"/>
        <v/>
      </c>
      <c r="L404" t="s">
        <v>16</v>
      </c>
      <c r="M404">
        <v>1</v>
      </c>
      <c r="T404">
        <f t="shared" si="23"/>
        <v>20</v>
      </c>
      <c r="U404" t="s">
        <v>1699</v>
      </c>
      <c r="V404" s="4" t="s">
        <v>1698</v>
      </c>
      <c r="W404">
        <v>403</v>
      </c>
      <c r="Y404">
        <f t="shared" si="24"/>
        <v>0</v>
      </c>
      <c r="Z404">
        <f t="shared" si="25"/>
        <v>0</v>
      </c>
    </row>
    <row r="405" spans="1:26" x14ac:dyDescent="0.25">
      <c r="A405" s="4">
        <v>1062</v>
      </c>
      <c r="B405" t="s">
        <v>13</v>
      </c>
      <c r="C405">
        <v>2</v>
      </c>
      <c r="D405">
        <v>1</v>
      </c>
      <c r="E405">
        <v>6</v>
      </c>
      <c r="F405" t="s">
        <v>14</v>
      </c>
      <c r="G405">
        <v>5</v>
      </c>
      <c r="I405">
        <v>4</v>
      </c>
      <c r="J405" t="s">
        <v>15</v>
      </c>
      <c r="K405" t="str">
        <f t="shared" si="22"/>
        <v/>
      </c>
      <c r="L405" t="s">
        <v>16</v>
      </c>
      <c r="M405">
        <v>1</v>
      </c>
      <c r="T405">
        <f t="shared" si="23"/>
        <v>20</v>
      </c>
      <c r="U405" t="s">
        <v>1705</v>
      </c>
      <c r="V405" s="4" t="s">
        <v>1698</v>
      </c>
      <c r="W405">
        <v>404</v>
      </c>
      <c r="Y405">
        <f t="shared" si="24"/>
        <v>0</v>
      </c>
      <c r="Z405">
        <f t="shared" si="25"/>
        <v>0</v>
      </c>
    </row>
    <row r="406" spans="1:26" x14ac:dyDescent="0.25">
      <c r="A406" s="4">
        <v>1062</v>
      </c>
      <c r="B406" t="s">
        <v>13</v>
      </c>
      <c r="C406">
        <v>2</v>
      </c>
      <c r="D406">
        <v>1</v>
      </c>
      <c r="E406">
        <v>5</v>
      </c>
      <c r="F406" t="s">
        <v>14</v>
      </c>
      <c r="G406">
        <v>5</v>
      </c>
      <c r="I406">
        <v>4</v>
      </c>
      <c r="J406" t="s">
        <v>15</v>
      </c>
      <c r="K406" t="str">
        <f t="shared" si="22"/>
        <v/>
      </c>
      <c r="L406" t="s">
        <v>16</v>
      </c>
      <c r="M406">
        <v>1</v>
      </c>
      <c r="T406">
        <f t="shared" si="23"/>
        <v>20</v>
      </c>
      <c r="U406" t="s">
        <v>1708</v>
      </c>
      <c r="V406" s="4" t="s">
        <v>1698</v>
      </c>
      <c r="W406">
        <v>405</v>
      </c>
      <c r="Y406">
        <f t="shared" si="24"/>
        <v>0</v>
      </c>
      <c r="Z406">
        <f t="shared" si="25"/>
        <v>0</v>
      </c>
    </row>
    <row r="407" spans="1:26" x14ac:dyDescent="0.25">
      <c r="A407" s="4">
        <v>1062</v>
      </c>
      <c r="B407" t="s">
        <v>13</v>
      </c>
      <c r="C407">
        <v>2</v>
      </c>
      <c r="D407">
        <v>1</v>
      </c>
      <c r="E407">
        <v>8</v>
      </c>
      <c r="F407" t="s">
        <v>14</v>
      </c>
      <c r="G407">
        <v>5</v>
      </c>
      <c r="I407">
        <v>4</v>
      </c>
      <c r="J407" t="s">
        <v>18</v>
      </c>
      <c r="K407" t="str">
        <f t="shared" si="22"/>
        <v/>
      </c>
      <c r="L407" t="s">
        <v>16</v>
      </c>
      <c r="M407">
        <v>1</v>
      </c>
      <c r="T407">
        <f t="shared" si="23"/>
        <v>20</v>
      </c>
      <c r="U407" t="s">
        <v>1711</v>
      </c>
      <c r="V407" s="4" t="s">
        <v>1698</v>
      </c>
      <c r="W407">
        <v>406</v>
      </c>
      <c r="Y407">
        <f t="shared" si="24"/>
        <v>0</v>
      </c>
      <c r="Z407">
        <f t="shared" si="25"/>
        <v>0</v>
      </c>
    </row>
    <row r="408" spans="1:26" x14ac:dyDescent="0.25">
      <c r="A408" s="4">
        <v>1062</v>
      </c>
      <c r="B408" t="s">
        <v>13</v>
      </c>
      <c r="C408">
        <v>2</v>
      </c>
      <c r="D408">
        <v>1</v>
      </c>
      <c r="E408">
        <v>7</v>
      </c>
      <c r="F408" t="s">
        <v>14</v>
      </c>
      <c r="G408">
        <v>5</v>
      </c>
      <c r="I408">
        <v>4</v>
      </c>
      <c r="J408" t="s">
        <v>18</v>
      </c>
      <c r="K408" t="str">
        <f t="shared" si="22"/>
        <v/>
      </c>
      <c r="L408" t="s">
        <v>16</v>
      </c>
      <c r="M408">
        <v>1</v>
      </c>
      <c r="T408">
        <f t="shared" si="23"/>
        <v>20</v>
      </c>
      <c r="U408" t="s">
        <v>1713</v>
      </c>
      <c r="V408" s="4" t="s">
        <v>1695</v>
      </c>
      <c r="W408">
        <v>407</v>
      </c>
      <c r="Y408">
        <f t="shared" si="24"/>
        <v>0</v>
      </c>
      <c r="Z408">
        <f t="shared" si="25"/>
        <v>0</v>
      </c>
    </row>
    <row r="409" spans="1:26" x14ac:dyDescent="0.25">
      <c r="A409" s="4">
        <v>1062</v>
      </c>
      <c r="B409" t="s">
        <v>13</v>
      </c>
      <c r="C409">
        <v>2</v>
      </c>
      <c r="D409">
        <v>1</v>
      </c>
      <c r="E409">
        <v>6</v>
      </c>
      <c r="F409" t="s">
        <v>14</v>
      </c>
      <c r="G409">
        <v>5</v>
      </c>
      <c r="I409">
        <v>4</v>
      </c>
      <c r="J409" t="s">
        <v>18</v>
      </c>
      <c r="K409" t="str">
        <f t="shared" si="22"/>
        <v/>
      </c>
      <c r="L409" t="s">
        <v>16</v>
      </c>
      <c r="M409">
        <v>1</v>
      </c>
      <c r="T409">
        <f t="shared" si="23"/>
        <v>20</v>
      </c>
      <c r="U409" t="s">
        <v>1717</v>
      </c>
      <c r="V409" s="4" t="s">
        <v>1695</v>
      </c>
      <c r="W409">
        <v>408</v>
      </c>
      <c r="Y409">
        <f t="shared" si="24"/>
        <v>0</v>
      </c>
      <c r="Z409">
        <f t="shared" si="25"/>
        <v>0</v>
      </c>
    </row>
    <row r="410" spans="1:26" x14ac:dyDescent="0.25">
      <c r="A410" s="4">
        <v>1062</v>
      </c>
      <c r="B410" t="s">
        <v>13</v>
      </c>
      <c r="C410">
        <v>2</v>
      </c>
      <c r="D410">
        <v>1</v>
      </c>
      <c r="E410">
        <v>5</v>
      </c>
      <c r="F410" t="s">
        <v>14</v>
      </c>
      <c r="G410">
        <v>5</v>
      </c>
      <c r="I410">
        <v>4</v>
      </c>
      <c r="J410" t="s">
        <v>18</v>
      </c>
      <c r="K410" t="str">
        <f t="shared" si="22"/>
        <v/>
      </c>
      <c r="L410" t="s">
        <v>16</v>
      </c>
      <c r="M410">
        <v>1</v>
      </c>
      <c r="T410">
        <f t="shared" si="23"/>
        <v>20</v>
      </c>
      <c r="U410" t="s">
        <v>1720</v>
      </c>
      <c r="V410" s="4" t="s">
        <v>1695</v>
      </c>
      <c r="W410">
        <v>409</v>
      </c>
      <c r="Y410">
        <f t="shared" si="24"/>
        <v>0</v>
      </c>
      <c r="Z410">
        <f t="shared" si="25"/>
        <v>0</v>
      </c>
    </row>
    <row r="411" spans="1:26" x14ac:dyDescent="0.25">
      <c r="A411" s="4">
        <v>1062</v>
      </c>
      <c r="B411" t="s">
        <v>13</v>
      </c>
      <c r="C411">
        <v>2</v>
      </c>
      <c r="D411">
        <v>1</v>
      </c>
      <c r="E411">
        <v>12</v>
      </c>
      <c r="F411" t="s">
        <v>14</v>
      </c>
      <c r="G411">
        <v>5.6</v>
      </c>
      <c r="I411">
        <v>4</v>
      </c>
      <c r="J411" t="s">
        <v>15</v>
      </c>
      <c r="K411" t="str">
        <f t="shared" si="22"/>
        <v/>
      </c>
      <c r="L411" t="s">
        <v>16</v>
      </c>
      <c r="M411">
        <v>1</v>
      </c>
      <c r="T411">
        <f t="shared" si="23"/>
        <v>20</v>
      </c>
      <c r="U411" t="s">
        <v>1724</v>
      </c>
      <c r="V411" s="4" t="s">
        <v>1695</v>
      </c>
      <c r="W411">
        <v>410</v>
      </c>
      <c r="Y411">
        <f t="shared" si="24"/>
        <v>0</v>
      </c>
      <c r="Z411">
        <f t="shared" si="25"/>
        <v>0</v>
      </c>
    </row>
    <row r="412" spans="1:26" x14ac:dyDescent="0.25">
      <c r="A412" s="4">
        <v>1062</v>
      </c>
      <c r="B412" t="s">
        <v>13</v>
      </c>
      <c r="C412">
        <v>2</v>
      </c>
      <c r="D412">
        <v>1</v>
      </c>
      <c r="E412">
        <v>11</v>
      </c>
      <c r="F412" t="s">
        <v>14</v>
      </c>
      <c r="G412">
        <v>5.6</v>
      </c>
      <c r="I412">
        <v>4</v>
      </c>
      <c r="J412" t="s">
        <v>15</v>
      </c>
      <c r="K412" t="str">
        <f t="shared" si="22"/>
        <v/>
      </c>
      <c r="L412" t="s">
        <v>16</v>
      </c>
      <c r="M412">
        <v>1</v>
      </c>
      <c r="T412">
        <f t="shared" si="23"/>
        <v>20</v>
      </c>
      <c r="U412" t="s">
        <v>1727</v>
      </c>
      <c r="V412" s="4" t="s">
        <v>1688</v>
      </c>
      <c r="W412">
        <v>411</v>
      </c>
      <c r="Y412">
        <f t="shared" si="24"/>
        <v>0</v>
      </c>
      <c r="Z412">
        <f t="shared" si="25"/>
        <v>0</v>
      </c>
    </row>
    <row r="413" spans="1:26" x14ac:dyDescent="0.25">
      <c r="A413" s="4">
        <v>1062</v>
      </c>
      <c r="B413" t="s">
        <v>13</v>
      </c>
      <c r="C413">
        <v>2</v>
      </c>
      <c r="D413">
        <v>1</v>
      </c>
      <c r="E413">
        <v>10</v>
      </c>
      <c r="F413" t="s">
        <v>14</v>
      </c>
      <c r="G413">
        <v>5.6</v>
      </c>
      <c r="I413">
        <v>4</v>
      </c>
      <c r="J413" t="s">
        <v>15</v>
      </c>
      <c r="K413" t="str">
        <f t="shared" si="22"/>
        <v/>
      </c>
      <c r="L413" t="s">
        <v>16</v>
      </c>
      <c r="M413">
        <v>1</v>
      </c>
      <c r="T413">
        <f t="shared" si="23"/>
        <v>20</v>
      </c>
      <c r="U413" t="s">
        <v>1731</v>
      </c>
      <c r="V413" s="4" t="s">
        <v>1688</v>
      </c>
      <c r="W413">
        <v>412</v>
      </c>
      <c r="Y413">
        <f t="shared" si="24"/>
        <v>0</v>
      </c>
      <c r="Z413">
        <f t="shared" si="25"/>
        <v>0</v>
      </c>
    </row>
    <row r="414" spans="1:26" x14ac:dyDescent="0.25">
      <c r="A414" s="4">
        <v>1062</v>
      </c>
      <c r="B414" t="s">
        <v>13</v>
      </c>
      <c r="C414">
        <v>2</v>
      </c>
      <c r="D414">
        <v>1</v>
      </c>
      <c r="E414">
        <v>9</v>
      </c>
      <c r="F414" t="s">
        <v>14</v>
      </c>
      <c r="G414">
        <v>5.6</v>
      </c>
      <c r="I414">
        <v>4</v>
      </c>
      <c r="J414" t="s">
        <v>15</v>
      </c>
      <c r="K414" t="str">
        <f t="shared" si="22"/>
        <v/>
      </c>
      <c r="L414" t="s">
        <v>16</v>
      </c>
      <c r="M414">
        <v>1</v>
      </c>
      <c r="T414">
        <f t="shared" si="23"/>
        <v>20</v>
      </c>
      <c r="U414" t="s">
        <v>1735</v>
      </c>
      <c r="V414" s="4" t="s">
        <v>1688</v>
      </c>
      <c r="W414">
        <v>413</v>
      </c>
      <c r="Y414">
        <f t="shared" si="24"/>
        <v>0</v>
      </c>
      <c r="Z414">
        <f t="shared" si="25"/>
        <v>0</v>
      </c>
    </row>
    <row r="415" spans="1:26" x14ac:dyDescent="0.25">
      <c r="A415" s="4">
        <v>1062</v>
      </c>
      <c r="B415" t="s">
        <v>13</v>
      </c>
      <c r="C415">
        <v>2</v>
      </c>
      <c r="D415">
        <v>1</v>
      </c>
      <c r="E415">
        <v>12</v>
      </c>
      <c r="F415" t="s">
        <v>14</v>
      </c>
      <c r="G415">
        <v>5.6</v>
      </c>
      <c r="I415">
        <v>4</v>
      </c>
      <c r="J415" t="s">
        <v>18</v>
      </c>
      <c r="K415" t="str">
        <f t="shared" si="22"/>
        <v/>
      </c>
      <c r="L415" t="s">
        <v>16</v>
      </c>
      <c r="M415">
        <v>1</v>
      </c>
      <c r="T415">
        <f t="shared" si="23"/>
        <v>20</v>
      </c>
      <c r="U415" t="s">
        <v>1738</v>
      </c>
      <c r="V415" s="4" t="s">
        <v>1688</v>
      </c>
      <c r="W415">
        <v>414</v>
      </c>
      <c r="Y415">
        <f t="shared" si="24"/>
        <v>0</v>
      </c>
      <c r="Z415">
        <f t="shared" si="25"/>
        <v>0</v>
      </c>
    </row>
    <row r="416" spans="1:26" x14ac:dyDescent="0.25">
      <c r="A416" s="4">
        <v>1062</v>
      </c>
      <c r="B416" t="s">
        <v>13</v>
      </c>
      <c r="C416">
        <v>2</v>
      </c>
      <c r="D416">
        <v>1</v>
      </c>
      <c r="E416">
        <v>11</v>
      </c>
      <c r="F416" t="s">
        <v>14</v>
      </c>
      <c r="G416">
        <v>5.6</v>
      </c>
      <c r="I416">
        <v>4</v>
      </c>
      <c r="J416" t="s">
        <v>18</v>
      </c>
      <c r="K416" t="str">
        <f t="shared" si="22"/>
        <v/>
      </c>
      <c r="L416" t="s">
        <v>16</v>
      </c>
      <c r="M416">
        <v>1</v>
      </c>
      <c r="T416">
        <f t="shared" si="23"/>
        <v>20</v>
      </c>
      <c r="U416" t="s">
        <v>1742</v>
      </c>
      <c r="V416" s="4" t="s">
        <v>1260</v>
      </c>
      <c r="W416">
        <v>415</v>
      </c>
      <c r="Y416">
        <f t="shared" si="24"/>
        <v>0</v>
      </c>
      <c r="Z416">
        <f t="shared" si="25"/>
        <v>0</v>
      </c>
    </row>
    <row r="417" spans="1:26" x14ac:dyDescent="0.25">
      <c r="A417" s="4">
        <v>1062</v>
      </c>
      <c r="B417" t="s">
        <v>13</v>
      </c>
      <c r="C417">
        <v>2</v>
      </c>
      <c r="D417">
        <v>1</v>
      </c>
      <c r="E417">
        <v>10</v>
      </c>
      <c r="F417" t="s">
        <v>14</v>
      </c>
      <c r="G417">
        <v>5.6</v>
      </c>
      <c r="I417">
        <v>4</v>
      </c>
      <c r="J417" t="s">
        <v>18</v>
      </c>
      <c r="K417" t="str">
        <f t="shared" si="22"/>
        <v/>
      </c>
      <c r="L417" t="s">
        <v>16</v>
      </c>
      <c r="M417">
        <v>1</v>
      </c>
      <c r="T417">
        <f t="shared" si="23"/>
        <v>20</v>
      </c>
      <c r="U417" t="s">
        <v>1747</v>
      </c>
      <c r="V417" s="4" t="s">
        <v>1748</v>
      </c>
      <c r="W417">
        <v>416</v>
      </c>
      <c r="Y417">
        <f t="shared" si="24"/>
        <v>0</v>
      </c>
      <c r="Z417">
        <f t="shared" si="25"/>
        <v>0</v>
      </c>
    </row>
    <row r="418" spans="1:26" x14ac:dyDescent="0.25">
      <c r="A418" s="4">
        <v>1062</v>
      </c>
      <c r="B418" t="s">
        <v>13</v>
      </c>
      <c r="C418">
        <v>2</v>
      </c>
      <c r="D418">
        <v>1</v>
      </c>
      <c r="E418">
        <v>9</v>
      </c>
      <c r="F418" t="s">
        <v>14</v>
      </c>
      <c r="G418">
        <v>5.6</v>
      </c>
      <c r="I418">
        <v>4</v>
      </c>
      <c r="J418" t="s">
        <v>18</v>
      </c>
      <c r="K418" t="str">
        <f t="shared" si="22"/>
        <v/>
      </c>
      <c r="L418" t="s">
        <v>16</v>
      </c>
      <c r="M418">
        <v>1</v>
      </c>
      <c r="T418">
        <f t="shared" si="23"/>
        <v>20</v>
      </c>
      <c r="U418" t="s">
        <v>1755</v>
      </c>
      <c r="V418" s="4" t="s">
        <v>1748</v>
      </c>
      <c r="W418">
        <v>417</v>
      </c>
      <c r="Y418">
        <f t="shared" si="24"/>
        <v>0</v>
      </c>
      <c r="Z418">
        <f t="shared" si="25"/>
        <v>0</v>
      </c>
    </row>
    <row r="419" spans="1:26" x14ac:dyDescent="0.25">
      <c r="A419" s="4">
        <v>1062</v>
      </c>
      <c r="B419" t="s">
        <v>13</v>
      </c>
      <c r="C419">
        <v>2</v>
      </c>
      <c r="D419">
        <v>1</v>
      </c>
      <c r="E419">
        <v>16</v>
      </c>
      <c r="F419" t="s">
        <v>14</v>
      </c>
      <c r="G419">
        <v>6.2</v>
      </c>
      <c r="I419">
        <v>4</v>
      </c>
      <c r="J419" t="s">
        <v>17</v>
      </c>
      <c r="K419" t="str">
        <f t="shared" si="22"/>
        <v/>
      </c>
      <c r="L419" t="s">
        <v>16</v>
      </c>
      <c r="M419">
        <v>1</v>
      </c>
      <c r="T419">
        <f t="shared" si="23"/>
        <v>20</v>
      </c>
      <c r="U419" t="s">
        <v>1758</v>
      </c>
      <c r="V419" s="4" t="s">
        <v>1748</v>
      </c>
      <c r="W419">
        <v>418</v>
      </c>
      <c r="Y419">
        <f t="shared" si="24"/>
        <v>0</v>
      </c>
      <c r="Z419">
        <f t="shared" si="25"/>
        <v>0</v>
      </c>
    </row>
    <row r="420" spans="1:26" x14ac:dyDescent="0.25">
      <c r="A420" s="4">
        <v>1062</v>
      </c>
      <c r="B420" t="s">
        <v>13</v>
      </c>
      <c r="C420">
        <v>2</v>
      </c>
      <c r="D420">
        <v>1</v>
      </c>
      <c r="E420">
        <v>15</v>
      </c>
      <c r="F420" t="s">
        <v>14</v>
      </c>
      <c r="G420">
        <v>6.2</v>
      </c>
      <c r="I420">
        <v>4</v>
      </c>
      <c r="J420" t="s">
        <v>17</v>
      </c>
      <c r="K420" t="str">
        <f t="shared" si="22"/>
        <v/>
      </c>
      <c r="L420" t="s">
        <v>16</v>
      </c>
      <c r="M420">
        <v>1</v>
      </c>
      <c r="T420">
        <f t="shared" si="23"/>
        <v>20</v>
      </c>
      <c r="U420" t="s">
        <v>1763</v>
      </c>
      <c r="V420" s="4" t="s">
        <v>1764</v>
      </c>
      <c r="W420">
        <v>419</v>
      </c>
      <c r="Y420">
        <f t="shared" si="24"/>
        <v>0</v>
      </c>
      <c r="Z420">
        <f t="shared" si="25"/>
        <v>0</v>
      </c>
    </row>
    <row r="421" spans="1:26" x14ac:dyDescent="0.25">
      <c r="A421" s="4">
        <v>1062</v>
      </c>
      <c r="B421" t="s">
        <v>13</v>
      </c>
      <c r="C421">
        <v>2</v>
      </c>
      <c r="D421">
        <v>1</v>
      </c>
      <c r="E421">
        <v>14</v>
      </c>
      <c r="F421" t="s">
        <v>14</v>
      </c>
      <c r="G421">
        <v>6.2</v>
      </c>
      <c r="I421">
        <v>4</v>
      </c>
      <c r="J421" t="s">
        <v>17</v>
      </c>
      <c r="K421" t="str">
        <f t="shared" si="22"/>
        <v/>
      </c>
      <c r="L421" t="s">
        <v>16</v>
      </c>
      <c r="M421">
        <v>1</v>
      </c>
      <c r="T421">
        <f t="shared" si="23"/>
        <v>20</v>
      </c>
      <c r="U421" t="s">
        <v>1772</v>
      </c>
      <c r="V421" s="4" t="s">
        <v>1764</v>
      </c>
      <c r="W421">
        <v>420</v>
      </c>
      <c r="Y421">
        <f t="shared" si="24"/>
        <v>0</v>
      </c>
      <c r="Z421">
        <f t="shared" si="25"/>
        <v>0</v>
      </c>
    </row>
    <row r="422" spans="1:26" x14ac:dyDescent="0.25">
      <c r="A422" s="4">
        <v>1062</v>
      </c>
      <c r="B422" t="s">
        <v>13</v>
      </c>
      <c r="C422">
        <v>2</v>
      </c>
      <c r="D422">
        <v>1</v>
      </c>
      <c r="E422">
        <v>13</v>
      </c>
      <c r="F422" t="s">
        <v>14</v>
      </c>
      <c r="G422">
        <v>6.2</v>
      </c>
      <c r="I422">
        <v>4</v>
      </c>
      <c r="J422" t="s">
        <v>17</v>
      </c>
      <c r="K422" t="str">
        <f t="shared" si="22"/>
        <v/>
      </c>
      <c r="L422" t="s">
        <v>16</v>
      </c>
      <c r="M422">
        <v>1</v>
      </c>
      <c r="T422">
        <f t="shared" si="23"/>
        <v>20</v>
      </c>
      <c r="U422" t="s">
        <v>1776</v>
      </c>
      <c r="V422" s="4" t="s">
        <v>1777</v>
      </c>
      <c r="W422">
        <v>421</v>
      </c>
      <c r="Y422">
        <f t="shared" si="24"/>
        <v>0</v>
      </c>
      <c r="Z422">
        <f t="shared" si="25"/>
        <v>0</v>
      </c>
    </row>
    <row r="423" spans="1:26" x14ac:dyDescent="0.25">
      <c r="A423" s="4">
        <v>1062</v>
      </c>
      <c r="B423" t="s">
        <v>13</v>
      </c>
      <c r="C423">
        <v>2</v>
      </c>
      <c r="D423">
        <v>1</v>
      </c>
      <c r="E423">
        <v>16</v>
      </c>
      <c r="F423" t="s">
        <v>14</v>
      </c>
      <c r="G423">
        <v>6.2</v>
      </c>
      <c r="I423">
        <v>4</v>
      </c>
      <c r="J423" t="s">
        <v>15</v>
      </c>
      <c r="K423" t="str">
        <f t="shared" si="22"/>
        <v/>
      </c>
      <c r="L423" t="s">
        <v>16</v>
      </c>
      <c r="M423">
        <v>2</v>
      </c>
      <c r="T423">
        <f t="shared" si="23"/>
        <v>20</v>
      </c>
      <c r="U423" t="s">
        <v>1785</v>
      </c>
      <c r="V423" s="4" t="s">
        <v>1777</v>
      </c>
      <c r="W423">
        <v>422</v>
      </c>
      <c r="Y423">
        <f t="shared" si="24"/>
        <v>0</v>
      </c>
      <c r="Z423">
        <f t="shared" si="25"/>
        <v>0</v>
      </c>
    </row>
    <row r="424" spans="1:26" x14ac:dyDescent="0.25">
      <c r="A424" s="4">
        <v>1062</v>
      </c>
      <c r="B424" t="s">
        <v>13</v>
      </c>
      <c r="C424">
        <v>2</v>
      </c>
      <c r="D424">
        <v>1</v>
      </c>
      <c r="E424">
        <v>15</v>
      </c>
      <c r="F424" t="s">
        <v>14</v>
      </c>
      <c r="G424">
        <v>6.2</v>
      </c>
      <c r="I424">
        <v>4</v>
      </c>
      <c r="J424" t="s">
        <v>15</v>
      </c>
      <c r="K424" t="str">
        <f t="shared" si="22"/>
        <v/>
      </c>
      <c r="L424" t="s">
        <v>16</v>
      </c>
      <c r="M424">
        <v>2</v>
      </c>
      <c r="T424">
        <f t="shared" si="23"/>
        <v>20</v>
      </c>
      <c r="U424" t="s">
        <v>1788</v>
      </c>
      <c r="V424" s="4" t="s">
        <v>1777</v>
      </c>
      <c r="W424">
        <v>423</v>
      </c>
      <c r="Y424">
        <f t="shared" si="24"/>
        <v>0</v>
      </c>
      <c r="Z424">
        <f t="shared" si="25"/>
        <v>0</v>
      </c>
    </row>
    <row r="425" spans="1:26" x14ac:dyDescent="0.25">
      <c r="A425" s="4">
        <v>1062</v>
      </c>
      <c r="B425" t="s">
        <v>13</v>
      </c>
      <c r="C425">
        <v>2</v>
      </c>
      <c r="D425">
        <v>1</v>
      </c>
      <c r="E425">
        <v>14</v>
      </c>
      <c r="F425" t="s">
        <v>14</v>
      </c>
      <c r="G425">
        <v>6.2</v>
      </c>
      <c r="I425">
        <v>4</v>
      </c>
      <c r="J425" t="s">
        <v>15</v>
      </c>
      <c r="K425" t="str">
        <f t="shared" si="22"/>
        <v/>
      </c>
      <c r="L425" t="s">
        <v>16</v>
      </c>
      <c r="M425">
        <v>2</v>
      </c>
      <c r="T425">
        <f t="shared" si="23"/>
        <v>20</v>
      </c>
      <c r="U425" t="s">
        <v>1790</v>
      </c>
      <c r="V425" s="4" t="s">
        <v>1791</v>
      </c>
      <c r="W425">
        <v>424</v>
      </c>
      <c r="Y425">
        <f t="shared" si="24"/>
        <v>0</v>
      </c>
      <c r="Z425">
        <f t="shared" si="25"/>
        <v>0</v>
      </c>
    </row>
    <row r="426" spans="1:26" x14ac:dyDescent="0.25">
      <c r="A426" s="4">
        <v>1062</v>
      </c>
      <c r="B426" t="s">
        <v>13</v>
      </c>
      <c r="C426">
        <v>2</v>
      </c>
      <c r="D426">
        <v>1</v>
      </c>
      <c r="E426">
        <v>13</v>
      </c>
      <c r="F426" t="s">
        <v>14</v>
      </c>
      <c r="G426">
        <v>6.2</v>
      </c>
      <c r="I426">
        <v>4</v>
      </c>
      <c r="J426" t="s">
        <v>15</v>
      </c>
      <c r="K426" t="str">
        <f t="shared" si="22"/>
        <v/>
      </c>
      <c r="L426" t="s">
        <v>16</v>
      </c>
      <c r="M426">
        <v>2</v>
      </c>
      <c r="T426">
        <f t="shared" si="23"/>
        <v>20</v>
      </c>
      <c r="U426" t="s">
        <v>1796</v>
      </c>
      <c r="V426" s="4" t="s">
        <v>1791</v>
      </c>
      <c r="W426">
        <v>425</v>
      </c>
      <c r="Y426">
        <f t="shared" si="24"/>
        <v>0</v>
      </c>
      <c r="Z426">
        <f t="shared" si="25"/>
        <v>0</v>
      </c>
    </row>
    <row r="427" spans="1:26" x14ac:dyDescent="0.25">
      <c r="A427" s="4">
        <v>1062</v>
      </c>
      <c r="B427" t="s">
        <v>13</v>
      </c>
      <c r="C427">
        <v>2</v>
      </c>
      <c r="D427">
        <v>1</v>
      </c>
      <c r="E427">
        <v>16</v>
      </c>
      <c r="F427" t="s">
        <v>14</v>
      </c>
      <c r="G427">
        <v>6.2</v>
      </c>
      <c r="I427">
        <v>4</v>
      </c>
      <c r="J427" t="s">
        <v>18</v>
      </c>
      <c r="K427" t="str">
        <f t="shared" si="22"/>
        <v/>
      </c>
      <c r="L427" t="s">
        <v>16</v>
      </c>
      <c r="M427">
        <v>2</v>
      </c>
      <c r="T427">
        <f t="shared" si="23"/>
        <v>20</v>
      </c>
      <c r="U427" t="s">
        <v>1799</v>
      </c>
      <c r="V427" s="4" t="s">
        <v>1791</v>
      </c>
      <c r="W427">
        <v>426</v>
      </c>
      <c r="Y427">
        <f t="shared" si="24"/>
        <v>0</v>
      </c>
      <c r="Z427">
        <f t="shared" si="25"/>
        <v>0</v>
      </c>
    </row>
    <row r="428" spans="1:26" x14ac:dyDescent="0.25">
      <c r="A428" s="4">
        <v>1062</v>
      </c>
      <c r="B428" t="s">
        <v>13</v>
      </c>
      <c r="C428">
        <v>2</v>
      </c>
      <c r="D428">
        <v>1</v>
      </c>
      <c r="E428">
        <v>15</v>
      </c>
      <c r="F428" t="s">
        <v>14</v>
      </c>
      <c r="G428">
        <v>6.2</v>
      </c>
      <c r="I428">
        <v>4</v>
      </c>
      <c r="J428" t="s">
        <v>18</v>
      </c>
      <c r="K428" t="str">
        <f t="shared" si="22"/>
        <v/>
      </c>
      <c r="L428" t="s">
        <v>16</v>
      </c>
      <c r="M428">
        <v>2</v>
      </c>
      <c r="T428">
        <f t="shared" si="23"/>
        <v>20</v>
      </c>
      <c r="U428" t="s">
        <v>1803</v>
      </c>
      <c r="V428" s="4" t="s">
        <v>1804</v>
      </c>
      <c r="W428">
        <v>427</v>
      </c>
      <c r="Y428">
        <f t="shared" si="24"/>
        <v>0</v>
      </c>
      <c r="Z428">
        <f t="shared" si="25"/>
        <v>0</v>
      </c>
    </row>
    <row r="429" spans="1:26" x14ac:dyDescent="0.25">
      <c r="A429" s="4">
        <v>1062</v>
      </c>
      <c r="B429" t="s">
        <v>13</v>
      </c>
      <c r="C429">
        <v>2</v>
      </c>
      <c r="D429">
        <v>1</v>
      </c>
      <c r="E429">
        <v>14</v>
      </c>
      <c r="F429" t="s">
        <v>14</v>
      </c>
      <c r="G429">
        <v>6.2</v>
      </c>
      <c r="I429">
        <v>4</v>
      </c>
      <c r="J429" t="s">
        <v>18</v>
      </c>
      <c r="K429" t="str">
        <f t="shared" si="22"/>
        <v/>
      </c>
      <c r="L429" t="s">
        <v>16</v>
      </c>
      <c r="M429">
        <v>2</v>
      </c>
      <c r="T429">
        <f t="shared" si="23"/>
        <v>20</v>
      </c>
      <c r="U429" t="s">
        <v>1809</v>
      </c>
      <c r="V429" s="4" t="s">
        <v>1804</v>
      </c>
      <c r="W429">
        <v>428</v>
      </c>
      <c r="Y429">
        <f t="shared" si="24"/>
        <v>0</v>
      </c>
      <c r="Z429">
        <f t="shared" si="25"/>
        <v>0</v>
      </c>
    </row>
    <row r="430" spans="1:26" x14ac:dyDescent="0.25">
      <c r="A430" s="4">
        <v>1062</v>
      </c>
      <c r="B430" t="s">
        <v>13</v>
      </c>
      <c r="C430">
        <v>2</v>
      </c>
      <c r="D430">
        <v>1</v>
      </c>
      <c r="E430">
        <v>13</v>
      </c>
      <c r="F430" t="s">
        <v>14</v>
      </c>
      <c r="G430">
        <v>6.2</v>
      </c>
      <c r="I430">
        <v>4</v>
      </c>
      <c r="J430" t="s">
        <v>18</v>
      </c>
      <c r="K430" t="str">
        <f t="shared" si="22"/>
        <v/>
      </c>
      <c r="L430" t="s">
        <v>16</v>
      </c>
      <c r="M430">
        <v>2</v>
      </c>
      <c r="T430">
        <f t="shared" si="23"/>
        <v>20</v>
      </c>
      <c r="U430" t="s">
        <v>1812</v>
      </c>
      <c r="V430" s="4" t="s">
        <v>1804</v>
      </c>
      <c r="W430">
        <v>429</v>
      </c>
      <c r="Y430">
        <f t="shared" si="24"/>
        <v>0</v>
      </c>
      <c r="Z430">
        <f t="shared" si="25"/>
        <v>0</v>
      </c>
    </row>
    <row r="431" spans="1:26" x14ac:dyDescent="0.25">
      <c r="A431" s="4">
        <v>5054</v>
      </c>
      <c r="B431" t="s">
        <v>27</v>
      </c>
      <c r="C431">
        <v>6</v>
      </c>
      <c r="D431">
        <v>1</v>
      </c>
      <c r="E431">
        <v>16</v>
      </c>
      <c r="F431" t="s">
        <v>14</v>
      </c>
      <c r="G431">
        <v>7</v>
      </c>
      <c r="I431">
        <v>4</v>
      </c>
      <c r="J431" t="s">
        <v>15</v>
      </c>
      <c r="K431" t="str">
        <f t="shared" si="22"/>
        <v/>
      </c>
      <c r="L431" t="s">
        <v>16</v>
      </c>
      <c r="M431">
        <v>1</v>
      </c>
      <c r="T431">
        <f t="shared" si="23"/>
        <v>20</v>
      </c>
      <c r="U431" t="s">
        <v>1814</v>
      </c>
      <c r="V431" s="4" t="s">
        <v>1815</v>
      </c>
      <c r="W431">
        <v>430</v>
      </c>
      <c r="Y431">
        <f t="shared" si="24"/>
        <v>0</v>
      </c>
      <c r="Z431">
        <f t="shared" si="25"/>
        <v>0</v>
      </c>
    </row>
    <row r="432" spans="1:26" x14ac:dyDescent="0.25">
      <c r="A432" s="4">
        <v>5054</v>
      </c>
      <c r="B432" t="s">
        <v>27</v>
      </c>
      <c r="C432">
        <v>6</v>
      </c>
      <c r="D432">
        <v>1</v>
      </c>
      <c r="E432">
        <v>15</v>
      </c>
      <c r="F432" t="s">
        <v>14</v>
      </c>
      <c r="G432">
        <v>7</v>
      </c>
      <c r="I432">
        <v>4</v>
      </c>
      <c r="J432" t="s">
        <v>15</v>
      </c>
      <c r="K432" t="str">
        <f t="shared" si="22"/>
        <v/>
      </c>
      <c r="L432" t="s">
        <v>16</v>
      </c>
      <c r="M432">
        <v>1</v>
      </c>
      <c r="T432">
        <f t="shared" si="23"/>
        <v>20</v>
      </c>
      <c r="U432" t="s">
        <v>1820</v>
      </c>
      <c r="V432" s="4" t="s">
        <v>1815</v>
      </c>
      <c r="W432">
        <v>431</v>
      </c>
      <c r="Y432">
        <f t="shared" si="24"/>
        <v>0</v>
      </c>
      <c r="Z432">
        <f t="shared" si="25"/>
        <v>0</v>
      </c>
    </row>
    <row r="433" spans="1:26" x14ac:dyDescent="0.25">
      <c r="A433" s="4">
        <v>5054</v>
      </c>
      <c r="B433" t="s">
        <v>27</v>
      </c>
      <c r="C433">
        <v>6</v>
      </c>
      <c r="D433">
        <v>1</v>
      </c>
      <c r="E433">
        <v>14</v>
      </c>
      <c r="F433" t="s">
        <v>14</v>
      </c>
      <c r="G433">
        <v>7</v>
      </c>
      <c r="I433">
        <v>4</v>
      </c>
      <c r="J433" t="s">
        <v>15</v>
      </c>
      <c r="K433" t="str">
        <f t="shared" si="22"/>
        <v/>
      </c>
      <c r="L433" t="s">
        <v>16</v>
      </c>
      <c r="M433">
        <v>1</v>
      </c>
      <c r="T433">
        <f t="shared" si="23"/>
        <v>20</v>
      </c>
      <c r="U433" t="s">
        <v>1823</v>
      </c>
      <c r="V433" s="4" t="s">
        <v>1815</v>
      </c>
      <c r="W433">
        <v>432</v>
      </c>
      <c r="Y433">
        <f t="shared" si="24"/>
        <v>0</v>
      </c>
      <c r="Z433">
        <f t="shared" si="25"/>
        <v>0</v>
      </c>
    </row>
    <row r="434" spans="1:26" x14ac:dyDescent="0.25">
      <c r="A434" s="4">
        <v>5054</v>
      </c>
      <c r="B434" t="s">
        <v>27</v>
      </c>
      <c r="C434">
        <v>6</v>
      </c>
      <c r="D434">
        <v>1</v>
      </c>
      <c r="E434">
        <v>13</v>
      </c>
      <c r="F434" t="s">
        <v>14</v>
      </c>
      <c r="G434">
        <v>7</v>
      </c>
      <c r="I434">
        <v>4</v>
      </c>
      <c r="J434" t="s">
        <v>15</v>
      </c>
      <c r="K434" t="str">
        <f t="shared" si="22"/>
        <v/>
      </c>
      <c r="L434" t="s">
        <v>16</v>
      </c>
      <c r="M434">
        <v>1</v>
      </c>
      <c r="T434">
        <f t="shared" si="23"/>
        <v>20</v>
      </c>
      <c r="U434" t="s">
        <v>1827</v>
      </c>
      <c r="V434" s="4" t="s">
        <v>1828</v>
      </c>
      <c r="W434">
        <v>433</v>
      </c>
      <c r="Y434">
        <f t="shared" si="24"/>
        <v>0</v>
      </c>
      <c r="Z434">
        <f t="shared" si="25"/>
        <v>0</v>
      </c>
    </row>
    <row r="435" spans="1:26" x14ac:dyDescent="0.25">
      <c r="A435" s="4">
        <v>5054</v>
      </c>
      <c r="B435" t="s">
        <v>27</v>
      </c>
      <c r="C435">
        <v>6</v>
      </c>
      <c r="D435">
        <v>1</v>
      </c>
      <c r="E435">
        <v>16</v>
      </c>
      <c r="F435" t="s">
        <v>14</v>
      </c>
      <c r="G435">
        <v>7</v>
      </c>
      <c r="I435">
        <v>4</v>
      </c>
      <c r="J435" t="s">
        <v>18</v>
      </c>
      <c r="K435" t="str">
        <f t="shared" si="22"/>
        <v/>
      </c>
      <c r="L435" t="s">
        <v>16</v>
      </c>
      <c r="M435">
        <v>2</v>
      </c>
      <c r="T435">
        <f t="shared" si="23"/>
        <v>20</v>
      </c>
      <c r="U435" t="s">
        <v>1834</v>
      </c>
      <c r="V435" s="4" t="s">
        <v>1835</v>
      </c>
      <c r="W435">
        <v>434</v>
      </c>
      <c r="Y435">
        <f t="shared" si="24"/>
        <v>0</v>
      </c>
      <c r="Z435">
        <f t="shared" si="25"/>
        <v>0</v>
      </c>
    </row>
    <row r="436" spans="1:26" x14ac:dyDescent="0.25">
      <c r="A436" s="4">
        <v>5054</v>
      </c>
      <c r="B436" t="s">
        <v>27</v>
      </c>
      <c r="C436">
        <v>6</v>
      </c>
      <c r="D436">
        <v>1</v>
      </c>
      <c r="E436">
        <v>15</v>
      </c>
      <c r="F436" t="s">
        <v>14</v>
      </c>
      <c r="G436">
        <v>7</v>
      </c>
      <c r="I436">
        <v>4</v>
      </c>
      <c r="J436" t="s">
        <v>18</v>
      </c>
      <c r="K436" t="str">
        <f t="shared" si="22"/>
        <v/>
      </c>
      <c r="L436" t="s">
        <v>16</v>
      </c>
      <c r="M436">
        <v>2</v>
      </c>
      <c r="T436">
        <f t="shared" si="23"/>
        <v>20</v>
      </c>
      <c r="U436" t="s">
        <v>1839</v>
      </c>
      <c r="V436" s="4" t="s">
        <v>1840</v>
      </c>
      <c r="W436">
        <v>435</v>
      </c>
      <c r="Y436">
        <f t="shared" si="24"/>
        <v>0</v>
      </c>
      <c r="Z436">
        <f t="shared" si="25"/>
        <v>0</v>
      </c>
    </row>
    <row r="437" spans="1:26" x14ac:dyDescent="0.25">
      <c r="A437" s="4">
        <v>5054</v>
      </c>
      <c r="B437" t="s">
        <v>27</v>
      </c>
      <c r="C437">
        <v>6</v>
      </c>
      <c r="D437">
        <v>1</v>
      </c>
      <c r="E437">
        <v>14</v>
      </c>
      <c r="F437" t="s">
        <v>14</v>
      </c>
      <c r="G437">
        <v>7</v>
      </c>
      <c r="I437">
        <v>4</v>
      </c>
      <c r="J437" t="s">
        <v>18</v>
      </c>
      <c r="K437" t="str">
        <f t="shared" si="22"/>
        <v/>
      </c>
      <c r="L437" t="s">
        <v>16</v>
      </c>
      <c r="M437">
        <v>2</v>
      </c>
      <c r="T437">
        <f t="shared" si="23"/>
        <v>20</v>
      </c>
      <c r="U437" t="s">
        <v>1844</v>
      </c>
      <c r="V437" s="4" t="s">
        <v>1845</v>
      </c>
      <c r="W437">
        <v>436</v>
      </c>
      <c r="Y437">
        <f t="shared" si="24"/>
        <v>0</v>
      </c>
      <c r="Z437">
        <f t="shared" si="25"/>
        <v>0</v>
      </c>
    </row>
    <row r="438" spans="1:26" x14ac:dyDescent="0.25">
      <c r="A438" s="4">
        <v>5054</v>
      </c>
      <c r="B438" t="s">
        <v>27</v>
      </c>
      <c r="C438">
        <v>6</v>
      </c>
      <c r="D438">
        <v>1</v>
      </c>
      <c r="E438">
        <v>13</v>
      </c>
      <c r="F438" t="s">
        <v>14</v>
      </c>
      <c r="G438">
        <v>7</v>
      </c>
      <c r="I438">
        <v>4</v>
      </c>
      <c r="J438" t="s">
        <v>18</v>
      </c>
      <c r="K438" t="str">
        <f t="shared" si="22"/>
        <v/>
      </c>
      <c r="L438" t="s">
        <v>16</v>
      </c>
      <c r="M438">
        <v>2</v>
      </c>
      <c r="T438">
        <f t="shared" si="23"/>
        <v>20</v>
      </c>
      <c r="U438" t="s">
        <v>1850</v>
      </c>
      <c r="V438" s="4" t="s">
        <v>1845</v>
      </c>
      <c r="W438">
        <v>437</v>
      </c>
      <c r="Y438">
        <f t="shared" si="24"/>
        <v>0</v>
      </c>
      <c r="Z438">
        <f t="shared" si="25"/>
        <v>0</v>
      </c>
    </row>
    <row r="439" spans="1:26" x14ac:dyDescent="0.25">
      <c r="A439" s="4">
        <v>4001</v>
      </c>
      <c r="B439" t="s">
        <v>28</v>
      </c>
      <c r="C439">
        <v>1</v>
      </c>
      <c r="D439">
        <v>1</v>
      </c>
      <c r="E439">
        <v>6</v>
      </c>
      <c r="F439" t="s">
        <v>14</v>
      </c>
      <c r="G439">
        <v>11</v>
      </c>
      <c r="I439">
        <v>4</v>
      </c>
      <c r="J439" t="s">
        <v>29</v>
      </c>
      <c r="K439" t="str">
        <f t="shared" si="22"/>
        <v/>
      </c>
      <c r="L439" t="s">
        <v>16</v>
      </c>
      <c r="M439">
        <v>2</v>
      </c>
      <c r="T439">
        <f t="shared" si="23"/>
        <v>20</v>
      </c>
      <c r="U439" t="s">
        <v>1853</v>
      </c>
      <c r="V439" s="4" t="s">
        <v>1845</v>
      </c>
      <c r="W439">
        <v>438</v>
      </c>
      <c r="Y439">
        <f t="shared" si="24"/>
        <v>0</v>
      </c>
      <c r="Z439">
        <f t="shared" si="25"/>
        <v>0</v>
      </c>
    </row>
    <row r="440" spans="1:26" x14ac:dyDescent="0.25">
      <c r="A440" s="4">
        <v>4001</v>
      </c>
      <c r="B440" t="s">
        <v>28</v>
      </c>
      <c r="C440">
        <v>1</v>
      </c>
      <c r="D440">
        <v>1</v>
      </c>
      <c r="E440">
        <v>8</v>
      </c>
      <c r="F440" t="s">
        <v>14</v>
      </c>
      <c r="G440">
        <v>11</v>
      </c>
      <c r="I440">
        <v>4</v>
      </c>
      <c r="J440" t="s">
        <v>29</v>
      </c>
      <c r="K440" t="str">
        <f t="shared" si="22"/>
        <v/>
      </c>
      <c r="L440" t="s">
        <v>16</v>
      </c>
      <c r="M440">
        <v>2</v>
      </c>
      <c r="T440">
        <f t="shared" si="23"/>
        <v>20</v>
      </c>
      <c r="U440" t="s">
        <v>1855</v>
      </c>
      <c r="V440" s="4" t="s">
        <v>470</v>
      </c>
      <c r="W440">
        <v>439</v>
      </c>
      <c r="Y440">
        <f t="shared" si="24"/>
        <v>0</v>
      </c>
      <c r="Z440">
        <f t="shared" si="25"/>
        <v>0</v>
      </c>
    </row>
    <row r="441" spans="1:26" x14ac:dyDescent="0.25">
      <c r="A441" s="4">
        <v>4001</v>
      </c>
      <c r="B441" t="s">
        <v>28</v>
      </c>
      <c r="C441">
        <v>1</v>
      </c>
      <c r="D441">
        <v>1</v>
      </c>
      <c r="E441">
        <v>10</v>
      </c>
      <c r="F441" t="s">
        <v>14</v>
      </c>
      <c r="G441">
        <v>11</v>
      </c>
      <c r="I441">
        <v>4</v>
      </c>
      <c r="J441" t="s">
        <v>29</v>
      </c>
      <c r="K441" t="str">
        <f t="shared" si="22"/>
        <v/>
      </c>
      <c r="L441" t="s">
        <v>16</v>
      </c>
      <c r="M441">
        <v>2</v>
      </c>
      <c r="T441">
        <f t="shared" si="23"/>
        <v>20</v>
      </c>
      <c r="U441" t="s">
        <v>1859</v>
      </c>
      <c r="V441" s="4" t="s">
        <v>473</v>
      </c>
      <c r="W441">
        <v>440</v>
      </c>
      <c r="Y441">
        <f t="shared" si="24"/>
        <v>0</v>
      </c>
      <c r="Z441">
        <f t="shared" si="25"/>
        <v>0</v>
      </c>
    </row>
    <row r="442" spans="1:26" x14ac:dyDescent="0.25">
      <c r="A442" s="4">
        <v>4001</v>
      </c>
      <c r="B442" t="s">
        <v>28</v>
      </c>
      <c r="C442">
        <v>1</v>
      </c>
      <c r="D442">
        <v>1</v>
      </c>
      <c r="E442">
        <v>12</v>
      </c>
      <c r="F442" t="s">
        <v>14</v>
      </c>
      <c r="G442">
        <v>11</v>
      </c>
      <c r="I442">
        <v>4</v>
      </c>
      <c r="J442" t="s">
        <v>29</v>
      </c>
      <c r="K442" t="str">
        <f t="shared" si="22"/>
        <v/>
      </c>
      <c r="L442" t="s">
        <v>16</v>
      </c>
      <c r="M442">
        <v>2</v>
      </c>
      <c r="T442">
        <f t="shared" si="23"/>
        <v>20</v>
      </c>
      <c r="U442" t="s">
        <v>1863</v>
      </c>
      <c r="V442" s="4" t="s">
        <v>467</v>
      </c>
      <c r="W442">
        <v>441</v>
      </c>
      <c r="Y442">
        <f t="shared" si="24"/>
        <v>0</v>
      </c>
      <c r="Z442">
        <f t="shared" si="25"/>
        <v>0</v>
      </c>
    </row>
    <row r="443" spans="1:26" x14ac:dyDescent="0.25">
      <c r="A443" s="4">
        <v>4001</v>
      </c>
      <c r="B443" t="s">
        <v>28</v>
      </c>
      <c r="C443">
        <v>1</v>
      </c>
      <c r="D443">
        <v>1</v>
      </c>
      <c r="E443">
        <v>6</v>
      </c>
      <c r="F443" t="s">
        <v>14</v>
      </c>
      <c r="G443">
        <v>11</v>
      </c>
      <c r="I443">
        <v>4</v>
      </c>
      <c r="J443" t="s">
        <v>17</v>
      </c>
      <c r="K443" t="str">
        <f t="shared" si="22"/>
        <v/>
      </c>
      <c r="L443" t="s">
        <v>16</v>
      </c>
      <c r="M443">
        <v>2</v>
      </c>
      <c r="T443">
        <f t="shared" si="23"/>
        <v>20</v>
      </c>
      <c r="U443" t="s">
        <v>1867</v>
      </c>
      <c r="V443" s="4" t="s">
        <v>1868</v>
      </c>
      <c r="W443">
        <v>442</v>
      </c>
      <c r="Y443">
        <f t="shared" si="24"/>
        <v>0</v>
      </c>
      <c r="Z443">
        <f t="shared" si="25"/>
        <v>0</v>
      </c>
    </row>
    <row r="444" spans="1:26" x14ac:dyDescent="0.25">
      <c r="A444" s="4">
        <v>4001</v>
      </c>
      <c r="B444" t="s">
        <v>28</v>
      </c>
      <c r="C444">
        <v>1</v>
      </c>
      <c r="D444">
        <v>1</v>
      </c>
      <c r="E444">
        <v>8</v>
      </c>
      <c r="F444" t="s">
        <v>14</v>
      </c>
      <c r="G444">
        <v>11</v>
      </c>
      <c r="I444">
        <v>4</v>
      </c>
      <c r="J444" t="s">
        <v>17</v>
      </c>
      <c r="K444" t="str">
        <f t="shared" si="22"/>
        <v/>
      </c>
      <c r="L444" t="s">
        <v>16</v>
      </c>
      <c r="M444">
        <v>2</v>
      </c>
      <c r="T444">
        <f t="shared" si="23"/>
        <v>20</v>
      </c>
      <c r="U444" t="s">
        <v>1872</v>
      </c>
      <c r="V444" s="4" t="s">
        <v>1868</v>
      </c>
      <c r="W444">
        <v>443</v>
      </c>
      <c r="Y444">
        <f t="shared" si="24"/>
        <v>0</v>
      </c>
      <c r="Z444">
        <f t="shared" si="25"/>
        <v>0</v>
      </c>
    </row>
    <row r="445" spans="1:26" x14ac:dyDescent="0.25">
      <c r="A445" s="4">
        <v>4001</v>
      </c>
      <c r="B445" t="s">
        <v>28</v>
      </c>
      <c r="C445">
        <v>1</v>
      </c>
      <c r="D445">
        <v>1</v>
      </c>
      <c r="E445">
        <v>10</v>
      </c>
      <c r="F445" t="s">
        <v>14</v>
      </c>
      <c r="G445">
        <v>11</v>
      </c>
      <c r="I445">
        <v>4</v>
      </c>
      <c r="J445" t="s">
        <v>17</v>
      </c>
      <c r="K445" t="str">
        <f t="shared" si="22"/>
        <v/>
      </c>
      <c r="L445" t="s">
        <v>16</v>
      </c>
      <c r="M445">
        <v>2</v>
      </c>
      <c r="T445">
        <f t="shared" si="23"/>
        <v>20</v>
      </c>
      <c r="U445" t="s">
        <v>1874</v>
      </c>
      <c r="V445" s="4" t="s">
        <v>1868</v>
      </c>
      <c r="W445">
        <v>444</v>
      </c>
      <c r="Y445">
        <f t="shared" si="24"/>
        <v>0</v>
      </c>
      <c r="Z445">
        <f t="shared" si="25"/>
        <v>0</v>
      </c>
    </row>
    <row r="446" spans="1:26" x14ac:dyDescent="0.25">
      <c r="A446" s="4">
        <v>4001</v>
      </c>
      <c r="B446" t="s">
        <v>28</v>
      </c>
      <c r="C446">
        <v>1</v>
      </c>
      <c r="D446">
        <v>1</v>
      </c>
      <c r="E446">
        <v>12</v>
      </c>
      <c r="F446" t="s">
        <v>14</v>
      </c>
      <c r="G446">
        <v>11</v>
      </c>
      <c r="I446">
        <v>4</v>
      </c>
      <c r="J446" t="s">
        <v>17</v>
      </c>
      <c r="K446" t="str">
        <f t="shared" si="22"/>
        <v/>
      </c>
      <c r="L446" t="s">
        <v>16</v>
      </c>
      <c r="M446">
        <v>2</v>
      </c>
      <c r="T446">
        <f t="shared" si="23"/>
        <v>20</v>
      </c>
      <c r="U446" t="s">
        <v>1876</v>
      </c>
      <c r="V446" s="4" t="s">
        <v>1877</v>
      </c>
      <c r="W446">
        <v>445</v>
      </c>
      <c r="Y446">
        <f t="shared" si="24"/>
        <v>0</v>
      </c>
      <c r="Z446">
        <f t="shared" si="25"/>
        <v>0</v>
      </c>
    </row>
    <row r="447" spans="1:26" x14ac:dyDescent="0.25">
      <c r="A447" s="4">
        <v>4002</v>
      </c>
      <c r="B447" t="s">
        <v>28</v>
      </c>
      <c r="C447">
        <v>1</v>
      </c>
      <c r="D447">
        <v>1</v>
      </c>
      <c r="E447">
        <v>6</v>
      </c>
      <c r="F447" t="s">
        <v>14</v>
      </c>
      <c r="G447">
        <v>11</v>
      </c>
      <c r="I447">
        <v>4</v>
      </c>
      <c r="J447" t="s">
        <v>30</v>
      </c>
      <c r="K447" t="str">
        <f t="shared" si="22"/>
        <v/>
      </c>
      <c r="L447" t="s">
        <v>16</v>
      </c>
      <c r="M447">
        <v>2</v>
      </c>
      <c r="T447">
        <f t="shared" si="23"/>
        <v>20</v>
      </c>
      <c r="U447" t="s">
        <v>1883</v>
      </c>
      <c r="V447" s="4" t="s">
        <v>1877</v>
      </c>
      <c r="W447">
        <v>446</v>
      </c>
      <c r="Y447">
        <f t="shared" si="24"/>
        <v>0</v>
      </c>
      <c r="Z447">
        <f t="shared" si="25"/>
        <v>0</v>
      </c>
    </row>
    <row r="448" spans="1:26" x14ac:dyDescent="0.25">
      <c r="A448" s="4">
        <v>4002</v>
      </c>
      <c r="B448" t="s">
        <v>28</v>
      </c>
      <c r="C448">
        <v>1</v>
      </c>
      <c r="D448">
        <v>1</v>
      </c>
      <c r="E448">
        <v>8</v>
      </c>
      <c r="F448" t="s">
        <v>14</v>
      </c>
      <c r="G448">
        <v>11</v>
      </c>
      <c r="I448">
        <v>4</v>
      </c>
      <c r="J448" t="s">
        <v>30</v>
      </c>
      <c r="K448" t="str">
        <f t="shared" si="22"/>
        <v/>
      </c>
      <c r="L448" t="s">
        <v>16</v>
      </c>
      <c r="M448">
        <v>2</v>
      </c>
      <c r="T448">
        <f t="shared" si="23"/>
        <v>20</v>
      </c>
      <c r="U448" t="s">
        <v>1885</v>
      </c>
      <c r="V448" s="4" t="s">
        <v>1877</v>
      </c>
      <c r="W448">
        <v>447</v>
      </c>
      <c r="Y448">
        <f t="shared" si="24"/>
        <v>0</v>
      </c>
      <c r="Z448">
        <f t="shared" si="25"/>
        <v>0</v>
      </c>
    </row>
    <row r="449" spans="1:26" x14ac:dyDescent="0.25">
      <c r="A449" s="4">
        <v>4002</v>
      </c>
      <c r="B449" t="s">
        <v>28</v>
      </c>
      <c r="C449">
        <v>1</v>
      </c>
      <c r="D449">
        <v>1</v>
      </c>
      <c r="E449">
        <v>10</v>
      </c>
      <c r="F449" t="s">
        <v>14</v>
      </c>
      <c r="G449">
        <v>11</v>
      </c>
      <c r="I449">
        <v>4</v>
      </c>
      <c r="J449" t="s">
        <v>30</v>
      </c>
      <c r="K449" t="str">
        <f t="shared" si="22"/>
        <v/>
      </c>
      <c r="L449" t="s">
        <v>16</v>
      </c>
      <c r="M449">
        <v>2</v>
      </c>
      <c r="T449">
        <f t="shared" si="23"/>
        <v>20</v>
      </c>
      <c r="U449" t="s">
        <v>1887</v>
      </c>
      <c r="V449" s="4" t="s">
        <v>1446</v>
      </c>
      <c r="W449">
        <v>448</v>
      </c>
      <c r="Y449">
        <f t="shared" si="24"/>
        <v>0</v>
      </c>
      <c r="Z449">
        <f t="shared" si="25"/>
        <v>0</v>
      </c>
    </row>
    <row r="450" spans="1:26" x14ac:dyDescent="0.25">
      <c r="A450" s="4">
        <v>4002</v>
      </c>
      <c r="B450" t="s">
        <v>28</v>
      </c>
      <c r="C450">
        <v>1</v>
      </c>
      <c r="D450">
        <v>1</v>
      </c>
      <c r="E450">
        <v>12</v>
      </c>
      <c r="F450" t="s">
        <v>14</v>
      </c>
      <c r="G450">
        <v>11</v>
      </c>
      <c r="I450">
        <v>4</v>
      </c>
      <c r="J450" t="s">
        <v>30</v>
      </c>
      <c r="K450" t="str">
        <f t="shared" si="22"/>
        <v/>
      </c>
      <c r="L450" t="s">
        <v>16</v>
      </c>
      <c r="M450">
        <v>2</v>
      </c>
      <c r="T450">
        <f t="shared" si="23"/>
        <v>20</v>
      </c>
      <c r="U450" t="s">
        <v>1892</v>
      </c>
      <c r="V450" s="4" t="s">
        <v>1446</v>
      </c>
      <c r="W450">
        <v>449</v>
      </c>
      <c r="Y450">
        <f t="shared" si="24"/>
        <v>0</v>
      </c>
      <c r="Z450">
        <f t="shared" si="25"/>
        <v>0</v>
      </c>
    </row>
    <row r="451" spans="1:26" x14ac:dyDescent="0.25">
      <c r="A451" s="4">
        <v>4002</v>
      </c>
      <c r="B451" t="s">
        <v>28</v>
      </c>
      <c r="C451">
        <v>1</v>
      </c>
      <c r="D451">
        <v>1</v>
      </c>
      <c r="E451">
        <v>6</v>
      </c>
      <c r="F451" t="s">
        <v>14</v>
      </c>
      <c r="G451">
        <v>11</v>
      </c>
      <c r="I451">
        <v>4</v>
      </c>
      <c r="J451" t="s">
        <v>31</v>
      </c>
      <c r="K451" t="str">
        <f t="shared" ref="K451:K514" si="26">_xlfn.XLOOKUP(A451,V:V,U:U,"",0)</f>
        <v/>
      </c>
      <c r="L451" t="s">
        <v>16</v>
      </c>
      <c r="M451">
        <v>2</v>
      </c>
      <c r="T451">
        <f t="shared" ref="T451:T514" si="27">LEN(U451)</f>
        <v>20</v>
      </c>
      <c r="U451" t="s">
        <v>1894</v>
      </c>
      <c r="V451" s="4" t="s">
        <v>1446</v>
      </c>
      <c r="W451">
        <v>450</v>
      </c>
      <c r="Y451">
        <f t="shared" ref="Y451:Y514" si="28">LEN(O451)</f>
        <v>0</v>
      </c>
      <c r="Z451">
        <f t="shared" ref="Z451:Z514" si="29">LEN(P451)</f>
        <v>0</v>
      </c>
    </row>
    <row r="452" spans="1:26" x14ac:dyDescent="0.25">
      <c r="A452" s="4">
        <v>4002</v>
      </c>
      <c r="B452" t="s">
        <v>28</v>
      </c>
      <c r="C452">
        <v>1</v>
      </c>
      <c r="D452">
        <v>1</v>
      </c>
      <c r="E452">
        <v>8</v>
      </c>
      <c r="F452" t="s">
        <v>14</v>
      </c>
      <c r="G452">
        <v>11</v>
      </c>
      <c r="I452">
        <v>4</v>
      </c>
      <c r="J452" t="s">
        <v>31</v>
      </c>
      <c r="K452" t="str">
        <f t="shared" si="26"/>
        <v/>
      </c>
      <c r="L452" t="s">
        <v>16</v>
      </c>
      <c r="M452">
        <v>2</v>
      </c>
      <c r="T452">
        <f t="shared" si="27"/>
        <v>20</v>
      </c>
      <c r="U452" t="s">
        <v>1897</v>
      </c>
      <c r="V452" s="4" t="s">
        <v>1446</v>
      </c>
      <c r="W452">
        <v>451</v>
      </c>
      <c r="Y452">
        <f t="shared" si="28"/>
        <v>0</v>
      </c>
      <c r="Z452">
        <f t="shared" si="29"/>
        <v>0</v>
      </c>
    </row>
    <row r="453" spans="1:26" x14ac:dyDescent="0.25">
      <c r="A453" s="4">
        <v>4002</v>
      </c>
      <c r="B453" t="s">
        <v>28</v>
      </c>
      <c r="C453">
        <v>1</v>
      </c>
      <c r="D453">
        <v>1</v>
      </c>
      <c r="E453">
        <v>10</v>
      </c>
      <c r="F453" t="s">
        <v>14</v>
      </c>
      <c r="G453">
        <v>11</v>
      </c>
      <c r="I453">
        <v>4</v>
      </c>
      <c r="J453" t="s">
        <v>31</v>
      </c>
      <c r="K453" t="str">
        <f t="shared" si="26"/>
        <v/>
      </c>
      <c r="L453" t="s">
        <v>16</v>
      </c>
      <c r="M453">
        <v>2</v>
      </c>
      <c r="T453">
        <f t="shared" si="27"/>
        <v>20</v>
      </c>
      <c r="U453" t="s">
        <v>1899</v>
      </c>
      <c r="V453" s="4" t="s">
        <v>1900</v>
      </c>
      <c r="W453">
        <v>452</v>
      </c>
      <c r="Y453">
        <f t="shared" si="28"/>
        <v>0</v>
      </c>
      <c r="Z453">
        <f t="shared" si="29"/>
        <v>0</v>
      </c>
    </row>
    <row r="454" spans="1:26" x14ac:dyDescent="0.25">
      <c r="A454" s="4">
        <v>4002</v>
      </c>
      <c r="B454" t="s">
        <v>28</v>
      </c>
      <c r="C454">
        <v>1</v>
      </c>
      <c r="D454">
        <v>1</v>
      </c>
      <c r="E454">
        <v>12</v>
      </c>
      <c r="F454" t="s">
        <v>14</v>
      </c>
      <c r="G454">
        <v>11</v>
      </c>
      <c r="I454">
        <v>4</v>
      </c>
      <c r="J454" t="s">
        <v>31</v>
      </c>
      <c r="K454" t="str">
        <f t="shared" si="26"/>
        <v/>
      </c>
      <c r="L454" t="s">
        <v>16</v>
      </c>
      <c r="M454">
        <v>2</v>
      </c>
      <c r="T454">
        <f t="shared" si="27"/>
        <v>20</v>
      </c>
      <c r="U454" t="s">
        <v>1903</v>
      </c>
      <c r="V454" s="4" t="s">
        <v>1900</v>
      </c>
      <c r="W454">
        <v>453</v>
      </c>
      <c r="Y454">
        <f t="shared" si="28"/>
        <v>0</v>
      </c>
      <c r="Z454">
        <f t="shared" si="29"/>
        <v>0</v>
      </c>
    </row>
    <row r="455" spans="1:26" x14ac:dyDescent="0.25">
      <c r="A455" s="4">
        <v>4002</v>
      </c>
      <c r="B455" t="s">
        <v>28</v>
      </c>
      <c r="C455">
        <v>1</v>
      </c>
      <c r="D455">
        <v>1</v>
      </c>
      <c r="E455">
        <v>6</v>
      </c>
      <c r="F455" t="s">
        <v>14</v>
      </c>
      <c r="G455">
        <v>11</v>
      </c>
      <c r="I455">
        <v>4</v>
      </c>
      <c r="J455" t="s">
        <v>32</v>
      </c>
      <c r="K455" t="str">
        <f t="shared" si="26"/>
        <v/>
      </c>
      <c r="L455" t="s">
        <v>16</v>
      </c>
      <c r="M455">
        <v>4</v>
      </c>
      <c r="T455">
        <f t="shared" si="27"/>
        <v>20</v>
      </c>
      <c r="U455" t="s">
        <v>1906</v>
      </c>
      <c r="V455" s="4" t="s">
        <v>1900</v>
      </c>
      <c r="W455">
        <v>454</v>
      </c>
      <c r="Y455">
        <f t="shared" si="28"/>
        <v>0</v>
      </c>
      <c r="Z455">
        <f t="shared" si="29"/>
        <v>0</v>
      </c>
    </row>
    <row r="456" spans="1:26" x14ac:dyDescent="0.25">
      <c r="A456" s="4">
        <v>4002</v>
      </c>
      <c r="B456" t="s">
        <v>28</v>
      </c>
      <c r="C456">
        <v>1</v>
      </c>
      <c r="D456">
        <v>1</v>
      </c>
      <c r="E456">
        <v>8</v>
      </c>
      <c r="F456" t="s">
        <v>14</v>
      </c>
      <c r="G456">
        <v>11</v>
      </c>
      <c r="I456">
        <v>4</v>
      </c>
      <c r="J456" t="s">
        <v>32</v>
      </c>
      <c r="K456" t="str">
        <f t="shared" si="26"/>
        <v/>
      </c>
      <c r="L456" t="s">
        <v>16</v>
      </c>
      <c r="M456">
        <v>4</v>
      </c>
      <c r="T456">
        <f t="shared" si="27"/>
        <v>20</v>
      </c>
      <c r="U456" t="s">
        <v>1908</v>
      </c>
      <c r="V456" s="4" t="s">
        <v>1900</v>
      </c>
      <c r="W456">
        <v>455</v>
      </c>
      <c r="Y456">
        <f t="shared" si="28"/>
        <v>0</v>
      </c>
      <c r="Z456">
        <f t="shared" si="29"/>
        <v>0</v>
      </c>
    </row>
    <row r="457" spans="1:26" x14ac:dyDescent="0.25">
      <c r="A457" s="4">
        <v>4002</v>
      </c>
      <c r="B457" t="s">
        <v>28</v>
      </c>
      <c r="C457">
        <v>1</v>
      </c>
      <c r="D457">
        <v>1</v>
      </c>
      <c r="E457">
        <v>10</v>
      </c>
      <c r="F457" t="s">
        <v>14</v>
      </c>
      <c r="G457">
        <v>11</v>
      </c>
      <c r="I457">
        <v>4</v>
      </c>
      <c r="J457" t="s">
        <v>32</v>
      </c>
      <c r="K457" t="str">
        <f t="shared" si="26"/>
        <v/>
      </c>
      <c r="L457" t="s">
        <v>16</v>
      </c>
      <c r="M457">
        <v>4</v>
      </c>
      <c r="T457">
        <f t="shared" si="27"/>
        <v>20</v>
      </c>
      <c r="U457" t="s">
        <v>1911</v>
      </c>
      <c r="V457" s="4" t="s">
        <v>1900</v>
      </c>
      <c r="W457">
        <v>456</v>
      </c>
      <c r="Y457">
        <f t="shared" si="28"/>
        <v>0</v>
      </c>
      <c r="Z457">
        <f t="shared" si="29"/>
        <v>0</v>
      </c>
    </row>
    <row r="458" spans="1:26" x14ac:dyDescent="0.25">
      <c r="A458" s="4">
        <v>4002</v>
      </c>
      <c r="B458" t="s">
        <v>28</v>
      </c>
      <c r="C458">
        <v>1</v>
      </c>
      <c r="D458">
        <v>1</v>
      </c>
      <c r="E458">
        <v>12</v>
      </c>
      <c r="F458" t="s">
        <v>14</v>
      </c>
      <c r="G458">
        <v>11</v>
      </c>
      <c r="I458">
        <v>4</v>
      </c>
      <c r="J458" t="s">
        <v>32</v>
      </c>
      <c r="K458" t="str">
        <f t="shared" si="26"/>
        <v/>
      </c>
      <c r="L458" t="s">
        <v>16</v>
      </c>
      <c r="M458">
        <v>4</v>
      </c>
      <c r="T458">
        <f t="shared" si="27"/>
        <v>20</v>
      </c>
      <c r="U458" t="s">
        <v>1917</v>
      </c>
      <c r="V458" s="4" t="s">
        <v>1900</v>
      </c>
      <c r="W458">
        <v>457</v>
      </c>
      <c r="Y458">
        <f t="shared" si="28"/>
        <v>0</v>
      </c>
      <c r="Z458">
        <f t="shared" si="29"/>
        <v>0</v>
      </c>
    </row>
    <row r="459" spans="1:26" x14ac:dyDescent="0.25">
      <c r="A459" s="4">
        <v>1061</v>
      </c>
      <c r="B459" t="s">
        <v>13</v>
      </c>
      <c r="C459">
        <v>2</v>
      </c>
      <c r="D459">
        <v>1</v>
      </c>
      <c r="E459">
        <v>4</v>
      </c>
      <c r="F459" t="s">
        <v>14</v>
      </c>
      <c r="G459">
        <v>4.5</v>
      </c>
      <c r="I459">
        <v>4</v>
      </c>
      <c r="J459" t="s">
        <v>17</v>
      </c>
      <c r="K459" t="str">
        <f t="shared" si="26"/>
        <v/>
      </c>
      <c r="L459" t="s">
        <v>16</v>
      </c>
      <c r="M459">
        <v>1</v>
      </c>
      <c r="T459">
        <f t="shared" si="27"/>
        <v>20</v>
      </c>
      <c r="U459" t="s">
        <v>1919</v>
      </c>
      <c r="V459" s="4" t="s">
        <v>1900</v>
      </c>
      <c r="W459">
        <v>458</v>
      </c>
      <c r="Y459">
        <f t="shared" si="28"/>
        <v>0</v>
      </c>
      <c r="Z459">
        <f t="shared" si="29"/>
        <v>0</v>
      </c>
    </row>
    <row r="460" spans="1:26" x14ac:dyDescent="0.25">
      <c r="A460" s="4">
        <v>1061</v>
      </c>
      <c r="B460" t="s">
        <v>13</v>
      </c>
      <c r="C460">
        <v>2</v>
      </c>
      <c r="D460">
        <v>1</v>
      </c>
      <c r="E460">
        <v>3</v>
      </c>
      <c r="F460" t="s">
        <v>14</v>
      </c>
      <c r="G460">
        <v>4.5</v>
      </c>
      <c r="I460">
        <v>4</v>
      </c>
      <c r="J460" t="s">
        <v>17</v>
      </c>
      <c r="K460" t="str">
        <f t="shared" si="26"/>
        <v/>
      </c>
      <c r="L460" t="s">
        <v>16</v>
      </c>
      <c r="M460">
        <v>1</v>
      </c>
      <c r="T460">
        <f t="shared" si="27"/>
        <v>20</v>
      </c>
      <c r="U460" t="s">
        <v>1921</v>
      </c>
      <c r="V460" s="4" t="s">
        <v>1900</v>
      </c>
      <c r="W460">
        <v>459</v>
      </c>
      <c r="Y460">
        <f t="shared" si="28"/>
        <v>0</v>
      </c>
      <c r="Z460">
        <f t="shared" si="29"/>
        <v>0</v>
      </c>
    </row>
    <row r="461" spans="1:26" x14ac:dyDescent="0.25">
      <c r="A461" s="4">
        <v>1061</v>
      </c>
      <c r="B461" t="s">
        <v>13</v>
      </c>
      <c r="C461">
        <v>2</v>
      </c>
      <c r="D461">
        <v>1</v>
      </c>
      <c r="E461">
        <v>2</v>
      </c>
      <c r="F461" t="s">
        <v>14</v>
      </c>
      <c r="G461">
        <v>4.5</v>
      </c>
      <c r="I461">
        <v>4</v>
      </c>
      <c r="J461" t="s">
        <v>17</v>
      </c>
      <c r="K461" t="str">
        <f t="shared" si="26"/>
        <v/>
      </c>
      <c r="L461" t="s">
        <v>16</v>
      </c>
      <c r="M461">
        <v>1</v>
      </c>
      <c r="T461">
        <f t="shared" si="27"/>
        <v>20</v>
      </c>
      <c r="U461" t="s">
        <v>1924</v>
      </c>
      <c r="V461" s="4" t="s">
        <v>1900</v>
      </c>
      <c r="W461">
        <v>460</v>
      </c>
      <c r="Y461">
        <f t="shared" si="28"/>
        <v>0</v>
      </c>
      <c r="Z461">
        <f t="shared" si="29"/>
        <v>0</v>
      </c>
    </row>
    <row r="462" spans="1:26" x14ac:dyDescent="0.25">
      <c r="A462" s="4">
        <v>1061</v>
      </c>
      <c r="B462" t="s">
        <v>13</v>
      </c>
      <c r="C462">
        <v>2</v>
      </c>
      <c r="D462">
        <v>1</v>
      </c>
      <c r="E462">
        <v>1</v>
      </c>
      <c r="F462" t="s">
        <v>14</v>
      </c>
      <c r="G462">
        <v>4.5</v>
      </c>
      <c r="I462">
        <v>4</v>
      </c>
      <c r="J462" t="s">
        <v>17</v>
      </c>
      <c r="K462" t="str">
        <f t="shared" si="26"/>
        <v/>
      </c>
      <c r="L462" t="s">
        <v>16</v>
      </c>
      <c r="M462">
        <v>1</v>
      </c>
      <c r="T462">
        <f t="shared" si="27"/>
        <v>20</v>
      </c>
      <c r="U462" t="s">
        <v>1931</v>
      </c>
      <c r="V462" s="4" t="s">
        <v>1900</v>
      </c>
      <c r="W462">
        <v>461</v>
      </c>
      <c r="Y462">
        <f t="shared" si="28"/>
        <v>0</v>
      </c>
      <c r="Z462">
        <f t="shared" si="29"/>
        <v>0</v>
      </c>
    </row>
    <row r="463" spans="1:26" x14ac:dyDescent="0.25">
      <c r="A463" s="4">
        <v>1061</v>
      </c>
      <c r="B463" t="s">
        <v>13</v>
      </c>
      <c r="C463">
        <v>2</v>
      </c>
      <c r="D463">
        <v>1</v>
      </c>
      <c r="E463">
        <v>4</v>
      </c>
      <c r="F463" t="s">
        <v>14</v>
      </c>
      <c r="G463">
        <v>4.5</v>
      </c>
      <c r="I463">
        <v>4</v>
      </c>
      <c r="J463" t="s">
        <v>15</v>
      </c>
      <c r="K463" t="str">
        <f t="shared" si="26"/>
        <v/>
      </c>
      <c r="L463" t="s">
        <v>16</v>
      </c>
      <c r="M463">
        <v>2</v>
      </c>
      <c r="T463">
        <f t="shared" si="27"/>
        <v>20</v>
      </c>
      <c r="U463" t="s">
        <v>1934</v>
      </c>
      <c r="V463" s="4" t="s">
        <v>1900</v>
      </c>
      <c r="W463">
        <v>462</v>
      </c>
      <c r="Y463">
        <f t="shared" si="28"/>
        <v>0</v>
      </c>
      <c r="Z463">
        <f t="shared" si="29"/>
        <v>0</v>
      </c>
    </row>
    <row r="464" spans="1:26" x14ac:dyDescent="0.25">
      <c r="A464" s="4">
        <v>1061</v>
      </c>
      <c r="B464" t="s">
        <v>13</v>
      </c>
      <c r="C464">
        <v>2</v>
      </c>
      <c r="D464">
        <v>1</v>
      </c>
      <c r="E464">
        <v>3</v>
      </c>
      <c r="F464" t="s">
        <v>14</v>
      </c>
      <c r="G464">
        <v>4.5</v>
      </c>
      <c r="I464">
        <v>4</v>
      </c>
      <c r="J464" t="s">
        <v>15</v>
      </c>
      <c r="K464" t="str">
        <f t="shared" si="26"/>
        <v/>
      </c>
      <c r="L464" t="s">
        <v>16</v>
      </c>
      <c r="M464">
        <v>2</v>
      </c>
      <c r="T464">
        <f t="shared" si="27"/>
        <v>20</v>
      </c>
      <c r="U464" t="s">
        <v>1936</v>
      </c>
      <c r="V464" s="4" t="s">
        <v>1900</v>
      </c>
      <c r="W464">
        <v>463</v>
      </c>
      <c r="Y464">
        <f t="shared" si="28"/>
        <v>0</v>
      </c>
      <c r="Z464">
        <f t="shared" si="29"/>
        <v>0</v>
      </c>
    </row>
    <row r="465" spans="1:26" x14ac:dyDescent="0.25">
      <c r="A465" s="4">
        <v>1061</v>
      </c>
      <c r="B465" t="s">
        <v>13</v>
      </c>
      <c r="C465">
        <v>2</v>
      </c>
      <c r="D465">
        <v>1</v>
      </c>
      <c r="E465">
        <v>2</v>
      </c>
      <c r="F465" t="s">
        <v>14</v>
      </c>
      <c r="G465">
        <v>4.5</v>
      </c>
      <c r="I465">
        <v>4</v>
      </c>
      <c r="J465" t="s">
        <v>15</v>
      </c>
      <c r="K465" t="str">
        <f t="shared" si="26"/>
        <v/>
      </c>
      <c r="L465" t="s">
        <v>16</v>
      </c>
      <c r="M465">
        <v>2</v>
      </c>
      <c r="T465">
        <f t="shared" si="27"/>
        <v>20</v>
      </c>
      <c r="U465" t="s">
        <v>1938</v>
      </c>
      <c r="V465" s="4" t="s">
        <v>1939</v>
      </c>
      <c r="W465">
        <v>464</v>
      </c>
      <c r="Y465">
        <f t="shared" si="28"/>
        <v>0</v>
      </c>
      <c r="Z465">
        <f t="shared" si="29"/>
        <v>0</v>
      </c>
    </row>
    <row r="466" spans="1:26" x14ac:dyDescent="0.25">
      <c r="A466" s="4">
        <v>1061</v>
      </c>
      <c r="B466" t="s">
        <v>13</v>
      </c>
      <c r="C466">
        <v>2</v>
      </c>
      <c r="D466">
        <v>1</v>
      </c>
      <c r="E466">
        <v>1</v>
      </c>
      <c r="F466" t="s">
        <v>14</v>
      </c>
      <c r="G466">
        <v>4.5</v>
      </c>
      <c r="I466">
        <v>4</v>
      </c>
      <c r="J466" t="s">
        <v>15</v>
      </c>
      <c r="K466" t="str">
        <f t="shared" si="26"/>
        <v/>
      </c>
      <c r="L466" t="s">
        <v>16</v>
      </c>
      <c r="M466">
        <v>2</v>
      </c>
      <c r="T466">
        <f t="shared" si="27"/>
        <v>20</v>
      </c>
      <c r="U466" t="s">
        <v>1942</v>
      </c>
      <c r="V466" s="4" t="s">
        <v>1939</v>
      </c>
      <c r="W466">
        <v>465</v>
      </c>
      <c r="Y466">
        <f t="shared" si="28"/>
        <v>0</v>
      </c>
      <c r="Z466">
        <f t="shared" si="29"/>
        <v>0</v>
      </c>
    </row>
    <row r="467" spans="1:26" x14ac:dyDescent="0.25">
      <c r="A467" s="4">
        <v>1061</v>
      </c>
      <c r="B467" t="s">
        <v>13</v>
      </c>
      <c r="C467">
        <v>2</v>
      </c>
      <c r="D467">
        <v>1</v>
      </c>
      <c r="E467">
        <v>4</v>
      </c>
      <c r="F467" t="s">
        <v>14</v>
      </c>
      <c r="G467">
        <v>4.5</v>
      </c>
      <c r="I467">
        <v>4</v>
      </c>
      <c r="J467" t="s">
        <v>18</v>
      </c>
      <c r="K467" t="str">
        <f t="shared" si="26"/>
        <v/>
      </c>
      <c r="L467" t="s">
        <v>16</v>
      </c>
      <c r="M467">
        <v>2</v>
      </c>
      <c r="T467">
        <f t="shared" si="27"/>
        <v>20</v>
      </c>
      <c r="U467" t="s">
        <v>1944</v>
      </c>
      <c r="V467" s="4" t="s">
        <v>1939</v>
      </c>
      <c r="W467">
        <v>466</v>
      </c>
      <c r="Y467">
        <f t="shared" si="28"/>
        <v>0</v>
      </c>
      <c r="Z467">
        <f t="shared" si="29"/>
        <v>0</v>
      </c>
    </row>
    <row r="468" spans="1:26" x14ac:dyDescent="0.25">
      <c r="A468" s="4">
        <v>1061</v>
      </c>
      <c r="B468" t="s">
        <v>13</v>
      </c>
      <c r="C468">
        <v>2</v>
      </c>
      <c r="D468">
        <v>1</v>
      </c>
      <c r="E468">
        <v>3</v>
      </c>
      <c r="F468" t="s">
        <v>14</v>
      </c>
      <c r="G468">
        <v>4.5</v>
      </c>
      <c r="I468">
        <v>4</v>
      </c>
      <c r="J468" t="s">
        <v>18</v>
      </c>
      <c r="K468" t="str">
        <f t="shared" si="26"/>
        <v/>
      </c>
      <c r="L468" t="s">
        <v>16</v>
      </c>
      <c r="M468">
        <v>2</v>
      </c>
      <c r="T468">
        <f t="shared" si="27"/>
        <v>20</v>
      </c>
      <c r="U468" t="s">
        <v>1946</v>
      </c>
      <c r="V468" s="4" t="s">
        <v>1939</v>
      </c>
      <c r="W468">
        <v>467</v>
      </c>
      <c r="Y468">
        <f t="shared" si="28"/>
        <v>0</v>
      </c>
      <c r="Z468">
        <f t="shared" si="29"/>
        <v>0</v>
      </c>
    </row>
    <row r="469" spans="1:26" x14ac:dyDescent="0.25">
      <c r="A469" s="4">
        <v>1061</v>
      </c>
      <c r="B469" t="s">
        <v>13</v>
      </c>
      <c r="C469">
        <v>2</v>
      </c>
      <c r="D469">
        <v>1</v>
      </c>
      <c r="E469">
        <v>2</v>
      </c>
      <c r="F469" t="s">
        <v>14</v>
      </c>
      <c r="G469">
        <v>4.5</v>
      </c>
      <c r="I469">
        <v>4</v>
      </c>
      <c r="J469" t="s">
        <v>18</v>
      </c>
      <c r="K469" t="str">
        <f t="shared" si="26"/>
        <v/>
      </c>
      <c r="L469" t="s">
        <v>16</v>
      </c>
      <c r="M469">
        <v>2</v>
      </c>
      <c r="T469">
        <f t="shared" si="27"/>
        <v>20</v>
      </c>
      <c r="U469" t="s">
        <v>1948</v>
      </c>
      <c r="V469" s="4" t="s">
        <v>1949</v>
      </c>
      <c r="W469">
        <v>468</v>
      </c>
      <c r="Y469">
        <f t="shared" si="28"/>
        <v>0</v>
      </c>
      <c r="Z469">
        <f t="shared" si="29"/>
        <v>0</v>
      </c>
    </row>
    <row r="470" spans="1:26" x14ac:dyDescent="0.25">
      <c r="A470" s="4">
        <v>1061</v>
      </c>
      <c r="B470" t="s">
        <v>13</v>
      </c>
      <c r="C470">
        <v>2</v>
      </c>
      <c r="D470">
        <v>1</v>
      </c>
      <c r="E470">
        <v>1</v>
      </c>
      <c r="F470" t="s">
        <v>14</v>
      </c>
      <c r="G470">
        <v>4.5</v>
      </c>
      <c r="I470">
        <v>4</v>
      </c>
      <c r="J470" t="s">
        <v>18</v>
      </c>
      <c r="K470" t="str">
        <f t="shared" si="26"/>
        <v/>
      </c>
      <c r="L470" t="s">
        <v>16</v>
      </c>
      <c r="M470">
        <v>2</v>
      </c>
      <c r="T470">
        <f t="shared" si="27"/>
        <v>20</v>
      </c>
      <c r="U470" t="s">
        <v>1952</v>
      </c>
      <c r="V470" s="4" t="s">
        <v>1949</v>
      </c>
      <c r="W470">
        <v>469</v>
      </c>
      <c r="Y470">
        <f t="shared" si="28"/>
        <v>0</v>
      </c>
      <c r="Z470">
        <f t="shared" si="29"/>
        <v>0</v>
      </c>
    </row>
    <row r="471" spans="1:26" x14ac:dyDescent="0.25">
      <c r="A471" s="4">
        <v>1061</v>
      </c>
      <c r="B471" t="s">
        <v>13</v>
      </c>
      <c r="C471">
        <v>2</v>
      </c>
      <c r="D471">
        <v>1</v>
      </c>
      <c r="E471">
        <v>12</v>
      </c>
      <c r="F471" t="s">
        <v>14</v>
      </c>
      <c r="G471">
        <v>5.5</v>
      </c>
      <c r="I471">
        <v>4</v>
      </c>
      <c r="J471" t="s">
        <v>17</v>
      </c>
      <c r="K471" t="str">
        <f t="shared" si="26"/>
        <v/>
      </c>
      <c r="L471" t="s">
        <v>16</v>
      </c>
      <c r="M471">
        <v>2</v>
      </c>
      <c r="T471">
        <f t="shared" si="27"/>
        <v>20</v>
      </c>
      <c r="U471" t="s">
        <v>1954</v>
      </c>
      <c r="V471" s="4" t="s">
        <v>1949</v>
      </c>
      <c r="W471">
        <v>470</v>
      </c>
      <c r="Y471">
        <f t="shared" si="28"/>
        <v>0</v>
      </c>
      <c r="Z471">
        <f t="shared" si="29"/>
        <v>0</v>
      </c>
    </row>
    <row r="472" spans="1:26" x14ac:dyDescent="0.25">
      <c r="A472" s="4">
        <v>1061</v>
      </c>
      <c r="B472" t="s">
        <v>13</v>
      </c>
      <c r="C472">
        <v>2</v>
      </c>
      <c r="D472">
        <v>1</v>
      </c>
      <c r="E472">
        <v>11</v>
      </c>
      <c r="F472" t="s">
        <v>14</v>
      </c>
      <c r="G472">
        <v>5.5</v>
      </c>
      <c r="I472">
        <v>4</v>
      </c>
      <c r="J472" t="s">
        <v>17</v>
      </c>
      <c r="K472" t="str">
        <f t="shared" si="26"/>
        <v/>
      </c>
      <c r="L472" t="s">
        <v>16</v>
      </c>
      <c r="M472">
        <v>2</v>
      </c>
      <c r="T472">
        <f t="shared" si="27"/>
        <v>20</v>
      </c>
      <c r="U472" t="s">
        <v>1956</v>
      </c>
      <c r="V472" s="4" t="s">
        <v>1949</v>
      </c>
      <c r="W472">
        <v>471</v>
      </c>
      <c r="Y472">
        <f t="shared" si="28"/>
        <v>0</v>
      </c>
      <c r="Z472">
        <f t="shared" si="29"/>
        <v>0</v>
      </c>
    </row>
    <row r="473" spans="1:26" x14ac:dyDescent="0.25">
      <c r="A473" s="4">
        <v>1061</v>
      </c>
      <c r="B473" t="s">
        <v>13</v>
      </c>
      <c r="C473">
        <v>2</v>
      </c>
      <c r="D473">
        <v>1</v>
      </c>
      <c r="E473">
        <v>10</v>
      </c>
      <c r="F473" t="s">
        <v>14</v>
      </c>
      <c r="G473">
        <v>5.5</v>
      </c>
      <c r="I473">
        <v>4</v>
      </c>
      <c r="J473" t="s">
        <v>17</v>
      </c>
      <c r="K473" t="str">
        <f t="shared" si="26"/>
        <v/>
      </c>
      <c r="L473" t="s">
        <v>16</v>
      </c>
      <c r="M473">
        <v>2</v>
      </c>
      <c r="T473">
        <f t="shared" si="27"/>
        <v>20</v>
      </c>
      <c r="U473" t="s">
        <v>1959</v>
      </c>
      <c r="V473" s="4" t="s">
        <v>1960</v>
      </c>
      <c r="W473">
        <v>472</v>
      </c>
      <c r="Y473">
        <f t="shared" si="28"/>
        <v>0</v>
      </c>
      <c r="Z473">
        <f t="shared" si="29"/>
        <v>0</v>
      </c>
    </row>
    <row r="474" spans="1:26" x14ac:dyDescent="0.25">
      <c r="A474" s="4">
        <v>1061</v>
      </c>
      <c r="B474" t="s">
        <v>13</v>
      </c>
      <c r="C474">
        <v>2</v>
      </c>
      <c r="D474">
        <v>1</v>
      </c>
      <c r="E474">
        <v>9</v>
      </c>
      <c r="F474" t="s">
        <v>14</v>
      </c>
      <c r="G474">
        <v>5.5</v>
      </c>
      <c r="I474">
        <v>4</v>
      </c>
      <c r="J474" t="s">
        <v>17</v>
      </c>
      <c r="K474" t="str">
        <f t="shared" si="26"/>
        <v/>
      </c>
      <c r="L474" t="s">
        <v>16</v>
      </c>
      <c r="M474">
        <v>2</v>
      </c>
      <c r="T474">
        <f t="shared" si="27"/>
        <v>20</v>
      </c>
      <c r="U474" t="s">
        <v>1967</v>
      </c>
      <c r="V474" s="4" t="s">
        <v>1960</v>
      </c>
      <c r="W474">
        <v>473</v>
      </c>
      <c r="Y474">
        <f t="shared" si="28"/>
        <v>0</v>
      </c>
      <c r="Z474">
        <f t="shared" si="29"/>
        <v>0</v>
      </c>
    </row>
    <row r="475" spans="1:26" x14ac:dyDescent="0.25">
      <c r="A475" s="4">
        <v>1061</v>
      </c>
      <c r="B475" t="s">
        <v>13</v>
      </c>
      <c r="C475">
        <v>2</v>
      </c>
      <c r="D475">
        <v>1</v>
      </c>
      <c r="E475">
        <v>12</v>
      </c>
      <c r="F475" t="s">
        <v>14</v>
      </c>
      <c r="G475">
        <v>5.5</v>
      </c>
      <c r="I475">
        <v>4</v>
      </c>
      <c r="J475" t="s">
        <v>15</v>
      </c>
      <c r="K475" t="str">
        <f t="shared" si="26"/>
        <v/>
      </c>
      <c r="L475" t="s">
        <v>16</v>
      </c>
      <c r="M475">
        <v>1</v>
      </c>
      <c r="T475">
        <f t="shared" si="27"/>
        <v>20</v>
      </c>
      <c r="U475" t="s">
        <v>1971</v>
      </c>
      <c r="V475" s="4" t="s">
        <v>1960</v>
      </c>
      <c r="W475">
        <v>474</v>
      </c>
      <c r="Y475">
        <f t="shared" si="28"/>
        <v>0</v>
      </c>
      <c r="Z475">
        <f t="shared" si="29"/>
        <v>0</v>
      </c>
    </row>
    <row r="476" spans="1:26" x14ac:dyDescent="0.25">
      <c r="A476" s="4">
        <v>1061</v>
      </c>
      <c r="B476" t="s">
        <v>13</v>
      </c>
      <c r="C476">
        <v>2</v>
      </c>
      <c r="D476">
        <v>1</v>
      </c>
      <c r="E476">
        <v>11</v>
      </c>
      <c r="F476" t="s">
        <v>14</v>
      </c>
      <c r="G476">
        <v>5.5</v>
      </c>
      <c r="I476">
        <v>4</v>
      </c>
      <c r="J476" t="s">
        <v>15</v>
      </c>
      <c r="K476" t="str">
        <f t="shared" si="26"/>
        <v/>
      </c>
      <c r="L476" t="s">
        <v>16</v>
      </c>
      <c r="M476">
        <v>1</v>
      </c>
      <c r="T476">
        <f t="shared" si="27"/>
        <v>20</v>
      </c>
      <c r="U476" t="s">
        <v>1974</v>
      </c>
      <c r="V476" s="4" t="s">
        <v>1960</v>
      </c>
      <c r="W476">
        <v>475</v>
      </c>
      <c r="Y476">
        <f t="shared" si="28"/>
        <v>0</v>
      </c>
      <c r="Z476">
        <f t="shared" si="29"/>
        <v>0</v>
      </c>
    </row>
    <row r="477" spans="1:26" x14ac:dyDescent="0.25">
      <c r="A477" s="4">
        <v>1061</v>
      </c>
      <c r="B477" t="s">
        <v>13</v>
      </c>
      <c r="C477">
        <v>2</v>
      </c>
      <c r="D477">
        <v>1</v>
      </c>
      <c r="E477">
        <v>10</v>
      </c>
      <c r="F477" t="s">
        <v>14</v>
      </c>
      <c r="G477">
        <v>5.5</v>
      </c>
      <c r="I477">
        <v>4</v>
      </c>
      <c r="J477" t="s">
        <v>15</v>
      </c>
      <c r="K477" t="str">
        <f t="shared" si="26"/>
        <v/>
      </c>
      <c r="L477" t="s">
        <v>16</v>
      </c>
      <c r="M477">
        <v>1</v>
      </c>
      <c r="T477">
        <f t="shared" si="27"/>
        <v>20</v>
      </c>
      <c r="U477" t="s">
        <v>1978</v>
      </c>
      <c r="V477" s="4" t="s">
        <v>1979</v>
      </c>
      <c r="W477">
        <v>476</v>
      </c>
      <c r="Y477">
        <f t="shared" si="28"/>
        <v>0</v>
      </c>
      <c r="Z477">
        <f t="shared" si="29"/>
        <v>0</v>
      </c>
    </row>
    <row r="478" spans="1:26" x14ac:dyDescent="0.25">
      <c r="A478" s="4">
        <v>1061</v>
      </c>
      <c r="B478" t="s">
        <v>13</v>
      </c>
      <c r="C478">
        <v>2</v>
      </c>
      <c r="D478">
        <v>1</v>
      </c>
      <c r="E478">
        <v>9</v>
      </c>
      <c r="F478" t="s">
        <v>14</v>
      </c>
      <c r="G478">
        <v>5.5</v>
      </c>
      <c r="I478">
        <v>4</v>
      </c>
      <c r="J478" t="s">
        <v>15</v>
      </c>
      <c r="K478" t="str">
        <f t="shared" si="26"/>
        <v/>
      </c>
      <c r="L478" t="s">
        <v>16</v>
      </c>
      <c r="M478">
        <v>1</v>
      </c>
      <c r="T478">
        <f t="shared" si="27"/>
        <v>20</v>
      </c>
      <c r="U478" t="s">
        <v>1987</v>
      </c>
      <c r="V478" s="4" t="s">
        <v>1979</v>
      </c>
      <c r="W478">
        <v>477</v>
      </c>
      <c r="Y478">
        <f t="shared" si="28"/>
        <v>0</v>
      </c>
      <c r="Z478">
        <f t="shared" si="29"/>
        <v>0</v>
      </c>
    </row>
    <row r="479" spans="1:26" x14ac:dyDescent="0.25">
      <c r="A479" s="4">
        <v>1061</v>
      </c>
      <c r="B479" t="s">
        <v>13</v>
      </c>
      <c r="C479">
        <v>2</v>
      </c>
      <c r="D479">
        <v>1</v>
      </c>
      <c r="E479">
        <v>12</v>
      </c>
      <c r="F479" t="s">
        <v>14</v>
      </c>
      <c r="G479">
        <v>5.5</v>
      </c>
      <c r="I479">
        <v>4</v>
      </c>
      <c r="J479" t="s">
        <v>18</v>
      </c>
      <c r="K479" t="str">
        <f t="shared" si="26"/>
        <v/>
      </c>
      <c r="L479" t="s">
        <v>16</v>
      </c>
      <c r="M479">
        <v>3</v>
      </c>
      <c r="T479">
        <f t="shared" si="27"/>
        <v>20</v>
      </c>
      <c r="U479" t="s">
        <v>1989</v>
      </c>
      <c r="V479" s="4" t="s">
        <v>1979</v>
      </c>
      <c r="W479">
        <v>478</v>
      </c>
      <c r="Y479">
        <f t="shared" si="28"/>
        <v>0</v>
      </c>
      <c r="Z479">
        <f t="shared" si="29"/>
        <v>0</v>
      </c>
    </row>
    <row r="480" spans="1:26" x14ac:dyDescent="0.25">
      <c r="A480" s="4">
        <v>1061</v>
      </c>
      <c r="B480" t="s">
        <v>13</v>
      </c>
      <c r="C480">
        <v>2</v>
      </c>
      <c r="D480">
        <v>1</v>
      </c>
      <c r="E480">
        <v>11</v>
      </c>
      <c r="F480" t="s">
        <v>14</v>
      </c>
      <c r="G480">
        <v>5.5</v>
      </c>
      <c r="I480">
        <v>4</v>
      </c>
      <c r="J480" t="s">
        <v>18</v>
      </c>
      <c r="K480" t="str">
        <f t="shared" si="26"/>
        <v/>
      </c>
      <c r="L480" t="s">
        <v>16</v>
      </c>
      <c r="M480">
        <v>3</v>
      </c>
      <c r="T480">
        <f t="shared" si="27"/>
        <v>20</v>
      </c>
      <c r="U480" t="s">
        <v>1992</v>
      </c>
      <c r="V480" s="4" t="s">
        <v>1993</v>
      </c>
      <c r="W480">
        <v>479</v>
      </c>
      <c r="Y480">
        <f t="shared" si="28"/>
        <v>0</v>
      </c>
      <c r="Z480">
        <f t="shared" si="29"/>
        <v>0</v>
      </c>
    </row>
    <row r="481" spans="1:26" x14ac:dyDescent="0.25">
      <c r="A481" s="4">
        <v>1061</v>
      </c>
      <c r="B481" t="s">
        <v>13</v>
      </c>
      <c r="C481">
        <v>2</v>
      </c>
      <c r="D481">
        <v>1</v>
      </c>
      <c r="E481">
        <v>10</v>
      </c>
      <c r="F481" t="s">
        <v>14</v>
      </c>
      <c r="G481">
        <v>5.5</v>
      </c>
      <c r="I481">
        <v>4</v>
      </c>
      <c r="J481" t="s">
        <v>18</v>
      </c>
      <c r="K481" t="str">
        <f t="shared" si="26"/>
        <v/>
      </c>
      <c r="L481" t="s">
        <v>16</v>
      </c>
      <c r="M481">
        <v>3</v>
      </c>
      <c r="T481">
        <f t="shared" si="27"/>
        <v>20</v>
      </c>
      <c r="U481" t="s">
        <v>1998</v>
      </c>
      <c r="V481" s="4" t="s">
        <v>1993</v>
      </c>
      <c r="W481">
        <v>480</v>
      </c>
      <c r="Y481">
        <f t="shared" si="28"/>
        <v>0</v>
      </c>
      <c r="Z481">
        <f t="shared" si="29"/>
        <v>0</v>
      </c>
    </row>
    <row r="482" spans="1:26" x14ac:dyDescent="0.25">
      <c r="A482" s="4">
        <v>1061</v>
      </c>
      <c r="B482" t="s">
        <v>13</v>
      </c>
      <c r="C482">
        <v>2</v>
      </c>
      <c r="D482">
        <v>1</v>
      </c>
      <c r="E482">
        <v>9</v>
      </c>
      <c r="F482" t="s">
        <v>14</v>
      </c>
      <c r="G482">
        <v>5.5</v>
      </c>
      <c r="I482">
        <v>4</v>
      </c>
      <c r="J482" t="s">
        <v>18</v>
      </c>
      <c r="K482" t="str">
        <f t="shared" si="26"/>
        <v/>
      </c>
      <c r="L482" t="s">
        <v>16</v>
      </c>
      <c r="M482">
        <v>3</v>
      </c>
      <c r="T482">
        <f t="shared" si="27"/>
        <v>20</v>
      </c>
      <c r="U482" t="s">
        <v>2001</v>
      </c>
      <c r="V482" s="4" t="s">
        <v>1993</v>
      </c>
      <c r="W482">
        <v>481</v>
      </c>
      <c r="Y482">
        <f t="shared" si="28"/>
        <v>0</v>
      </c>
      <c r="Z482">
        <f t="shared" si="29"/>
        <v>0</v>
      </c>
    </row>
    <row r="483" spans="1:26" x14ac:dyDescent="0.25">
      <c r="A483" s="4">
        <v>1061</v>
      </c>
      <c r="B483" t="s">
        <v>13</v>
      </c>
      <c r="C483">
        <v>2</v>
      </c>
      <c r="D483">
        <v>1</v>
      </c>
      <c r="E483">
        <v>16</v>
      </c>
      <c r="F483" t="s">
        <v>14</v>
      </c>
      <c r="G483">
        <v>6.5</v>
      </c>
      <c r="I483">
        <v>4</v>
      </c>
      <c r="J483" t="s">
        <v>17</v>
      </c>
      <c r="K483" t="str">
        <f t="shared" si="26"/>
        <v/>
      </c>
      <c r="L483" t="s">
        <v>16</v>
      </c>
      <c r="M483">
        <v>1</v>
      </c>
      <c r="T483">
        <f t="shared" si="27"/>
        <v>20</v>
      </c>
      <c r="U483" t="s">
        <v>2003</v>
      </c>
      <c r="V483" s="4" t="s">
        <v>1993</v>
      </c>
      <c r="W483">
        <v>482</v>
      </c>
      <c r="Y483">
        <f t="shared" si="28"/>
        <v>0</v>
      </c>
      <c r="Z483">
        <f t="shared" si="29"/>
        <v>0</v>
      </c>
    </row>
    <row r="484" spans="1:26" x14ac:dyDescent="0.25">
      <c r="A484" s="4">
        <v>1061</v>
      </c>
      <c r="B484" t="s">
        <v>13</v>
      </c>
      <c r="C484">
        <v>2</v>
      </c>
      <c r="D484">
        <v>1</v>
      </c>
      <c r="E484">
        <v>15</v>
      </c>
      <c r="F484" t="s">
        <v>14</v>
      </c>
      <c r="G484">
        <v>6.5</v>
      </c>
      <c r="I484">
        <v>4</v>
      </c>
      <c r="J484" t="s">
        <v>17</v>
      </c>
      <c r="K484" t="str">
        <f t="shared" si="26"/>
        <v/>
      </c>
      <c r="L484" t="s">
        <v>16</v>
      </c>
      <c r="M484">
        <v>1</v>
      </c>
      <c r="T484">
        <f t="shared" si="27"/>
        <v>20</v>
      </c>
      <c r="U484" t="s">
        <v>2006</v>
      </c>
      <c r="V484" s="4" t="s">
        <v>2007</v>
      </c>
      <c r="W484">
        <v>483</v>
      </c>
      <c r="Y484">
        <f t="shared" si="28"/>
        <v>0</v>
      </c>
      <c r="Z484">
        <f t="shared" si="29"/>
        <v>0</v>
      </c>
    </row>
    <row r="485" spans="1:26" x14ac:dyDescent="0.25">
      <c r="A485" s="4">
        <v>1061</v>
      </c>
      <c r="B485" t="s">
        <v>13</v>
      </c>
      <c r="C485">
        <v>2</v>
      </c>
      <c r="D485">
        <v>1</v>
      </c>
      <c r="E485">
        <v>14</v>
      </c>
      <c r="F485" t="s">
        <v>14</v>
      </c>
      <c r="G485">
        <v>6.5</v>
      </c>
      <c r="I485">
        <v>4</v>
      </c>
      <c r="J485" t="s">
        <v>17</v>
      </c>
      <c r="K485" t="str">
        <f t="shared" si="26"/>
        <v/>
      </c>
      <c r="L485" t="s">
        <v>16</v>
      </c>
      <c r="M485">
        <v>1</v>
      </c>
      <c r="T485">
        <f t="shared" si="27"/>
        <v>20</v>
      </c>
      <c r="U485" t="s">
        <v>2014</v>
      </c>
      <c r="V485" s="4" t="s">
        <v>2007</v>
      </c>
      <c r="W485">
        <v>484</v>
      </c>
      <c r="Y485">
        <f t="shared" si="28"/>
        <v>0</v>
      </c>
      <c r="Z485">
        <f t="shared" si="29"/>
        <v>0</v>
      </c>
    </row>
    <row r="486" spans="1:26" x14ac:dyDescent="0.25">
      <c r="A486" s="4">
        <v>1061</v>
      </c>
      <c r="B486" t="s">
        <v>13</v>
      </c>
      <c r="C486">
        <v>2</v>
      </c>
      <c r="D486">
        <v>1</v>
      </c>
      <c r="E486">
        <v>13</v>
      </c>
      <c r="F486" t="s">
        <v>14</v>
      </c>
      <c r="G486">
        <v>6.5</v>
      </c>
      <c r="I486">
        <v>4</v>
      </c>
      <c r="J486" t="s">
        <v>17</v>
      </c>
      <c r="K486" t="str">
        <f t="shared" si="26"/>
        <v/>
      </c>
      <c r="L486" t="s">
        <v>16</v>
      </c>
      <c r="M486">
        <v>1</v>
      </c>
      <c r="T486">
        <f t="shared" si="27"/>
        <v>20</v>
      </c>
      <c r="U486" t="s">
        <v>2017</v>
      </c>
      <c r="V486" s="4" t="s">
        <v>2007</v>
      </c>
      <c r="W486">
        <v>485</v>
      </c>
      <c r="Y486">
        <f t="shared" si="28"/>
        <v>0</v>
      </c>
      <c r="Z486">
        <f t="shared" si="29"/>
        <v>0</v>
      </c>
    </row>
    <row r="487" spans="1:26" x14ac:dyDescent="0.25">
      <c r="A487" s="4">
        <v>1061</v>
      </c>
      <c r="B487" t="s">
        <v>13</v>
      </c>
      <c r="C487">
        <v>2</v>
      </c>
      <c r="D487">
        <v>1</v>
      </c>
      <c r="E487">
        <v>16</v>
      </c>
      <c r="F487" t="s">
        <v>14</v>
      </c>
      <c r="G487">
        <v>6.5</v>
      </c>
      <c r="I487">
        <v>4</v>
      </c>
      <c r="J487" t="s">
        <v>15</v>
      </c>
      <c r="K487" t="str">
        <f t="shared" si="26"/>
        <v/>
      </c>
      <c r="L487" t="s">
        <v>16</v>
      </c>
      <c r="M487">
        <v>1</v>
      </c>
      <c r="T487">
        <f t="shared" si="27"/>
        <v>20</v>
      </c>
      <c r="U487" t="s">
        <v>2019</v>
      </c>
      <c r="V487" s="4" t="s">
        <v>2007</v>
      </c>
      <c r="W487">
        <v>486</v>
      </c>
      <c r="Y487">
        <f t="shared" si="28"/>
        <v>0</v>
      </c>
      <c r="Z487">
        <f t="shared" si="29"/>
        <v>0</v>
      </c>
    </row>
    <row r="488" spans="1:26" x14ac:dyDescent="0.25">
      <c r="A488" s="4">
        <v>1061</v>
      </c>
      <c r="B488" t="s">
        <v>13</v>
      </c>
      <c r="C488">
        <v>2</v>
      </c>
      <c r="D488">
        <v>1</v>
      </c>
      <c r="E488">
        <v>15</v>
      </c>
      <c r="F488" t="s">
        <v>14</v>
      </c>
      <c r="G488">
        <v>6.5</v>
      </c>
      <c r="I488">
        <v>4</v>
      </c>
      <c r="J488" t="s">
        <v>15</v>
      </c>
      <c r="K488" t="str">
        <f t="shared" si="26"/>
        <v/>
      </c>
      <c r="L488" t="s">
        <v>16</v>
      </c>
      <c r="M488">
        <v>1</v>
      </c>
      <c r="T488">
        <f t="shared" si="27"/>
        <v>20</v>
      </c>
      <c r="U488" t="s">
        <v>2021</v>
      </c>
      <c r="V488" s="4" t="s">
        <v>2022</v>
      </c>
      <c r="W488">
        <v>487</v>
      </c>
      <c r="Y488">
        <f t="shared" si="28"/>
        <v>0</v>
      </c>
      <c r="Z488">
        <f t="shared" si="29"/>
        <v>0</v>
      </c>
    </row>
    <row r="489" spans="1:26" x14ac:dyDescent="0.25">
      <c r="A489" s="4">
        <v>1061</v>
      </c>
      <c r="B489" t="s">
        <v>13</v>
      </c>
      <c r="C489">
        <v>2</v>
      </c>
      <c r="D489">
        <v>1</v>
      </c>
      <c r="E489">
        <v>14</v>
      </c>
      <c r="F489" t="s">
        <v>14</v>
      </c>
      <c r="G489">
        <v>6.5</v>
      </c>
      <c r="I489">
        <v>4</v>
      </c>
      <c r="J489" t="s">
        <v>15</v>
      </c>
      <c r="K489" t="str">
        <f t="shared" si="26"/>
        <v/>
      </c>
      <c r="L489" t="s">
        <v>16</v>
      </c>
      <c r="M489">
        <v>1</v>
      </c>
      <c r="T489">
        <f t="shared" si="27"/>
        <v>20</v>
      </c>
      <c r="U489" t="s">
        <v>2028</v>
      </c>
      <c r="V489" s="4" t="s">
        <v>2022</v>
      </c>
      <c r="W489">
        <v>488</v>
      </c>
      <c r="Y489">
        <f t="shared" si="28"/>
        <v>0</v>
      </c>
      <c r="Z489">
        <f t="shared" si="29"/>
        <v>0</v>
      </c>
    </row>
    <row r="490" spans="1:26" x14ac:dyDescent="0.25">
      <c r="A490" s="4">
        <v>1061</v>
      </c>
      <c r="B490" t="s">
        <v>13</v>
      </c>
      <c r="C490">
        <v>2</v>
      </c>
      <c r="D490">
        <v>1</v>
      </c>
      <c r="E490">
        <v>13</v>
      </c>
      <c r="F490" t="s">
        <v>14</v>
      </c>
      <c r="G490">
        <v>6.5</v>
      </c>
      <c r="I490">
        <v>4</v>
      </c>
      <c r="J490" t="s">
        <v>15</v>
      </c>
      <c r="K490" t="str">
        <f t="shared" si="26"/>
        <v/>
      </c>
      <c r="L490" t="s">
        <v>16</v>
      </c>
      <c r="M490">
        <v>1</v>
      </c>
      <c r="T490">
        <f t="shared" si="27"/>
        <v>20</v>
      </c>
      <c r="U490" t="s">
        <v>2031</v>
      </c>
      <c r="V490" s="4" t="s">
        <v>2022</v>
      </c>
      <c r="W490">
        <v>489</v>
      </c>
      <c r="Y490">
        <f t="shared" si="28"/>
        <v>0</v>
      </c>
      <c r="Z490">
        <f t="shared" si="29"/>
        <v>0</v>
      </c>
    </row>
    <row r="491" spans="1:26" x14ac:dyDescent="0.25">
      <c r="A491" s="4">
        <v>1061</v>
      </c>
      <c r="B491" t="s">
        <v>13</v>
      </c>
      <c r="C491">
        <v>2</v>
      </c>
      <c r="D491">
        <v>1</v>
      </c>
      <c r="E491">
        <v>16</v>
      </c>
      <c r="F491" t="s">
        <v>14</v>
      </c>
      <c r="G491">
        <v>6.5</v>
      </c>
      <c r="I491">
        <v>4</v>
      </c>
      <c r="J491" t="s">
        <v>18</v>
      </c>
      <c r="K491" t="str">
        <f t="shared" si="26"/>
        <v/>
      </c>
      <c r="L491" t="s">
        <v>16</v>
      </c>
      <c r="M491">
        <v>1</v>
      </c>
      <c r="T491">
        <f t="shared" si="27"/>
        <v>20</v>
      </c>
      <c r="U491" t="s">
        <v>2033</v>
      </c>
      <c r="V491" s="4" t="s">
        <v>2022</v>
      </c>
      <c r="W491">
        <v>490</v>
      </c>
      <c r="Y491">
        <f t="shared" si="28"/>
        <v>0</v>
      </c>
      <c r="Z491">
        <f t="shared" si="29"/>
        <v>0</v>
      </c>
    </row>
    <row r="492" spans="1:26" x14ac:dyDescent="0.25">
      <c r="A492" s="4">
        <v>1061</v>
      </c>
      <c r="B492" t="s">
        <v>13</v>
      </c>
      <c r="C492">
        <v>2</v>
      </c>
      <c r="D492">
        <v>1</v>
      </c>
      <c r="E492">
        <v>15</v>
      </c>
      <c r="F492" t="s">
        <v>14</v>
      </c>
      <c r="G492">
        <v>6.5</v>
      </c>
      <c r="I492">
        <v>4</v>
      </c>
      <c r="J492" t="s">
        <v>18</v>
      </c>
      <c r="K492" t="str">
        <f t="shared" si="26"/>
        <v/>
      </c>
      <c r="L492" t="s">
        <v>16</v>
      </c>
      <c r="M492">
        <v>1</v>
      </c>
      <c r="T492">
        <f t="shared" si="27"/>
        <v>20</v>
      </c>
      <c r="U492" t="s">
        <v>2035</v>
      </c>
      <c r="V492" s="4" t="s">
        <v>2036</v>
      </c>
      <c r="W492">
        <v>491</v>
      </c>
      <c r="Y492">
        <f t="shared" si="28"/>
        <v>0</v>
      </c>
      <c r="Z492">
        <f t="shared" si="29"/>
        <v>0</v>
      </c>
    </row>
    <row r="493" spans="1:26" x14ac:dyDescent="0.25">
      <c r="A493" s="4">
        <v>1061</v>
      </c>
      <c r="B493" t="s">
        <v>13</v>
      </c>
      <c r="C493">
        <v>2</v>
      </c>
      <c r="D493">
        <v>1</v>
      </c>
      <c r="E493">
        <v>14</v>
      </c>
      <c r="F493" t="s">
        <v>14</v>
      </c>
      <c r="G493">
        <v>6.5</v>
      </c>
      <c r="I493">
        <v>4</v>
      </c>
      <c r="J493" t="s">
        <v>18</v>
      </c>
      <c r="K493" t="str">
        <f t="shared" si="26"/>
        <v/>
      </c>
      <c r="L493" t="s">
        <v>16</v>
      </c>
      <c r="M493">
        <v>1</v>
      </c>
      <c r="T493">
        <f t="shared" si="27"/>
        <v>20</v>
      </c>
      <c r="U493" t="s">
        <v>2041</v>
      </c>
      <c r="V493" s="4" t="s">
        <v>1117</v>
      </c>
      <c r="W493">
        <v>492</v>
      </c>
      <c r="Y493">
        <f t="shared" si="28"/>
        <v>0</v>
      </c>
      <c r="Z493">
        <f t="shared" si="29"/>
        <v>0</v>
      </c>
    </row>
    <row r="494" spans="1:26" x14ac:dyDescent="0.25">
      <c r="A494" s="4">
        <v>1061</v>
      </c>
      <c r="B494" t="s">
        <v>13</v>
      </c>
      <c r="C494">
        <v>2</v>
      </c>
      <c r="D494">
        <v>1</v>
      </c>
      <c r="E494">
        <v>13</v>
      </c>
      <c r="F494" t="s">
        <v>14</v>
      </c>
      <c r="G494">
        <v>6.5</v>
      </c>
      <c r="I494">
        <v>4</v>
      </c>
      <c r="J494" t="s">
        <v>18</v>
      </c>
      <c r="K494" t="str">
        <f t="shared" si="26"/>
        <v/>
      </c>
      <c r="L494" t="s">
        <v>16</v>
      </c>
      <c r="M494">
        <v>1</v>
      </c>
      <c r="T494">
        <f t="shared" si="27"/>
        <v>20</v>
      </c>
      <c r="U494" t="s">
        <v>2047</v>
      </c>
      <c r="V494" s="4" t="s">
        <v>2048</v>
      </c>
      <c r="W494">
        <v>493</v>
      </c>
      <c r="Y494">
        <f t="shared" si="28"/>
        <v>0</v>
      </c>
      <c r="Z494">
        <f t="shared" si="29"/>
        <v>0</v>
      </c>
    </row>
    <row r="495" spans="1:26" x14ac:dyDescent="0.25">
      <c r="A495" s="4">
        <v>1024</v>
      </c>
      <c r="B495" t="s">
        <v>26</v>
      </c>
      <c r="C495">
        <v>2</v>
      </c>
      <c r="D495">
        <v>1</v>
      </c>
      <c r="E495">
        <v>5</v>
      </c>
      <c r="F495" t="s">
        <v>14</v>
      </c>
      <c r="G495">
        <v>5.4</v>
      </c>
      <c r="I495">
        <v>4</v>
      </c>
      <c r="J495" t="s">
        <v>17</v>
      </c>
      <c r="K495" t="str">
        <f t="shared" si="26"/>
        <v/>
      </c>
      <c r="L495" t="s">
        <v>16</v>
      </c>
      <c r="M495">
        <v>2</v>
      </c>
      <c r="T495">
        <f t="shared" si="27"/>
        <v>20</v>
      </c>
      <c r="U495" t="s">
        <v>2052</v>
      </c>
      <c r="V495" s="4" t="s">
        <v>2053</v>
      </c>
      <c r="W495">
        <v>494</v>
      </c>
      <c r="Y495">
        <f t="shared" si="28"/>
        <v>0</v>
      </c>
      <c r="Z495">
        <f t="shared" si="29"/>
        <v>0</v>
      </c>
    </row>
    <row r="496" spans="1:26" x14ac:dyDescent="0.25">
      <c r="A496" s="4">
        <v>1024</v>
      </c>
      <c r="B496" t="s">
        <v>26</v>
      </c>
      <c r="C496">
        <v>2</v>
      </c>
      <c r="D496">
        <v>1</v>
      </c>
      <c r="E496">
        <v>4</v>
      </c>
      <c r="F496" t="s">
        <v>14</v>
      </c>
      <c r="G496">
        <v>5.4</v>
      </c>
      <c r="I496">
        <v>4</v>
      </c>
      <c r="J496" t="s">
        <v>17</v>
      </c>
      <c r="K496" t="str">
        <f t="shared" si="26"/>
        <v/>
      </c>
      <c r="L496" t="s">
        <v>16</v>
      </c>
      <c r="M496">
        <v>2</v>
      </c>
      <c r="T496">
        <f t="shared" si="27"/>
        <v>20</v>
      </c>
      <c r="U496" t="s">
        <v>2058</v>
      </c>
      <c r="V496" s="4" t="s">
        <v>2053</v>
      </c>
      <c r="W496">
        <v>495</v>
      </c>
      <c r="Y496">
        <f t="shared" si="28"/>
        <v>0</v>
      </c>
      <c r="Z496">
        <f t="shared" si="29"/>
        <v>0</v>
      </c>
    </row>
    <row r="497" spans="1:26" x14ac:dyDescent="0.25">
      <c r="A497" s="4">
        <v>1024</v>
      </c>
      <c r="B497" t="s">
        <v>26</v>
      </c>
      <c r="C497">
        <v>2</v>
      </c>
      <c r="D497">
        <v>1</v>
      </c>
      <c r="E497">
        <v>3</v>
      </c>
      <c r="F497" t="s">
        <v>14</v>
      </c>
      <c r="G497">
        <v>5.4</v>
      </c>
      <c r="I497">
        <v>4</v>
      </c>
      <c r="J497" t="s">
        <v>17</v>
      </c>
      <c r="K497" t="str">
        <f t="shared" si="26"/>
        <v/>
      </c>
      <c r="L497" t="s">
        <v>16</v>
      </c>
      <c r="M497">
        <v>2</v>
      </c>
      <c r="T497">
        <f t="shared" si="27"/>
        <v>20</v>
      </c>
      <c r="U497" t="s">
        <v>2063</v>
      </c>
      <c r="V497" s="4" t="s">
        <v>1923</v>
      </c>
      <c r="W497">
        <v>496</v>
      </c>
      <c r="Y497">
        <f t="shared" si="28"/>
        <v>0</v>
      </c>
      <c r="Z497">
        <f t="shared" si="29"/>
        <v>0</v>
      </c>
    </row>
    <row r="498" spans="1:26" x14ac:dyDescent="0.25">
      <c r="A498" s="4">
        <v>1024</v>
      </c>
      <c r="B498" t="s">
        <v>26</v>
      </c>
      <c r="C498">
        <v>2</v>
      </c>
      <c r="D498">
        <v>1</v>
      </c>
      <c r="E498">
        <v>2</v>
      </c>
      <c r="F498" t="s">
        <v>14</v>
      </c>
      <c r="G498">
        <v>5.4</v>
      </c>
      <c r="I498">
        <v>4</v>
      </c>
      <c r="J498" t="s">
        <v>17</v>
      </c>
      <c r="K498" t="str">
        <f t="shared" si="26"/>
        <v/>
      </c>
      <c r="L498" t="s">
        <v>16</v>
      </c>
      <c r="M498">
        <v>2</v>
      </c>
      <c r="T498">
        <f t="shared" si="27"/>
        <v>20</v>
      </c>
      <c r="U498" t="s">
        <v>2067</v>
      </c>
      <c r="V498" s="4" t="s">
        <v>1923</v>
      </c>
      <c r="W498">
        <v>497</v>
      </c>
      <c r="Y498">
        <f t="shared" si="28"/>
        <v>0</v>
      </c>
      <c r="Z498">
        <f t="shared" si="29"/>
        <v>0</v>
      </c>
    </row>
    <row r="499" spans="1:26" x14ac:dyDescent="0.25">
      <c r="A499" s="4">
        <v>1024</v>
      </c>
      <c r="B499" t="s">
        <v>26</v>
      </c>
      <c r="C499">
        <v>2</v>
      </c>
      <c r="D499">
        <v>1</v>
      </c>
      <c r="E499">
        <v>5</v>
      </c>
      <c r="F499" t="s">
        <v>14</v>
      </c>
      <c r="G499">
        <v>5.4</v>
      </c>
      <c r="I499">
        <v>4</v>
      </c>
      <c r="J499" t="s">
        <v>15</v>
      </c>
      <c r="K499" t="str">
        <f t="shared" si="26"/>
        <v/>
      </c>
      <c r="L499" t="s">
        <v>16</v>
      </c>
      <c r="M499">
        <v>1</v>
      </c>
      <c r="T499">
        <f t="shared" si="27"/>
        <v>20</v>
      </c>
      <c r="U499" t="s">
        <v>2071</v>
      </c>
      <c r="V499" s="4" t="s">
        <v>1923</v>
      </c>
      <c r="W499">
        <v>498</v>
      </c>
      <c r="Y499">
        <f t="shared" si="28"/>
        <v>0</v>
      </c>
      <c r="Z499">
        <f t="shared" si="29"/>
        <v>0</v>
      </c>
    </row>
    <row r="500" spans="1:26" x14ac:dyDescent="0.25">
      <c r="A500" s="4">
        <v>1024</v>
      </c>
      <c r="B500" t="s">
        <v>26</v>
      </c>
      <c r="C500">
        <v>2</v>
      </c>
      <c r="D500">
        <v>1</v>
      </c>
      <c r="E500">
        <v>4</v>
      </c>
      <c r="F500" t="s">
        <v>14</v>
      </c>
      <c r="G500">
        <v>5.4</v>
      </c>
      <c r="I500">
        <v>4</v>
      </c>
      <c r="J500" t="s">
        <v>15</v>
      </c>
      <c r="K500" t="str">
        <f t="shared" si="26"/>
        <v/>
      </c>
      <c r="L500" t="s">
        <v>16</v>
      </c>
      <c r="M500">
        <v>1</v>
      </c>
      <c r="T500">
        <f t="shared" si="27"/>
        <v>20</v>
      </c>
      <c r="U500" t="s">
        <v>2075</v>
      </c>
      <c r="V500" s="4" t="s">
        <v>1923</v>
      </c>
      <c r="W500">
        <v>499</v>
      </c>
      <c r="Y500">
        <f t="shared" si="28"/>
        <v>0</v>
      </c>
      <c r="Z500">
        <f t="shared" si="29"/>
        <v>0</v>
      </c>
    </row>
    <row r="501" spans="1:26" x14ac:dyDescent="0.25">
      <c r="A501" s="4">
        <v>1024</v>
      </c>
      <c r="B501" t="s">
        <v>26</v>
      </c>
      <c r="C501">
        <v>2</v>
      </c>
      <c r="D501">
        <v>1</v>
      </c>
      <c r="E501">
        <v>3</v>
      </c>
      <c r="F501" t="s">
        <v>14</v>
      </c>
      <c r="G501">
        <v>5.4</v>
      </c>
      <c r="I501">
        <v>4</v>
      </c>
      <c r="J501" t="s">
        <v>15</v>
      </c>
      <c r="K501" t="str">
        <f t="shared" si="26"/>
        <v/>
      </c>
      <c r="L501" t="s">
        <v>16</v>
      </c>
      <c r="M501">
        <v>1</v>
      </c>
      <c r="T501">
        <f t="shared" si="27"/>
        <v>20</v>
      </c>
      <c r="U501" t="s">
        <v>2078</v>
      </c>
      <c r="V501" s="4" t="s">
        <v>2079</v>
      </c>
      <c r="W501">
        <v>500</v>
      </c>
      <c r="Y501">
        <f t="shared" si="28"/>
        <v>0</v>
      </c>
      <c r="Z501">
        <f t="shared" si="29"/>
        <v>0</v>
      </c>
    </row>
    <row r="502" spans="1:26" x14ac:dyDescent="0.25">
      <c r="A502" s="4">
        <v>1024</v>
      </c>
      <c r="B502" t="s">
        <v>26</v>
      </c>
      <c r="C502">
        <v>2</v>
      </c>
      <c r="D502">
        <v>1</v>
      </c>
      <c r="E502">
        <v>2</v>
      </c>
      <c r="F502" t="s">
        <v>14</v>
      </c>
      <c r="G502">
        <v>5.4</v>
      </c>
      <c r="I502">
        <v>4</v>
      </c>
      <c r="J502" t="s">
        <v>15</v>
      </c>
      <c r="K502" t="str">
        <f t="shared" si="26"/>
        <v/>
      </c>
      <c r="L502" t="s">
        <v>16</v>
      </c>
      <c r="M502">
        <v>1</v>
      </c>
      <c r="T502">
        <f t="shared" si="27"/>
        <v>20</v>
      </c>
      <c r="U502" t="s">
        <v>2082</v>
      </c>
      <c r="V502" s="4" t="s">
        <v>2079</v>
      </c>
      <c r="W502">
        <v>501</v>
      </c>
      <c r="Y502">
        <f t="shared" si="28"/>
        <v>0</v>
      </c>
      <c r="Z502">
        <f t="shared" si="29"/>
        <v>0</v>
      </c>
    </row>
    <row r="503" spans="1:26" x14ac:dyDescent="0.25">
      <c r="A503" s="4">
        <v>1024</v>
      </c>
      <c r="B503" t="s">
        <v>26</v>
      </c>
      <c r="C503">
        <v>2</v>
      </c>
      <c r="D503">
        <v>1</v>
      </c>
      <c r="E503">
        <v>5</v>
      </c>
      <c r="F503" t="s">
        <v>14</v>
      </c>
      <c r="G503">
        <v>5.4</v>
      </c>
      <c r="I503">
        <v>4</v>
      </c>
      <c r="J503" t="s">
        <v>20</v>
      </c>
      <c r="K503" t="str">
        <f t="shared" si="26"/>
        <v/>
      </c>
      <c r="L503" t="s">
        <v>16</v>
      </c>
      <c r="M503">
        <v>1</v>
      </c>
      <c r="T503">
        <f t="shared" si="27"/>
        <v>20</v>
      </c>
      <c r="U503" t="s">
        <v>2085</v>
      </c>
      <c r="V503" s="4" t="s">
        <v>2079</v>
      </c>
      <c r="W503">
        <v>502</v>
      </c>
      <c r="Y503">
        <f t="shared" si="28"/>
        <v>0</v>
      </c>
      <c r="Z503">
        <f t="shared" si="29"/>
        <v>0</v>
      </c>
    </row>
    <row r="504" spans="1:26" x14ac:dyDescent="0.25">
      <c r="A504" s="4">
        <v>1024</v>
      </c>
      <c r="B504" t="s">
        <v>26</v>
      </c>
      <c r="C504">
        <v>2</v>
      </c>
      <c r="D504">
        <v>1</v>
      </c>
      <c r="E504">
        <v>4</v>
      </c>
      <c r="F504" t="s">
        <v>14</v>
      </c>
      <c r="G504">
        <v>5.4</v>
      </c>
      <c r="I504">
        <v>4</v>
      </c>
      <c r="J504" t="s">
        <v>20</v>
      </c>
      <c r="K504" t="str">
        <f t="shared" si="26"/>
        <v/>
      </c>
      <c r="L504" t="s">
        <v>16</v>
      </c>
      <c r="M504">
        <v>1</v>
      </c>
      <c r="T504">
        <f t="shared" si="27"/>
        <v>20</v>
      </c>
      <c r="U504" t="s">
        <v>2088</v>
      </c>
      <c r="V504" s="4" t="s">
        <v>2079</v>
      </c>
      <c r="W504">
        <v>503</v>
      </c>
      <c r="Y504">
        <f t="shared" si="28"/>
        <v>0</v>
      </c>
      <c r="Z504">
        <f t="shared" si="29"/>
        <v>0</v>
      </c>
    </row>
    <row r="505" spans="1:26" x14ac:dyDescent="0.25">
      <c r="A505" s="4">
        <v>1024</v>
      </c>
      <c r="B505" t="s">
        <v>26</v>
      </c>
      <c r="C505">
        <v>2</v>
      </c>
      <c r="D505">
        <v>1</v>
      </c>
      <c r="E505">
        <v>3</v>
      </c>
      <c r="F505" t="s">
        <v>14</v>
      </c>
      <c r="G505">
        <v>5.4</v>
      </c>
      <c r="I505">
        <v>4</v>
      </c>
      <c r="J505" t="s">
        <v>20</v>
      </c>
      <c r="K505" t="str">
        <f t="shared" si="26"/>
        <v/>
      </c>
      <c r="L505" t="s">
        <v>16</v>
      </c>
      <c r="M505">
        <v>1</v>
      </c>
      <c r="T505">
        <f t="shared" si="27"/>
        <v>20</v>
      </c>
      <c r="U505" t="s">
        <v>2090</v>
      </c>
      <c r="V505" s="4" t="s">
        <v>1920</v>
      </c>
      <c r="W505">
        <v>504</v>
      </c>
      <c r="Y505">
        <f t="shared" si="28"/>
        <v>0</v>
      </c>
      <c r="Z505">
        <f t="shared" si="29"/>
        <v>0</v>
      </c>
    </row>
    <row r="506" spans="1:26" x14ac:dyDescent="0.25">
      <c r="A506" s="4">
        <v>1024</v>
      </c>
      <c r="B506" t="s">
        <v>26</v>
      </c>
      <c r="C506">
        <v>2</v>
      </c>
      <c r="D506">
        <v>1</v>
      </c>
      <c r="E506">
        <v>2</v>
      </c>
      <c r="F506" t="s">
        <v>14</v>
      </c>
      <c r="G506">
        <v>5.4</v>
      </c>
      <c r="I506">
        <v>4</v>
      </c>
      <c r="J506" t="s">
        <v>20</v>
      </c>
      <c r="K506" t="str">
        <f t="shared" si="26"/>
        <v/>
      </c>
      <c r="L506" t="s">
        <v>16</v>
      </c>
      <c r="M506">
        <v>1</v>
      </c>
      <c r="T506">
        <f t="shared" si="27"/>
        <v>20</v>
      </c>
      <c r="U506" t="s">
        <v>2094</v>
      </c>
      <c r="V506" s="4" t="s">
        <v>1920</v>
      </c>
      <c r="W506">
        <v>505</v>
      </c>
      <c r="Y506">
        <f t="shared" si="28"/>
        <v>0</v>
      </c>
      <c r="Z506">
        <f t="shared" si="29"/>
        <v>0</v>
      </c>
    </row>
    <row r="507" spans="1:26" x14ac:dyDescent="0.25">
      <c r="A507" s="4">
        <v>1024</v>
      </c>
      <c r="B507" t="s">
        <v>26</v>
      </c>
      <c r="C507">
        <v>2</v>
      </c>
      <c r="D507">
        <v>1</v>
      </c>
      <c r="E507">
        <v>10</v>
      </c>
      <c r="F507" t="s">
        <v>14</v>
      </c>
      <c r="G507">
        <v>6</v>
      </c>
      <c r="I507">
        <v>5</v>
      </c>
      <c r="J507" t="s">
        <v>17</v>
      </c>
      <c r="K507" t="str">
        <f t="shared" si="26"/>
        <v/>
      </c>
      <c r="L507" t="s">
        <v>16</v>
      </c>
      <c r="M507">
        <v>1</v>
      </c>
      <c r="T507">
        <f t="shared" si="27"/>
        <v>20</v>
      </c>
      <c r="U507" t="s">
        <v>2096</v>
      </c>
      <c r="V507" s="4" t="s">
        <v>1920</v>
      </c>
      <c r="W507">
        <v>506</v>
      </c>
      <c r="Y507">
        <f t="shared" si="28"/>
        <v>0</v>
      </c>
      <c r="Z507">
        <f t="shared" si="29"/>
        <v>0</v>
      </c>
    </row>
    <row r="508" spans="1:26" x14ac:dyDescent="0.25">
      <c r="A508" s="4">
        <v>1024</v>
      </c>
      <c r="B508" t="s">
        <v>26</v>
      </c>
      <c r="C508">
        <v>2</v>
      </c>
      <c r="D508">
        <v>1</v>
      </c>
      <c r="E508">
        <v>9</v>
      </c>
      <c r="F508" t="s">
        <v>14</v>
      </c>
      <c r="G508">
        <v>6</v>
      </c>
      <c r="I508">
        <v>5</v>
      </c>
      <c r="J508" t="s">
        <v>17</v>
      </c>
      <c r="K508" t="str">
        <f t="shared" si="26"/>
        <v/>
      </c>
      <c r="L508" t="s">
        <v>16</v>
      </c>
      <c r="M508">
        <v>1</v>
      </c>
      <c r="T508">
        <f t="shared" si="27"/>
        <v>20</v>
      </c>
      <c r="U508" t="s">
        <v>2099</v>
      </c>
      <c r="V508" s="4" t="s">
        <v>1920</v>
      </c>
      <c r="W508">
        <v>507</v>
      </c>
      <c r="Y508">
        <f t="shared" si="28"/>
        <v>0</v>
      </c>
      <c r="Z508">
        <f t="shared" si="29"/>
        <v>0</v>
      </c>
    </row>
    <row r="509" spans="1:26" x14ac:dyDescent="0.25">
      <c r="A509" s="4">
        <v>1024</v>
      </c>
      <c r="B509" t="s">
        <v>26</v>
      </c>
      <c r="C509">
        <v>2</v>
      </c>
      <c r="D509">
        <v>1</v>
      </c>
      <c r="E509">
        <v>8</v>
      </c>
      <c r="F509" t="s">
        <v>14</v>
      </c>
      <c r="G509">
        <v>6</v>
      </c>
      <c r="I509">
        <v>5</v>
      </c>
      <c r="J509" t="s">
        <v>17</v>
      </c>
      <c r="K509" t="str">
        <f t="shared" si="26"/>
        <v/>
      </c>
      <c r="L509" t="s">
        <v>16</v>
      </c>
      <c r="M509">
        <v>1</v>
      </c>
      <c r="T509">
        <f t="shared" si="27"/>
        <v>20</v>
      </c>
      <c r="U509" t="s">
        <v>2101</v>
      </c>
      <c r="V509" s="4" t="s">
        <v>2102</v>
      </c>
      <c r="W509">
        <v>508</v>
      </c>
      <c r="Y509">
        <f t="shared" si="28"/>
        <v>0</v>
      </c>
      <c r="Z509">
        <f t="shared" si="29"/>
        <v>0</v>
      </c>
    </row>
    <row r="510" spans="1:26" x14ac:dyDescent="0.25">
      <c r="A510" s="4">
        <v>1024</v>
      </c>
      <c r="B510" t="s">
        <v>26</v>
      </c>
      <c r="C510">
        <v>2</v>
      </c>
      <c r="D510">
        <v>1</v>
      </c>
      <c r="E510">
        <v>7</v>
      </c>
      <c r="F510" t="s">
        <v>14</v>
      </c>
      <c r="G510">
        <v>6</v>
      </c>
      <c r="I510">
        <v>5</v>
      </c>
      <c r="J510" t="s">
        <v>17</v>
      </c>
      <c r="K510" t="str">
        <f t="shared" si="26"/>
        <v/>
      </c>
      <c r="L510" t="s">
        <v>16</v>
      </c>
      <c r="M510">
        <v>1</v>
      </c>
      <c r="T510">
        <f t="shared" si="27"/>
        <v>20</v>
      </c>
      <c r="U510" t="s">
        <v>2105</v>
      </c>
      <c r="V510" s="4" t="s">
        <v>2102</v>
      </c>
      <c r="W510">
        <v>509</v>
      </c>
      <c r="Y510">
        <f t="shared" si="28"/>
        <v>0</v>
      </c>
      <c r="Z510">
        <f t="shared" si="29"/>
        <v>0</v>
      </c>
    </row>
    <row r="511" spans="1:26" x14ac:dyDescent="0.25">
      <c r="A511" s="4">
        <v>1024</v>
      </c>
      <c r="B511" t="s">
        <v>26</v>
      </c>
      <c r="C511">
        <v>2</v>
      </c>
      <c r="D511">
        <v>1</v>
      </c>
      <c r="E511">
        <v>6</v>
      </c>
      <c r="F511" t="s">
        <v>14</v>
      </c>
      <c r="G511">
        <v>6</v>
      </c>
      <c r="I511">
        <v>5</v>
      </c>
      <c r="J511" t="s">
        <v>17</v>
      </c>
      <c r="K511" t="str">
        <f t="shared" si="26"/>
        <v/>
      </c>
      <c r="L511" t="s">
        <v>16</v>
      </c>
      <c r="M511">
        <v>1</v>
      </c>
      <c r="T511">
        <f t="shared" si="27"/>
        <v>20</v>
      </c>
      <c r="U511" t="s">
        <v>2108</v>
      </c>
      <c r="V511" s="4" t="s">
        <v>2102</v>
      </c>
      <c r="W511">
        <v>510</v>
      </c>
      <c r="Y511">
        <f t="shared" si="28"/>
        <v>0</v>
      </c>
      <c r="Z511">
        <f t="shared" si="29"/>
        <v>0</v>
      </c>
    </row>
    <row r="512" spans="1:26" x14ac:dyDescent="0.25">
      <c r="A512" s="4">
        <v>1024</v>
      </c>
      <c r="B512" t="s">
        <v>26</v>
      </c>
      <c r="C512">
        <v>2</v>
      </c>
      <c r="D512">
        <v>1</v>
      </c>
      <c r="E512">
        <v>10</v>
      </c>
      <c r="F512" t="s">
        <v>14</v>
      </c>
      <c r="G512">
        <v>6</v>
      </c>
      <c r="I512">
        <v>5</v>
      </c>
      <c r="J512" t="s">
        <v>15</v>
      </c>
      <c r="K512" t="str">
        <f t="shared" si="26"/>
        <v/>
      </c>
      <c r="L512" t="s">
        <v>16</v>
      </c>
      <c r="M512">
        <v>2</v>
      </c>
      <c r="T512">
        <f t="shared" si="27"/>
        <v>20</v>
      </c>
      <c r="U512" t="s">
        <v>2110</v>
      </c>
      <c r="V512" s="4" t="s">
        <v>2111</v>
      </c>
      <c r="W512">
        <v>511</v>
      </c>
      <c r="Y512">
        <f t="shared" si="28"/>
        <v>0</v>
      </c>
      <c r="Z512">
        <f t="shared" si="29"/>
        <v>0</v>
      </c>
    </row>
    <row r="513" spans="1:26" x14ac:dyDescent="0.25">
      <c r="A513" s="4">
        <v>1024</v>
      </c>
      <c r="B513" t="s">
        <v>26</v>
      </c>
      <c r="C513">
        <v>2</v>
      </c>
      <c r="D513">
        <v>1</v>
      </c>
      <c r="E513">
        <v>9</v>
      </c>
      <c r="F513" t="s">
        <v>14</v>
      </c>
      <c r="G513">
        <v>6</v>
      </c>
      <c r="I513">
        <v>5</v>
      </c>
      <c r="J513" t="s">
        <v>15</v>
      </c>
      <c r="K513" t="str">
        <f t="shared" si="26"/>
        <v/>
      </c>
      <c r="L513" t="s">
        <v>16</v>
      </c>
      <c r="M513">
        <v>2</v>
      </c>
      <c r="T513">
        <f t="shared" si="27"/>
        <v>20</v>
      </c>
      <c r="U513" t="s">
        <v>2116</v>
      </c>
      <c r="V513" s="4" t="s">
        <v>2111</v>
      </c>
      <c r="W513">
        <v>512</v>
      </c>
      <c r="Y513">
        <f t="shared" si="28"/>
        <v>0</v>
      </c>
      <c r="Z513">
        <f t="shared" si="29"/>
        <v>0</v>
      </c>
    </row>
    <row r="514" spans="1:26" x14ac:dyDescent="0.25">
      <c r="A514" s="4">
        <v>1024</v>
      </c>
      <c r="B514" t="s">
        <v>26</v>
      </c>
      <c r="C514">
        <v>2</v>
      </c>
      <c r="D514">
        <v>1</v>
      </c>
      <c r="E514">
        <v>8</v>
      </c>
      <c r="F514" t="s">
        <v>14</v>
      </c>
      <c r="G514">
        <v>6</v>
      </c>
      <c r="I514">
        <v>5</v>
      </c>
      <c r="J514" t="s">
        <v>15</v>
      </c>
      <c r="K514" t="str">
        <f t="shared" si="26"/>
        <v/>
      </c>
      <c r="L514" t="s">
        <v>16</v>
      </c>
      <c r="M514">
        <v>2</v>
      </c>
      <c r="T514">
        <f t="shared" si="27"/>
        <v>20</v>
      </c>
      <c r="U514" t="s">
        <v>2119</v>
      </c>
      <c r="V514" s="4" t="s">
        <v>2111</v>
      </c>
      <c r="W514">
        <v>513</v>
      </c>
      <c r="Y514">
        <f t="shared" si="28"/>
        <v>0</v>
      </c>
      <c r="Z514">
        <f t="shared" si="29"/>
        <v>0</v>
      </c>
    </row>
    <row r="515" spans="1:26" x14ac:dyDescent="0.25">
      <c r="A515" s="4">
        <v>1024</v>
      </c>
      <c r="B515" t="s">
        <v>26</v>
      </c>
      <c r="C515">
        <v>2</v>
      </c>
      <c r="D515">
        <v>1</v>
      </c>
      <c r="E515">
        <v>7</v>
      </c>
      <c r="F515" t="s">
        <v>14</v>
      </c>
      <c r="G515">
        <v>6</v>
      </c>
      <c r="I515">
        <v>5</v>
      </c>
      <c r="J515" t="s">
        <v>15</v>
      </c>
      <c r="K515" t="str">
        <f t="shared" ref="K515:K578" si="30">_xlfn.XLOOKUP(A515,V:V,U:U,"",0)</f>
        <v/>
      </c>
      <c r="L515" t="s">
        <v>16</v>
      </c>
      <c r="M515">
        <v>2</v>
      </c>
      <c r="T515">
        <f t="shared" ref="T515:T578" si="31">LEN(U515)</f>
        <v>20</v>
      </c>
      <c r="U515" t="s">
        <v>2123</v>
      </c>
      <c r="V515" s="4" t="s">
        <v>2111</v>
      </c>
      <c r="W515">
        <v>514</v>
      </c>
      <c r="Y515">
        <f t="shared" ref="Y515:Y578" si="32">LEN(O515)</f>
        <v>0</v>
      </c>
      <c r="Z515">
        <f t="shared" ref="Z515:Z578" si="33">LEN(P515)</f>
        <v>0</v>
      </c>
    </row>
    <row r="516" spans="1:26" x14ac:dyDescent="0.25">
      <c r="A516" s="4">
        <v>1024</v>
      </c>
      <c r="B516" t="s">
        <v>26</v>
      </c>
      <c r="C516">
        <v>2</v>
      </c>
      <c r="D516">
        <v>1</v>
      </c>
      <c r="E516">
        <v>6</v>
      </c>
      <c r="F516" t="s">
        <v>14</v>
      </c>
      <c r="G516">
        <v>6</v>
      </c>
      <c r="I516">
        <v>5</v>
      </c>
      <c r="J516" t="s">
        <v>15</v>
      </c>
      <c r="K516" t="str">
        <f t="shared" si="30"/>
        <v/>
      </c>
      <c r="L516" t="s">
        <v>16</v>
      </c>
      <c r="M516">
        <v>2</v>
      </c>
      <c r="T516">
        <f t="shared" si="31"/>
        <v>20</v>
      </c>
      <c r="U516" t="s">
        <v>2127</v>
      </c>
      <c r="V516" s="4" t="s">
        <v>1966</v>
      </c>
      <c r="W516">
        <v>515</v>
      </c>
      <c r="Y516">
        <f t="shared" si="32"/>
        <v>0</v>
      </c>
      <c r="Z516">
        <f t="shared" si="33"/>
        <v>0</v>
      </c>
    </row>
    <row r="517" spans="1:26" x14ac:dyDescent="0.25">
      <c r="A517" s="4">
        <v>1024</v>
      </c>
      <c r="B517" t="s">
        <v>26</v>
      </c>
      <c r="C517">
        <v>2</v>
      </c>
      <c r="D517">
        <v>1</v>
      </c>
      <c r="E517">
        <v>15</v>
      </c>
      <c r="F517" t="s">
        <v>14</v>
      </c>
      <c r="G517">
        <v>6.9</v>
      </c>
      <c r="I517">
        <v>5</v>
      </c>
      <c r="J517" t="s">
        <v>17</v>
      </c>
      <c r="K517" t="str">
        <f t="shared" si="30"/>
        <v/>
      </c>
      <c r="L517" t="s">
        <v>16</v>
      </c>
      <c r="M517">
        <v>3</v>
      </c>
      <c r="T517">
        <f t="shared" si="31"/>
        <v>20</v>
      </c>
      <c r="U517" t="s">
        <v>2130</v>
      </c>
      <c r="V517" s="4" t="s">
        <v>1966</v>
      </c>
      <c r="W517">
        <v>516</v>
      </c>
      <c r="Y517">
        <f t="shared" si="32"/>
        <v>0</v>
      </c>
      <c r="Z517">
        <f t="shared" si="33"/>
        <v>0</v>
      </c>
    </row>
    <row r="518" spans="1:26" x14ac:dyDescent="0.25">
      <c r="A518" s="4">
        <v>1024</v>
      </c>
      <c r="B518" t="s">
        <v>26</v>
      </c>
      <c r="C518">
        <v>2</v>
      </c>
      <c r="D518">
        <v>1</v>
      </c>
      <c r="E518">
        <v>14</v>
      </c>
      <c r="F518" t="s">
        <v>14</v>
      </c>
      <c r="G518">
        <v>6.9</v>
      </c>
      <c r="I518">
        <v>5</v>
      </c>
      <c r="J518" t="s">
        <v>17</v>
      </c>
      <c r="K518" t="str">
        <f t="shared" si="30"/>
        <v/>
      </c>
      <c r="L518" t="s">
        <v>16</v>
      </c>
      <c r="M518">
        <v>3</v>
      </c>
      <c r="T518">
        <f t="shared" si="31"/>
        <v>20</v>
      </c>
      <c r="U518" t="s">
        <v>2133</v>
      </c>
      <c r="V518" s="4" t="s">
        <v>1966</v>
      </c>
      <c r="W518">
        <v>517</v>
      </c>
      <c r="Y518">
        <f t="shared" si="32"/>
        <v>0</v>
      </c>
      <c r="Z518">
        <f t="shared" si="33"/>
        <v>0</v>
      </c>
    </row>
    <row r="519" spans="1:26" x14ac:dyDescent="0.25">
      <c r="A519" s="4">
        <v>1024</v>
      </c>
      <c r="B519" t="s">
        <v>26</v>
      </c>
      <c r="C519">
        <v>2</v>
      </c>
      <c r="D519">
        <v>1</v>
      </c>
      <c r="E519">
        <v>13</v>
      </c>
      <c r="F519" t="s">
        <v>14</v>
      </c>
      <c r="G519">
        <v>6.9</v>
      </c>
      <c r="I519">
        <v>5</v>
      </c>
      <c r="J519" t="s">
        <v>17</v>
      </c>
      <c r="K519" t="str">
        <f t="shared" si="30"/>
        <v/>
      </c>
      <c r="L519" t="s">
        <v>16</v>
      </c>
      <c r="M519">
        <v>3</v>
      </c>
      <c r="T519">
        <f t="shared" si="31"/>
        <v>20</v>
      </c>
      <c r="U519" t="s">
        <v>2136</v>
      </c>
      <c r="V519" s="4" t="s">
        <v>2137</v>
      </c>
      <c r="W519">
        <v>518</v>
      </c>
      <c r="Y519">
        <f t="shared" si="32"/>
        <v>0</v>
      </c>
      <c r="Z519">
        <f t="shared" si="33"/>
        <v>0</v>
      </c>
    </row>
    <row r="520" spans="1:26" x14ac:dyDescent="0.25">
      <c r="A520" s="4">
        <v>1024</v>
      </c>
      <c r="B520" t="s">
        <v>26</v>
      </c>
      <c r="C520">
        <v>2</v>
      </c>
      <c r="D520">
        <v>1</v>
      </c>
      <c r="E520">
        <v>12</v>
      </c>
      <c r="F520" t="s">
        <v>14</v>
      </c>
      <c r="G520">
        <v>6.9</v>
      </c>
      <c r="I520">
        <v>5</v>
      </c>
      <c r="J520" t="s">
        <v>17</v>
      </c>
      <c r="K520" t="str">
        <f t="shared" si="30"/>
        <v/>
      </c>
      <c r="L520" t="s">
        <v>16</v>
      </c>
      <c r="M520">
        <v>3</v>
      </c>
      <c r="T520">
        <f t="shared" si="31"/>
        <v>20</v>
      </c>
      <c r="U520" t="s">
        <v>2140</v>
      </c>
      <c r="V520" s="4" t="s">
        <v>2137</v>
      </c>
      <c r="W520">
        <v>519</v>
      </c>
      <c r="Y520">
        <f t="shared" si="32"/>
        <v>0</v>
      </c>
      <c r="Z520">
        <f t="shared" si="33"/>
        <v>0</v>
      </c>
    </row>
    <row r="521" spans="1:26" x14ac:dyDescent="0.25">
      <c r="A521" s="4">
        <v>1024</v>
      </c>
      <c r="B521" t="s">
        <v>26</v>
      </c>
      <c r="C521">
        <v>2</v>
      </c>
      <c r="D521">
        <v>1</v>
      </c>
      <c r="E521">
        <v>11</v>
      </c>
      <c r="F521" t="s">
        <v>14</v>
      </c>
      <c r="G521">
        <v>6.9</v>
      </c>
      <c r="I521">
        <v>5</v>
      </c>
      <c r="J521" t="s">
        <v>17</v>
      </c>
      <c r="K521" t="str">
        <f t="shared" si="30"/>
        <v/>
      </c>
      <c r="L521" t="s">
        <v>16</v>
      </c>
      <c r="M521">
        <v>3</v>
      </c>
      <c r="T521">
        <f t="shared" si="31"/>
        <v>20</v>
      </c>
      <c r="U521" t="s">
        <v>2142</v>
      </c>
      <c r="V521" s="4" t="s">
        <v>2137</v>
      </c>
      <c r="W521">
        <v>520</v>
      </c>
      <c r="Y521">
        <f t="shared" si="32"/>
        <v>0</v>
      </c>
      <c r="Z521">
        <f t="shared" si="33"/>
        <v>0</v>
      </c>
    </row>
    <row r="522" spans="1:26" x14ac:dyDescent="0.25">
      <c r="A522" s="4">
        <v>1024</v>
      </c>
      <c r="B522" t="s">
        <v>26</v>
      </c>
      <c r="C522">
        <v>2</v>
      </c>
      <c r="D522">
        <v>1</v>
      </c>
      <c r="E522">
        <v>15</v>
      </c>
      <c r="F522" t="s">
        <v>14</v>
      </c>
      <c r="G522">
        <v>6.9</v>
      </c>
      <c r="I522">
        <v>5</v>
      </c>
      <c r="J522" t="s">
        <v>15</v>
      </c>
      <c r="K522" t="str">
        <f t="shared" si="30"/>
        <v/>
      </c>
      <c r="L522" t="s">
        <v>16</v>
      </c>
      <c r="M522">
        <v>4</v>
      </c>
      <c r="T522">
        <f t="shared" si="31"/>
        <v>20</v>
      </c>
      <c r="U522" t="s">
        <v>2145</v>
      </c>
      <c r="V522" s="4" t="s">
        <v>2146</v>
      </c>
      <c r="W522">
        <v>521</v>
      </c>
      <c r="Y522">
        <f t="shared" si="32"/>
        <v>0</v>
      </c>
      <c r="Z522">
        <f t="shared" si="33"/>
        <v>0</v>
      </c>
    </row>
    <row r="523" spans="1:26" x14ac:dyDescent="0.25">
      <c r="A523" s="4">
        <v>1024</v>
      </c>
      <c r="B523" t="s">
        <v>26</v>
      </c>
      <c r="C523">
        <v>2</v>
      </c>
      <c r="D523">
        <v>1</v>
      </c>
      <c r="E523">
        <v>14</v>
      </c>
      <c r="F523" t="s">
        <v>14</v>
      </c>
      <c r="G523">
        <v>6.9</v>
      </c>
      <c r="I523">
        <v>5</v>
      </c>
      <c r="J523" t="s">
        <v>15</v>
      </c>
      <c r="K523" t="str">
        <f t="shared" si="30"/>
        <v/>
      </c>
      <c r="L523" t="s">
        <v>16</v>
      </c>
      <c r="M523">
        <v>4</v>
      </c>
      <c r="T523">
        <f t="shared" si="31"/>
        <v>20</v>
      </c>
      <c r="U523" t="s">
        <v>2149</v>
      </c>
      <c r="V523" s="4" t="s">
        <v>2146</v>
      </c>
      <c r="W523">
        <v>522</v>
      </c>
      <c r="Y523">
        <f t="shared" si="32"/>
        <v>0</v>
      </c>
      <c r="Z523">
        <f t="shared" si="33"/>
        <v>0</v>
      </c>
    </row>
    <row r="524" spans="1:26" x14ac:dyDescent="0.25">
      <c r="A524" s="4">
        <v>1024</v>
      </c>
      <c r="B524" t="s">
        <v>26</v>
      </c>
      <c r="C524">
        <v>2</v>
      </c>
      <c r="D524">
        <v>1</v>
      </c>
      <c r="E524">
        <v>13</v>
      </c>
      <c r="F524" t="s">
        <v>14</v>
      </c>
      <c r="G524">
        <v>6.9</v>
      </c>
      <c r="I524">
        <v>5</v>
      </c>
      <c r="J524" t="s">
        <v>15</v>
      </c>
      <c r="K524" t="str">
        <f t="shared" si="30"/>
        <v/>
      </c>
      <c r="L524" t="s">
        <v>16</v>
      </c>
      <c r="M524">
        <v>4</v>
      </c>
      <c r="T524">
        <f t="shared" si="31"/>
        <v>20</v>
      </c>
      <c r="U524" t="s">
        <v>2152</v>
      </c>
      <c r="V524" s="4" t="s">
        <v>2146</v>
      </c>
      <c r="W524">
        <v>523</v>
      </c>
      <c r="Y524">
        <f t="shared" si="32"/>
        <v>0</v>
      </c>
      <c r="Z524">
        <f t="shared" si="33"/>
        <v>0</v>
      </c>
    </row>
    <row r="525" spans="1:26" x14ac:dyDescent="0.25">
      <c r="A525" s="4">
        <v>1024</v>
      </c>
      <c r="B525" t="s">
        <v>26</v>
      </c>
      <c r="C525">
        <v>2</v>
      </c>
      <c r="D525">
        <v>1</v>
      </c>
      <c r="E525">
        <v>12</v>
      </c>
      <c r="F525" t="s">
        <v>14</v>
      </c>
      <c r="G525">
        <v>6.9</v>
      </c>
      <c r="I525">
        <v>5</v>
      </c>
      <c r="J525" t="s">
        <v>15</v>
      </c>
      <c r="K525" t="str">
        <f t="shared" si="30"/>
        <v/>
      </c>
      <c r="L525" t="s">
        <v>16</v>
      </c>
      <c r="M525">
        <v>4</v>
      </c>
      <c r="T525">
        <f t="shared" si="31"/>
        <v>20</v>
      </c>
      <c r="U525" t="s">
        <v>2154</v>
      </c>
      <c r="V525" s="4" t="s">
        <v>1804</v>
      </c>
      <c r="W525">
        <v>524</v>
      </c>
      <c r="Y525">
        <f t="shared" si="32"/>
        <v>0</v>
      </c>
      <c r="Z525">
        <f t="shared" si="33"/>
        <v>0</v>
      </c>
    </row>
    <row r="526" spans="1:26" x14ac:dyDescent="0.25">
      <c r="A526" s="4">
        <v>1024</v>
      </c>
      <c r="B526" t="s">
        <v>26</v>
      </c>
      <c r="C526">
        <v>2</v>
      </c>
      <c r="D526">
        <v>1</v>
      </c>
      <c r="E526">
        <v>11</v>
      </c>
      <c r="F526" t="s">
        <v>14</v>
      </c>
      <c r="G526">
        <v>6.9</v>
      </c>
      <c r="I526">
        <v>5</v>
      </c>
      <c r="J526" t="s">
        <v>15</v>
      </c>
      <c r="K526" t="str">
        <f t="shared" si="30"/>
        <v/>
      </c>
      <c r="L526" t="s">
        <v>16</v>
      </c>
      <c r="M526">
        <v>4</v>
      </c>
      <c r="T526">
        <f t="shared" si="31"/>
        <v>20</v>
      </c>
      <c r="U526" t="s">
        <v>2157</v>
      </c>
      <c r="V526" s="4" t="s">
        <v>1804</v>
      </c>
      <c r="W526">
        <v>525</v>
      </c>
      <c r="Y526">
        <f t="shared" si="32"/>
        <v>0</v>
      </c>
      <c r="Z526">
        <f t="shared" si="33"/>
        <v>0</v>
      </c>
    </row>
    <row r="527" spans="1:26" x14ac:dyDescent="0.25">
      <c r="A527" s="4">
        <v>4007</v>
      </c>
      <c r="B527" t="s">
        <v>28</v>
      </c>
      <c r="C527">
        <v>1</v>
      </c>
      <c r="D527">
        <v>1</v>
      </c>
      <c r="E527">
        <v>6</v>
      </c>
      <c r="F527" t="s">
        <v>14</v>
      </c>
      <c r="G527">
        <v>11</v>
      </c>
      <c r="I527">
        <v>4</v>
      </c>
      <c r="J527" t="s">
        <v>33</v>
      </c>
      <c r="K527" t="str">
        <f t="shared" si="30"/>
        <v/>
      </c>
      <c r="L527" t="s">
        <v>16</v>
      </c>
      <c r="M527">
        <v>1</v>
      </c>
      <c r="T527">
        <f t="shared" si="31"/>
        <v>20</v>
      </c>
      <c r="U527" t="s">
        <v>2159</v>
      </c>
      <c r="V527" s="4" t="s">
        <v>1791</v>
      </c>
      <c r="W527">
        <v>526</v>
      </c>
      <c r="Y527">
        <f t="shared" si="32"/>
        <v>0</v>
      </c>
      <c r="Z527">
        <f t="shared" si="33"/>
        <v>0</v>
      </c>
    </row>
    <row r="528" spans="1:26" x14ac:dyDescent="0.25">
      <c r="A528" s="4">
        <v>4007</v>
      </c>
      <c r="B528" t="s">
        <v>28</v>
      </c>
      <c r="C528">
        <v>1</v>
      </c>
      <c r="D528">
        <v>1</v>
      </c>
      <c r="E528">
        <v>8</v>
      </c>
      <c r="F528" t="s">
        <v>14</v>
      </c>
      <c r="G528">
        <v>11</v>
      </c>
      <c r="I528">
        <v>4</v>
      </c>
      <c r="J528" t="s">
        <v>33</v>
      </c>
      <c r="K528" t="str">
        <f t="shared" si="30"/>
        <v/>
      </c>
      <c r="L528" t="s">
        <v>16</v>
      </c>
      <c r="M528">
        <v>1</v>
      </c>
      <c r="T528">
        <f t="shared" si="31"/>
        <v>20</v>
      </c>
      <c r="U528" t="s">
        <v>2164</v>
      </c>
      <c r="V528" s="4" t="s">
        <v>2165</v>
      </c>
      <c r="W528">
        <v>527</v>
      </c>
      <c r="Y528">
        <f t="shared" si="32"/>
        <v>0</v>
      </c>
      <c r="Z528">
        <f t="shared" si="33"/>
        <v>0</v>
      </c>
    </row>
    <row r="529" spans="1:26" x14ac:dyDescent="0.25">
      <c r="A529" s="4">
        <v>4007</v>
      </c>
      <c r="B529" t="s">
        <v>28</v>
      </c>
      <c r="C529">
        <v>1</v>
      </c>
      <c r="D529">
        <v>1</v>
      </c>
      <c r="E529">
        <v>10</v>
      </c>
      <c r="F529" t="s">
        <v>14</v>
      </c>
      <c r="G529">
        <v>11</v>
      </c>
      <c r="I529">
        <v>4</v>
      </c>
      <c r="J529" t="s">
        <v>33</v>
      </c>
      <c r="K529" t="str">
        <f t="shared" si="30"/>
        <v/>
      </c>
      <c r="L529" t="s">
        <v>16</v>
      </c>
      <c r="M529">
        <v>1</v>
      </c>
      <c r="T529">
        <f t="shared" si="31"/>
        <v>20</v>
      </c>
      <c r="U529" t="s">
        <v>2169</v>
      </c>
      <c r="V529" s="4" t="s">
        <v>2165</v>
      </c>
      <c r="W529">
        <v>528</v>
      </c>
      <c r="Y529">
        <f t="shared" si="32"/>
        <v>0</v>
      </c>
      <c r="Z529">
        <f t="shared" si="33"/>
        <v>0</v>
      </c>
    </row>
    <row r="530" spans="1:26" x14ac:dyDescent="0.25">
      <c r="A530" s="4">
        <v>4007</v>
      </c>
      <c r="B530" t="s">
        <v>28</v>
      </c>
      <c r="C530">
        <v>1</v>
      </c>
      <c r="D530">
        <v>1</v>
      </c>
      <c r="E530">
        <v>12</v>
      </c>
      <c r="F530" t="s">
        <v>14</v>
      </c>
      <c r="G530">
        <v>11</v>
      </c>
      <c r="I530">
        <v>4</v>
      </c>
      <c r="J530" t="s">
        <v>33</v>
      </c>
      <c r="K530" t="str">
        <f t="shared" si="30"/>
        <v/>
      </c>
      <c r="L530" t="s">
        <v>16</v>
      </c>
      <c r="M530">
        <v>1</v>
      </c>
      <c r="T530">
        <f t="shared" si="31"/>
        <v>20</v>
      </c>
      <c r="U530" t="s">
        <v>2171</v>
      </c>
      <c r="V530" s="4" t="s">
        <v>2172</v>
      </c>
      <c r="W530">
        <v>529</v>
      </c>
      <c r="Y530">
        <f t="shared" si="32"/>
        <v>0</v>
      </c>
      <c r="Z530">
        <f t="shared" si="33"/>
        <v>0</v>
      </c>
    </row>
    <row r="531" spans="1:26" x14ac:dyDescent="0.25">
      <c r="A531" s="4">
        <v>4007</v>
      </c>
      <c r="B531" t="s">
        <v>28</v>
      </c>
      <c r="C531">
        <v>1</v>
      </c>
      <c r="D531">
        <v>1</v>
      </c>
      <c r="E531">
        <v>6</v>
      </c>
      <c r="F531" t="s">
        <v>14</v>
      </c>
      <c r="G531">
        <v>11</v>
      </c>
      <c r="I531">
        <v>4</v>
      </c>
      <c r="J531" t="s">
        <v>29</v>
      </c>
      <c r="K531" t="str">
        <f t="shared" si="30"/>
        <v/>
      </c>
      <c r="L531" t="s">
        <v>16</v>
      </c>
      <c r="M531">
        <v>4</v>
      </c>
      <c r="T531">
        <f t="shared" si="31"/>
        <v>20</v>
      </c>
      <c r="U531" t="s">
        <v>2181</v>
      </c>
      <c r="V531" s="4" t="s">
        <v>2172</v>
      </c>
      <c r="W531">
        <v>530</v>
      </c>
      <c r="Y531">
        <f t="shared" si="32"/>
        <v>0</v>
      </c>
      <c r="Z531">
        <f t="shared" si="33"/>
        <v>0</v>
      </c>
    </row>
    <row r="532" spans="1:26" x14ac:dyDescent="0.25">
      <c r="A532" s="4">
        <v>4007</v>
      </c>
      <c r="B532" t="s">
        <v>28</v>
      </c>
      <c r="C532">
        <v>1</v>
      </c>
      <c r="D532">
        <v>1</v>
      </c>
      <c r="E532">
        <v>8</v>
      </c>
      <c r="F532" t="s">
        <v>14</v>
      </c>
      <c r="G532">
        <v>11</v>
      </c>
      <c r="I532">
        <v>4</v>
      </c>
      <c r="J532" t="s">
        <v>29</v>
      </c>
      <c r="K532" t="str">
        <f t="shared" si="30"/>
        <v/>
      </c>
      <c r="L532" t="s">
        <v>16</v>
      </c>
      <c r="M532">
        <v>4</v>
      </c>
      <c r="T532">
        <f t="shared" si="31"/>
        <v>20</v>
      </c>
      <c r="U532" t="s">
        <v>2185</v>
      </c>
      <c r="V532" s="4" t="s">
        <v>2172</v>
      </c>
      <c r="W532">
        <v>531</v>
      </c>
      <c r="Y532">
        <f t="shared" si="32"/>
        <v>0</v>
      </c>
      <c r="Z532">
        <f t="shared" si="33"/>
        <v>0</v>
      </c>
    </row>
    <row r="533" spans="1:26" x14ac:dyDescent="0.25">
      <c r="A533" s="4">
        <v>4007</v>
      </c>
      <c r="B533" t="s">
        <v>28</v>
      </c>
      <c r="C533">
        <v>1</v>
      </c>
      <c r="D533">
        <v>1</v>
      </c>
      <c r="E533">
        <v>10</v>
      </c>
      <c r="F533" t="s">
        <v>14</v>
      </c>
      <c r="G533">
        <v>11</v>
      </c>
      <c r="I533">
        <v>4</v>
      </c>
      <c r="J533" t="s">
        <v>29</v>
      </c>
      <c r="K533" t="str">
        <f t="shared" si="30"/>
        <v/>
      </c>
      <c r="L533" t="s">
        <v>16</v>
      </c>
      <c r="M533">
        <v>4</v>
      </c>
      <c r="T533">
        <f t="shared" si="31"/>
        <v>20</v>
      </c>
      <c r="U533" t="s">
        <v>2188</v>
      </c>
      <c r="V533" s="4" t="s">
        <v>2189</v>
      </c>
      <c r="W533">
        <v>532</v>
      </c>
      <c r="Y533">
        <f t="shared" si="32"/>
        <v>0</v>
      </c>
      <c r="Z533">
        <f t="shared" si="33"/>
        <v>0</v>
      </c>
    </row>
    <row r="534" spans="1:26" x14ac:dyDescent="0.25">
      <c r="A534" s="4">
        <v>4007</v>
      </c>
      <c r="B534" t="s">
        <v>28</v>
      </c>
      <c r="C534">
        <v>1</v>
      </c>
      <c r="D534">
        <v>1</v>
      </c>
      <c r="E534">
        <v>12</v>
      </c>
      <c r="F534" t="s">
        <v>14</v>
      </c>
      <c r="G534">
        <v>11</v>
      </c>
      <c r="I534">
        <v>4</v>
      </c>
      <c r="J534" t="s">
        <v>29</v>
      </c>
      <c r="K534" t="str">
        <f t="shared" si="30"/>
        <v/>
      </c>
      <c r="L534" t="s">
        <v>16</v>
      </c>
      <c r="M534">
        <v>4</v>
      </c>
      <c r="T534">
        <f t="shared" si="31"/>
        <v>20</v>
      </c>
      <c r="U534" t="s">
        <v>2195</v>
      </c>
      <c r="V534" s="4" t="s">
        <v>2189</v>
      </c>
      <c r="W534">
        <v>533</v>
      </c>
      <c r="Y534">
        <f t="shared" si="32"/>
        <v>0</v>
      </c>
      <c r="Z534">
        <f t="shared" si="33"/>
        <v>0</v>
      </c>
    </row>
    <row r="535" spans="1:26" x14ac:dyDescent="0.25">
      <c r="A535" s="4">
        <v>4005</v>
      </c>
      <c r="B535" t="s">
        <v>28</v>
      </c>
      <c r="C535">
        <v>1</v>
      </c>
      <c r="D535">
        <v>1</v>
      </c>
      <c r="E535">
        <v>6</v>
      </c>
      <c r="F535" t="s">
        <v>14</v>
      </c>
      <c r="G535">
        <v>12</v>
      </c>
      <c r="I535">
        <v>4</v>
      </c>
      <c r="J535" t="s">
        <v>30</v>
      </c>
      <c r="K535" t="str">
        <f t="shared" si="30"/>
        <v/>
      </c>
      <c r="L535" t="s">
        <v>16</v>
      </c>
      <c r="M535">
        <v>2</v>
      </c>
      <c r="T535">
        <f t="shared" si="31"/>
        <v>20</v>
      </c>
      <c r="U535" t="s">
        <v>2198</v>
      </c>
      <c r="V535" s="4" t="s">
        <v>2189</v>
      </c>
      <c r="W535">
        <v>534</v>
      </c>
      <c r="Y535">
        <f t="shared" si="32"/>
        <v>0</v>
      </c>
      <c r="Z535">
        <f t="shared" si="33"/>
        <v>0</v>
      </c>
    </row>
    <row r="536" spans="1:26" x14ac:dyDescent="0.25">
      <c r="A536" s="4">
        <v>4005</v>
      </c>
      <c r="B536" t="s">
        <v>28</v>
      </c>
      <c r="C536">
        <v>1</v>
      </c>
      <c r="D536">
        <v>1</v>
      </c>
      <c r="E536">
        <v>8</v>
      </c>
      <c r="F536" t="s">
        <v>14</v>
      </c>
      <c r="G536">
        <v>12</v>
      </c>
      <c r="I536">
        <v>4</v>
      </c>
      <c r="J536" t="s">
        <v>30</v>
      </c>
      <c r="K536" t="str">
        <f t="shared" si="30"/>
        <v/>
      </c>
      <c r="L536" t="s">
        <v>16</v>
      </c>
      <c r="M536">
        <v>2</v>
      </c>
      <c r="T536">
        <f t="shared" si="31"/>
        <v>20</v>
      </c>
      <c r="U536" t="s">
        <v>2200</v>
      </c>
      <c r="V536" s="4" t="s">
        <v>2189</v>
      </c>
      <c r="W536">
        <v>535</v>
      </c>
      <c r="Y536">
        <f t="shared" si="32"/>
        <v>0</v>
      </c>
      <c r="Z536">
        <f t="shared" si="33"/>
        <v>0</v>
      </c>
    </row>
    <row r="537" spans="1:26" x14ac:dyDescent="0.25">
      <c r="A537" s="4">
        <v>4005</v>
      </c>
      <c r="B537" t="s">
        <v>28</v>
      </c>
      <c r="C537">
        <v>1</v>
      </c>
      <c r="D537">
        <v>1</v>
      </c>
      <c r="E537">
        <v>10</v>
      </c>
      <c r="F537" t="s">
        <v>14</v>
      </c>
      <c r="G537">
        <v>12</v>
      </c>
      <c r="I537">
        <v>4</v>
      </c>
      <c r="J537" t="s">
        <v>30</v>
      </c>
      <c r="K537" t="str">
        <f t="shared" si="30"/>
        <v/>
      </c>
      <c r="L537" t="s">
        <v>16</v>
      </c>
      <c r="M537">
        <v>2</v>
      </c>
      <c r="T537">
        <f t="shared" si="31"/>
        <v>20</v>
      </c>
      <c r="U537" t="s">
        <v>2202</v>
      </c>
      <c r="V537" s="4" t="s">
        <v>2203</v>
      </c>
      <c r="W537">
        <v>536</v>
      </c>
      <c r="Y537">
        <f t="shared" si="32"/>
        <v>0</v>
      </c>
      <c r="Z537">
        <f t="shared" si="33"/>
        <v>0</v>
      </c>
    </row>
    <row r="538" spans="1:26" x14ac:dyDescent="0.25">
      <c r="A538" s="4">
        <v>4005</v>
      </c>
      <c r="B538" t="s">
        <v>28</v>
      </c>
      <c r="C538">
        <v>1</v>
      </c>
      <c r="D538">
        <v>1</v>
      </c>
      <c r="E538">
        <v>12</v>
      </c>
      <c r="F538" t="s">
        <v>14</v>
      </c>
      <c r="G538">
        <v>12</v>
      </c>
      <c r="I538">
        <v>4</v>
      </c>
      <c r="J538" t="s">
        <v>30</v>
      </c>
      <c r="K538" t="str">
        <f t="shared" si="30"/>
        <v/>
      </c>
      <c r="L538" t="s">
        <v>16</v>
      </c>
      <c r="M538">
        <v>2</v>
      </c>
      <c r="T538">
        <f t="shared" si="31"/>
        <v>20</v>
      </c>
      <c r="U538" t="s">
        <v>2207</v>
      </c>
      <c r="V538" s="4" t="s">
        <v>2053</v>
      </c>
      <c r="W538">
        <v>537</v>
      </c>
      <c r="Y538">
        <f t="shared" si="32"/>
        <v>0</v>
      </c>
      <c r="Z538">
        <f t="shared" si="33"/>
        <v>0</v>
      </c>
    </row>
    <row r="539" spans="1:26" x14ac:dyDescent="0.25">
      <c r="A539" s="4">
        <v>4005</v>
      </c>
      <c r="B539" t="s">
        <v>28</v>
      </c>
      <c r="C539">
        <v>1</v>
      </c>
      <c r="D539">
        <v>1</v>
      </c>
      <c r="E539">
        <v>6</v>
      </c>
      <c r="F539" t="s">
        <v>14</v>
      </c>
      <c r="G539">
        <v>12</v>
      </c>
      <c r="I539">
        <v>4</v>
      </c>
      <c r="J539" t="s">
        <v>31</v>
      </c>
      <c r="K539" t="str">
        <f t="shared" si="30"/>
        <v/>
      </c>
      <c r="L539" t="s">
        <v>16</v>
      </c>
      <c r="M539">
        <v>2</v>
      </c>
      <c r="T539">
        <f t="shared" si="31"/>
        <v>20</v>
      </c>
      <c r="U539" t="s">
        <v>2211</v>
      </c>
      <c r="V539" s="4" t="s">
        <v>2053</v>
      </c>
      <c r="W539">
        <v>538</v>
      </c>
      <c r="Y539">
        <f t="shared" si="32"/>
        <v>0</v>
      </c>
      <c r="Z539">
        <f t="shared" si="33"/>
        <v>0</v>
      </c>
    </row>
    <row r="540" spans="1:26" x14ac:dyDescent="0.25">
      <c r="A540" s="4">
        <v>4005</v>
      </c>
      <c r="B540" t="s">
        <v>28</v>
      </c>
      <c r="C540">
        <v>1</v>
      </c>
      <c r="D540">
        <v>1</v>
      </c>
      <c r="E540">
        <v>8</v>
      </c>
      <c r="F540" t="s">
        <v>14</v>
      </c>
      <c r="G540">
        <v>12</v>
      </c>
      <c r="I540">
        <v>4</v>
      </c>
      <c r="J540" t="s">
        <v>31</v>
      </c>
      <c r="K540" t="str">
        <f t="shared" si="30"/>
        <v/>
      </c>
      <c r="L540" t="s">
        <v>16</v>
      </c>
      <c r="M540">
        <v>2</v>
      </c>
      <c r="T540">
        <f t="shared" si="31"/>
        <v>20</v>
      </c>
      <c r="U540" t="s">
        <v>2215</v>
      </c>
      <c r="V540" s="4" t="s">
        <v>1777</v>
      </c>
      <c r="W540">
        <v>539</v>
      </c>
      <c r="Y540">
        <f t="shared" si="32"/>
        <v>0</v>
      </c>
      <c r="Z540">
        <f t="shared" si="33"/>
        <v>0</v>
      </c>
    </row>
    <row r="541" spans="1:26" x14ac:dyDescent="0.25">
      <c r="A541" s="4">
        <v>4005</v>
      </c>
      <c r="B541" t="s">
        <v>28</v>
      </c>
      <c r="C541">
        <v>1</v>
      </c>
      <c r="D541">
        <v>1</v>
      </c>
      <c r="E541">
        <v>10</v>
      </c>
      <c r="F541" t="s">
        <v>14</v>
      </c>
      <c r="G541">
        <v>12</v>
      </c>
      <c r="I541">
        <v>4</v>
      </c>
      <c r="J541" t="s">
        <v>31</v>
      </c>
      <c r="K541" t="str">
        <f t="shared" si="30"/>
        <v/>
      </c>
      <c r="L541" t="s">
        <v>16</v>
      </c>
      <c r="M541">
        <v>2</v>
      </c>
      <c r="T541">
        <f t="shared" si="31"/>
        <v>20</v>
      </c>
      <c r="U541" t="s">
        <v>2218</v>
      </c>
      <c r="V541" s="4" t="s">
        <v>2219</v>
      </c>
      <c r="W541">
        <v>540</v>
      </c>
      <c r="Y541">
        <f t="shared" si="32"/>
        <v>0</v>
      </c>
      <c r="Z541">
        <f t="shared" si="33"/>
        <v>0</v>
      </c>
    </row>
    <row r="542" spans="1:26" x14ac:dyDescent="0.25">
      <c r="A542" s="4">
        <v>4005</v>
      </c>
      <c r="B542" t="s">
        <v>28</v>
      </c>
      <c r="C542">
        <v>1</v>
      </c>
      <c r="D542">
        <v>1</v>
      </c>
      <c r="E542">
        <v>12</v>
      </c>
      <c r="F542" t="s">
        <v>14</v>
      </c>
      <c r="G542">
        <v>12</v>
      </c>
      <c r="I542">
        <v>4</v>
      </c>
      <c r="J542" t="s">
        <v>31</v>
      </c>
      <c r="K542" t="str">
        <f t="shared" si="30"/>
        <v/>
      </c>
      <c r="L542" t="s">
        <v>16</v>
      </c>
      <c r="M542">
        <v>2</v>
      </c>
      <c r="T542">
        <f t="shared" si="31"/>
        <v>20</v>
      </c>
      <c r="U542" t="s">
        <v>2222</v>
      </c>
      <c r="V542" s="4" t="s">
        <v>2219</v>
      </c>
      <c r="W542">
        <v>541</v>
      </c>
      <c r="Y542">
        <f t="shared" si="32"/>
        <v>0</v>
      </c>
      <c r="Z542">
        <f t="shared" si="33"/>
        <v>0</v>
      </c>
    </row>
    <row r="543" spans="1:26" x14ac:dyDescent="0.25">
      <c r="A543" s="4">
        <v>4005</v>
      </c>
      <c r="B543" t="s">
        <v>28</v>
      </c>
      <c r="C543">
        <v>1</v>
      </c>
      <c r="D543">
        <v>1</v>
      </c>
      <c r="E543">
        <v>6</v>
      </c>
      <c r="F543" t="s">
        <v>14</v>
      </c>
      <c r="G543">
        <v>12</v>
      </c>
      <c r="I543">
        <v>4</v>
      </c>
      <c r="J543" t="s">
        <v>29</v>
      </c>
      <c r="K543" t="str">
        <f t="shared" si="30"/>
        <v/>
      </c>
      <c r="L543" t="s">
        <v>16</v>
      </c>
      <c r="M543">
        <v>2</v>
      </c>
      <c r="T543">
        <f t="shared" si="31"/>
        <v>20</v>
      </c>
      <c r="U543" t="s">
        <v>2225</v>
      </c>
      <c r="V543" s="4" t="s">
        <v>2219</v>
      </c>
      <c r="W543">
        <v>542</v>
      </c>
      <c r="Y543">
        <f t="shared" si="32"/>
        <v>0</v>
      </c>
      <c r="Z543">
        <f t="shared" si="33"/>
        <v>0</v>
      </c>
    </row>
    <row r="544" spans="1:26" x14ac:dyDescent="0.25">
      <c r="A544" s="4">
        <v>4005</v>
      </c>
      <c r="B544" t="s">
        <v>28</v>
      </c>
      <c r="C544">
        <v>1</v>
      </c>
      <c r="D544">
        <v>1</v>
      </c>
      <c r="E544">
        <v>8</v>
      </c>
      <c r="F544" t="s">
        <v>14</v>
      </c>
      <c r="G544">
        <v>12</v>
      </c>
      <c r="I544">
        <v>4</v>
      </c>
      <c r="J544" t="s">
        <v>29</v>
      </c>
      <c r="K544" t="str">
        <f t="shared" si="30"/>
        <v/>
      </c>
      <c r="L544" t="s">
        <v>16</v>
      </c>
      <c r="M544">
        <v>2</v>
      </c>
      <c r="T544">
        <f t="shared" si="31"/>
        <v>20</v>
      </c>
      <c r="U544" t="s">
        <v>2227</v>
      </c>
      <c r="V544" s="4" t="s">
        <v>2219</v>
      </c>
      <c r="W544">
        <v>543</v>
      </c>
      <c r="Y544">
        <f t="shared" si="32"/>
        <v>0</v>
      </c>
      <c r="Z544">
        <f t="shared" si="33"/>
        <v>0</v>
      </c>
    </row>
    <row r="545" spans="1:26" x14ac:dyDescent="0.25">
      <c r="A545" s="4">
        <v>4005</v>
      </c>
      <c r="B545" t="s">
        <v>28</v>
      </c>
      <c r="C545">
        <v>1</v>
      </c>
      <c r="D545">
        <v>1</v>
      </c>
      <c r="E545">
        <v>10</v>
      </c>
      <c r="F545" t="s">
        <v>14</v>
      </c>
      <c r="G545">
        <v>12</v>
      </c>
      <c r="I545">
        <v>4</v>
      </c>
      <c r="J545" t="s">
        <v>29</v>
      </c>
      <c r="K545" t="str">
        <f t="shared" si="30"/>
        <v/>
      </c>
      <c r="L545" t="s">
        <v>16</v>
      </c>
      <c r="M545">
        <v>2</v>
      </c>
      <c r="T545">
        <f t="shared" si="31"/>
        <v>20</v>
      </c>
      <c r="U545" t="s">
        <v>2230</v>
      </c>
      <c r="V545" s="4" t="s">
        <v>2219</v>
      </c>
      <c r="W545">
        <v>544</v>
      </c>
      <c r="Y545">
        <f t="shared" si="32"/>
        <v>0</v>
      </c>
      <c r="Z545">
        <f t="shared" si="33"/>
        <v>0</v>
      </c>
    </row>
    <row r="546" spans="1:26" x14ac:dyDescent="0.25">
      <c r="A546" s="4">
        <v>4005</v>
      </c>
      <c r="B546" t="s">
        <v>28</v>
      </c>
      <c r="C546">
        <v>1</v>
      </c>
      <c r="D546">
        <v>1</v>
      </c>
      <c r="E546">
        <v>12</v>
      </c>
      <c r="F546" t="s">
        <v>14</v>
      </c>
      <c r="G546">
        <v>12</v>
      </c>
      <c r="I546">
        <v>4</v>
      </c>
      <c r="J546" t="s">
        <v>29</v>
      </c>
      <c r="K546" t="str">
        <f t="shared" si="30"/>
        <v/>
      </c>
      <c r="L546" t="s">
        <v>16</v>
      </c>
      <c r="M546">
        <v>2</v>
      </c>
      <c r="T546">
        <f t="shared" si="31"/>
        <v>20</v>
      </c>
      <c r="U546" t="s">
        <v>2233</v>
      </c>
      <c r="V546" s="4" t="s">
        <v>2219</v>
      </c>
      <c r="W546">
        <v>545</v>
      </c>
      <c r="Y546">
        <f t="shared" si="32"/>
        <v>0</v>
      </c>
      <c r="Z546">
        <f t="shared" si="33"/>
        <v>0</v>
      </c>
    </row>
    <row r="547" spans="1:26" x14ac:dyDescent="0.25">
      <c r="A547" s="4">
        <v>4005</v>
      </c>
      <c r="B547" t="s">
        <v>28</v>
      </c>
      <c r="C547">
        <v>1</v>
      </c>
      <c r="D547">
        <v>1</v>
      </c>
      <c r="E547">
        <v>6</v>
      </c>
      <c r="F547" t="s">
        <v>14</v>
      </c>
      <c r="G547">
        <v>12</v>
      </c>
      <c r="I547">
        <v>4</v>
      </c>
      <c r="J547" t="s">
        <v>34</v>
      </c>
      <c r="K547" t="str">
        <f t="shared" si="30"/>
        <v/>
      </c>
      <c r="L547" t="s">
        <v>16</v>
      </c>
      <c r="M547">
        <v>2</v>
      </c>
      <c r="T547">
        <f t="shared" si="31"/>
        <v>20</v>
      </c>
      <c r="U547" t="s">
        <v>2235</v>
      </c>
      <c r="V547" s="4" t="s">
        <v>2219</v>
      </c>
      <c r="W547">
        <v>546</v>
      </c>
      <c r="Y547">
        <f t="shared" si="32"/>
        <v>0</v>
      </c>
      <c r="Z547">
        <f t="shared" si="33"/>
        <v>0</v>
      </c>
    </row>
    <row r="548" spans="1:26" x14ac:dyDescent="0.25">
      <c r="A548" s="4">
        <v>4005</v>
      </c>
      <c r="B548" t="s">
        <v>28</v>
      </c>
      <c r="C548">
        <v>1</v>
      </c>
      <c r="D548">
        <v>1</v>
      </c>
      <c r="E548">
        <v>8</v>
      </c>
      <c r="F548" t="s">
        <v>14</v>
      </c>
      <c r="G548">
        <v>12</v>
      </c>
      <c r="I548">
        <v>4</v>
      </c>
      <c r="J548" t="s">
        <v>34</v>
      </c>
      <c r="K548" t="str">
        <f t="shared" si="30"/>
        <v/>
      </c>
      <c r="L548" t="s">
        <v>16</v>
      </c>
      <c r="M548">
        <v>2</v>
      </c>
      <c r="T548">
        <f t="shared" si="31"/>
        <v>20</v>
      </c>
      <c r="U548" t="s">
        <v>2239</v>
      </c>
      <c r="V548" s="4" t="s">
        <v>2219</v>
      </c>
      <c r="W548">
        <v>547</v>
      </c>
      <c r="Y548">
        <f t="shared" si="32"/>
        <v>0</v>
      </c>
      <c r="Z548">
        <f t="shared" si="33"/>
        <v>0</v>
      </c>
    </row>
    <row r="549" spans="1:26" x14ac:dyDescent="0.25">
      <c r="A549" s="4">
        <v>4005</v>
      </c>
      <c r="B549" t="s">
        <v>28</v>
      </c>
      <c r="C549">
        <v>1</v>
      </c>
      <c r="D549">
        <v>1</v>
      </c>
      <c r="E549">
        <v>10</v>
      </c>
      <c r="F549" t="s">
        <v>14</v>
      </c>
      <c r="G549">
        <v>12</v>
      </c>
      <c r="I549">
        <v>4</v>
      </c>
      <c r="J549" t="s">
        <v>34</v>
      </c>
      <c r="K549" t="str">
        <f t="shared" si="30"/>
        <v/>
      </c>
      <c r="L549" t="s">
        <v>16</v>
      </c>
      <c r="M549">
        <v>2</v>
      </c>
      <c r="T549">
        <f t="shared" si="31"/>
        <v>20</v>
      </c>
      <c r="U549" t="s">
        <v>2241</v>
      </c>
      <c r="V549" s="4" t="s">
        <v>2219</v>
      </c>
      <c r="W549">
        <v>548</v>
      </c>
      <c r="Y549">
        <f t="shared" si="32"/>
        <v>0</v>
      </c>
      <c r="Z549">
        <f t="shared" si="33"/>
        <v>0</v>
      </c>
    </row>
    <row r="550" spans="1:26" x14ac:dyDescent="0.25">
      <c r="A550" s="4">
        <v>4005</v>
      </c>
      <c r="B550" t="s">
        <v>28</v>
      </c>
      <c r="C550">
        <v>1</v>
      </c>
      <c r="D550">
        <v>1</v>
      </c>
      <c r="E550">
        <v>12</v>
      </c>
      <c r="F550" t="s">
        <v>14</v>
      </c>
      <c r="G550">
        <v>12</v>
      </c>
      <c r="I550">
        <v>4</v>
      </c>
      <c r="J550" t="s">
        <v>34</v>
      </c>
      <c r="K550" t="str">
        <f t="shared" si="30"/>
        <v/>
      </c>
      <c r="L550" t="s">
        <v>16</v>
      </c>
      <c r="M550">
        <v>2</v>
      </c>
      <c r="T550">
        <f t="shared" si="31"/>
        <v>20</v>
      </c>
      <c r="U550" t="s">
        <v>2243</v>
      </c>
      <c r="V550" s="4" t="s">
        <v>2219</v>
      </c>
      <c r="W550">
        <v>549</v>
      </c>
      <c r="Y550">
        <f t="shared" si="32"/>
        <v>0</v>
      </c>
      <c r="Z550">
        <f t="shared" si="33"/>
        <v>0</v>
      </c>
    </row>
    <row r="551" spans="1:26" x14ac:dyDescent="0.25">
      <c r="A551" s="4">
        <v>1013</v>
      </c>
      <c r="B551" t="s">
        <v>26</v>
      </c>
      <c r="C551">
        <v>2</v>
      </c>
      <c r="D551">
        <v>1</v>
      </c>
      <c r="E551">
        <v>5</v>
      </c>
      <c r="F551" t="s">
        <v>14</v>
      </c>
      <c r="G551">
        <v>5.4</v>
      </c>
      <c r="I551">
        <v>4</v>
      </c>
      <c r="J551" t="s">
        <v>15</v>
      </c>
      <c r="K551" t="str">
        <f t="shared" si="30"/>
        <v/>
      </c>
      <c r="L551" t="s">
        <v>16</v>
      </c>
      <c r="M551">
        <v>8</v>
      </c>
      <c r="T551">
        <f t="shared" si="31"/>
        <v>20</v>
      </c>
      <c r="U551" t="s">
        <v>2246</v>
      </c>
      <c r="V551" s="4" t="s">
        <v>2219</v>
      </c>
      <c r="W551">
        <v>550</v>
      </c>
      <c r="Y551">
        <f t="shared" si="32"/>
        <v>0</v>
      </c>
      <c r="Z551">
        <f t="shared" si="33"/>
        <v>0</v>
      </c>
    </row>
    <row r="552" spans="1:26" x14ac:dyDescent="0.25">
      <c r="A552" s="4">
        <v>1013</v>
      </c>
      <c r="B552" t="s">
        <v>26</v>
      </c>
      <c r="C552">
        <v>2</v>
      </c>
      <c r="D552">
        <v>1</v>
      </c>
      <c r="E552">
        <v>4</v>
      </c>
      <c r="F552" t="s">
        <v>14</v>
      </c>
      <c r="G552">
        <v>5.4</v>
      </c>
      <c r="I552">
        <v>4</v>
      </c>
      <c r="J552" t="s">
        <v>15</v>
      </c>
      <c r="K552" t="str">
        <f t="shared" si="30"/>
        <v/>
      </c>
      <c r="L552" t="s">
        <v>16</v>
      </c>
      <c r="M552">
        <v>8</v>
      </c>
      <c r="T552">
        <f t="shared" si="31"/>
        <v>20</v>
      </c>
      <c r="U552" t="s">
        <v>2249</v>
      </c>
      <c r="V552" s="4" t="s">
        <v>2219</v>
      </c>
      <c r="W552">
        <v>551</v>
      </c>
      <c r="Y552">
        <f t="shared" si="32"/>
        <v>0</v>
      </c>
      <c r="Z552">
        <f t="shared" si="33"/>
        <v>0</v>
      </c>
    </row>
    <row r="553" spans="1:26" x14ac:dyDescent="0.25">
      <c r="A553" s="4">
        <v>1013</v>
      </c>
      <c r="B553" t="s">
        <v>26</v>
      </c>
      <c r="C553">
        <v>2</v>
      </c>
      <c r="D553">
        <v>1</v>
      </c>
      <c r="E553">
        <v>3</v>
      </c>
      <c r="F553" t="s">
        <v>14</v>
      </c>
      <c r="G553">
        <v>5.4</v>
      </c>
      <c r="I553">
        <v>4</v>
      </c>
      <c r="J553" t="s">
        <v>15</v>
      </c>
      <c r="K553" t="str">
        <f t="shared" si="30"/>
        <v/>
      </c>
      <c r="L553" t="s">
        <v>16</v>
      </c>
      <c r="M553">
        <v>8</v>
      </c>
      <c r="T553">
        <f t="shared" si="31"/>
        <v>20</v>
      </c>
      <c r="U553" t="s">
        <v>2251</v>
      </c>
      <c r="V553" s="4" t="s">
        <v>1657</v>
      </c>
      <c r="W553">
        <v>552</v>
      </c>
      <c r="Y553">
        <f t="shared" si="32"/>
        <v>0</v>
      </c>
      <c r="Z553">
        <f t="shared" si="33"/>
        <v>0</v>
      </c>
    </row>
    <row r="554" spans="1:26" x14ac:dyDescent="0.25">
      <c r="A554" s="4">
        <v>1013</v>
      </c>
      <c r="B554" t="s">
        <v>26</v>
      </c>
      <c r="C554">
        <v>2</v>
      </c>
      <c r="D554">
        <v>1</v>
      </c>
      <c r="E554">
        <v>2</v>
      </c>
      <c r="F554" t="s">
        <v>14</v>
      </c>
      <c r="G554">
        <v>5.4</v>
      </c>
      <c r="I554">
        <v>4</v>
      </c>
      <c r="J554" t="s">
        <v>15</v>
      </c>
      <c r="K554" t="str">
        <f t="shared" si="30"/>
        <v/>
      </c>
      <c r="L554" t="s">
        <v>16</v>
      </c>
      <c r="M554">
        <v>8</v>
      </c>
      <c r="T554">
        <f t="shared" si="31"/>
        <v>20</v>
      </c>
      <c r="U554" t="s">
        <v>2254</v>
      </c>
      <c r="V554" s="4" t="s">
        <v>1657</v>
      </c>
      <c r="W554">
        <v>553</v>
      </c>
      <c r="Y554">
        <f t="shared" si="32"/>
        <v>0</v>
      </c>
      <c r="Z554">
        <f t="shared" si="33"/>
        <v>0</v>
      </c>
    </row>
    <row r="555" spans="1:26" x14ac:dyDescent="0.25">
      <c r="A555" s="4">
        <v>1013</v>
      </c>
      <c r="B555" t="s">
        <v>26</v>
      </c>
      <c r="C555">
        <v>2</v>
      </c>
      <c r="D555">
        <v>1</v>
      </c>
      <c r="E555">
        <v>10</v>
      </c>
      <c r="F555" t="s">
        <v>14</v>
      </c>
      <c r="G555">
        <v>6.2</v>
      </c>
      <c r="I555">
        <v>5</v>
      </c>
      <c r="J555" t="s">
        <v>17</v>
      </c>
      <c r="K555" t="str">
        <f t="shared" si="30"/>
        <v/>
      </c>
      <c r="L555" t="s">
        <v>16</v>
      </c>
      <c r="M555">
        <v>1</v>
      </c>
      <c r="T555">
        <f t="shared" si="31"/>
        <v>20</v>
      </c>
      <c r="U555" t="s">
        <v>2256</v>
      </c>
      <c r="V555" s="4" t="s">
        <v>1657</v>
      </c>
      <c r="W555">
        <v>554</v>
      </c>
      <c r="Y555">
        <f t="shared" si="32"/>
        <v>0</v>
      </c>
      <c r="Z555">
        <f t="shared" si="33"/>
        <v>0</v>
      </c>
    </row>
    <row r="556" spans="1:26" x14ac:dyDescent="0.25">
      <c r="A556" s="4">
        <v>1013</v>
      </c>
      <c r="B556" t="s">
        <v>26</v>
      </c>
      <c r="C556">
        <v>2</v>
      </c>
      <c r="D556">
        <v>1</v>
      </c>
      <c r="E556">
        <v>9</v>
      </c>
      <c r="F556" t="s">
        <v>14</v>
      </c>
      <c r="G556">
        <v>6.2</v>
      </c>
      <c r="I556">
        <v>5</v>
      </c>
      <c r="J556" t="s">
        <v>17</v>
      </c>
      <c r="K556" t="str">
        <f t="shared" si="30"/>
        <v/>
      </c>
      <c r="L556" t="s">
        <v>16</v>
      </c>
      <c r="M556">
        <v>1</v>
      </c>
      <c r="T556">
        <f t="shared" si="31"/>
        <v>20</v>
      </c>
      <c r="U556" t="s">
        <v>2258</v>
      </c>
      <c r="V556" s="4" t="s">
        <v>1279</v>
      </c>
      <c r="W556">
        <v>555</v>
      </c>
      <c r="Y556">
        <f t="shared" si="32"/>
        <v>0</v>
      </c>
      <c r="Z556">
        <f t="shared" si="33"/>
        <v>0</v>
      </c>
    </row>
    <row r="557" spans="1:26" x14ac:dyDescent="0.25">
      <c r="A557" s="4">
        <v>1013</v>
      </c>
      <c r="B557" t="s">
        <v>26</v>
      </c>
      <c r="C557">
        <v>2</v>
      </c>
      <c r="D557">
        <v>1</v>
      </c>
      <c r="E557">
        <v>8</v>
      </c>
      <c r="F557" t="s">
        <v>14</v>
      </c>
      <c r="G557">
        <v>6.2</v>
      </c>
      <c r="I557">
        <v>5</v>
      </c>
      <c r="J557" t="s">
        <v>17</v>
      </c>
      <c r="K557" t="str">
        <f t="shared" si="30"/>
        <v/>
      </c>
      <c r="L557" t="s">
        <v>16</v>
      </c>
      <c r="M557">
        <v>1</v>
      </c>
      <c r="T557">
        <f t="shared" si="31"/>
        <v>20</v>
      </c>
      <c r="U557" t="s">
        <v>2263</v>
      </c>
      <c r="V557" s="4" t="s">
        <v>1279</v>
      </c>
      <c r="W557">
        <v>556</v>
      </c>
      <c r="Y557">
        <f t="shared" si="32"/>
        <v>0</v>
      </c>
      <c r="Z557">
        <f t="shared" si="33"/>
        <v>0</v>
      </c>
    </row>
    <row r="558" spans="1:26" x14ac:dyDescent="0.25">
      <c r="A558" s="4">
        <v>1013</v>
      </c>
      <c r="B558" t="s">
        <v>26</v>
      </c>
      <c r="C558">
        <v>2</v>
      </c>
      <c r="D558">
        <v>1</v>
      </c>
      <c r="E558">
        <v>7</v>
      </c>
      <c r="F558" t="s">
        <v>14</v>
      </c>
      <c r="G558">
        <v>6.2</v>
      </c>
      <c r="I558">
        <v>5</v>
      </c>
      <c r="J558" t="s">
        <v>17</v>
      </c>
      <c r="K558" t="str">
        <f t="shared" si="30"/>
        <v/>
      </c>
      <c r="L558" t="s">
        <v>16</v>
      </c>
      <c r="M558">
        <v>1</v>
      </c>
      <c r="T558">
        <f t="shared" si="31"/>
        <v>20</v>
      </c>
      <c r="U558" t="s">
        <v>2266</v>
      </c>
      <c r="V558" s="4" t="s">
        <v>1279</v>
      </c>
      <c r="W558">
        <v>557</v>
      </c>
      <c r="Y558">
        <f t="shared" si="32"/>
        <v>0</v>
      </c>
      <c r="Z558">
        <f t="shared" si="33"/>
        <v>0</v>
      </c>
    </row>
    <row r="559" spans="1:26" x14ac:dyDescent="0.25">
      <c r="A559" s="4">
        <v>1013</v>
      </c>
      <c r="B559" t="s">
        <v>26</v>
      </c>
      <c r="C559">
        <v>2</v>
      </c>
      <c r="D559">
        <v>1</v>
      </c>
      <c r="E559">
        <v>6</v>
      </c>
      <c r="F559" t="s">
        <v>14</v>
      </c>
      <c r="G559">
        <v>6.2</v>
      </c>
      <c r="I559">
        <v>5</v>
      </c>
      <c r="J559" t="s">
        <v>17</v>
      </c>
      <c r="K559" t="str">
        <f t="shared" si="30"/>
        <v/>
      </c>
      <c r="L559" t="s">
        <v>16</v>
      </c>
      <c r="M559">
        <v>1</v>
      </c>
      <c r="T559">
        <f t="shared" si="31"/>
        <v>20</v>
      </c>
      <c r="U559" t="s">
        <v>2271</v>
      </c>
      <c r="V559" s="4" t="s">
        <v>1279</v>
      </c>
      <c r="W559">
        <v>558</v>
      </c>
      <c r="Y559">
        <f t="shared" si="32"/>
        <v>0</v>
      </c>
      <c r="Z559">
        <f t="shared" si="33"/>
        <v>0</v>
      </c>
    </row>
    <row r="560" spans="1:26" x14ac:dyDescent="0.25">
      <c r="A560" s="4">
        <v>1013</v>
      </c>
      <c r="B560" t="s">
        <v>26</v>
      </c>
      <c r="C560">
        <v>2</v>
      </c>
      <c r="D560">
        <v>1</v>
      </c>
      <c r="E560">
        <v>10</v>
      </c>
      <c r="F560" t="s">
        <v>14</v>
      </c>
      <c r="G560">
        <v>6.2</v>
      </c>
      <c r="I560">
        <v>5</v>
      </c>
      <c r="J560" t="s">
        <v>15</v>
      </c>
      <c r="K560" t="str">
        <f t="shared" si="30"/>
        <v/>
      </c>
      <c r="L560" t="s">
        <v>16</v>
      </c>
      <c r="M560">
        <v>7</v>
      </c>
      <c r="T560">
        <f t="shared" si="31"/>
        <v>20</v>
      </c>
      <c r="U560" t="s">
        <v>2274</v>
      </c>
      <c r="V560" s="4" t="s">
        <v>2032</v>
      </c>
      <c r="W560">
        <v>559</v>
      </c>
      <c r="Y560">
        <f t="shared" si="32"/>
        <v>0</v>
      </c>
      <c r="Z560">
        <f t="shared" si="33"/>
        <v>0</v>
      </c>
    </row>
    <row r="561" spans="1:26" x14ac:dyDescent="0.25">
      <c r="A561" s="4">
        <v>1013</v>
      </c>
      <c r="B561" t="s">
        <v>26</v>
      </c>
      <c r="C561">
        <v>2</v>
      </c>
      <c r="D561">
        <v>1</v>
      </c>
      <c r="E561">
        <v>9</v>
      </c>
      <c r="F561" t="s">
        <v>14</v>
      </c>
      <c r="G561">
        <v>6.2</v>
      </c>
      <c r="I561">
        <v>5</v>
      </c>
      <c r="J561" t="s">
        <v>15</v>
      </c>
      <c r="K561" t="str">
        <f t="shared" si="30"/>
        <v/>
      </c>
      <c r="L561" t="s">
        <v>16</v>
      </c>
      <c r="M561">
        <v>7</v>
      </c>
      <c r="T561">
        <f t="shared" si="31"/>
        <v>20</v>
      </c>
      <c r="U561" t="s">
        <v>2280</v>
      </c>
      <c r="V561" s="4" t="s">
        <v>2032</v>
      </c>
      <c r="W561">
        <v>560</v>
      </c>
      <c r="Y561">
        <f t="shared" si="32"/>
        <v>0</v>
      </c>
      <c r="Z561">
        <f t="shared" si="33"/>
        <v>0</v>
      </c>
    </row>
    <row r="562" spans="1:26" x14ac:dyDescent="0.25">
      <c r="A562" s="4">
        <v>1013</v>
      </c>
      <c r="B562" t="s">
        <v>26</v>
      </c>
      <c r="C562">
        <v>2</v>
      </c>
      <c r="D562">
        <v>1</v>
      </c>
      <c r="E562">
        <v>8</v>
      </c>
      <c r="F562" t="s">
        <v>14</v>
      </c>
      <c r="G562">
        <v>6.2</v>
      </c>
      <c r="I562">
        <v>5</v>
      </c>
      <c r="J562" t="s">
        <v>15</v>
      </c>
      <c r="K562" t="str">
        <f t="shared" si="30"/>
        <v/>
      </c>
      <c r="L562" t="s">
        <v>16</v>
      </c>
      <c r="M562">
        <v>7</v>
      </c>
      <c r="T562">
        <f t="shared" si="31"/>
        <v>20</v>
      </c>
      <c r="U562" t="s">
        <v>2283</v>
      </c>
      <c r="V562" s="4" t="s">
        <v>2032</v>
      </c>
      <c r="W562">
        <v>561</v>
      </c>
      <c r="Y562">
        <f t="shared" si="32"/>
        <v>0</v>
      </c>
      <c r="Z562">
        <f t="shared" si="33"/>
        <v>0</v>
      </c>
    </row>
    <row r="563" spans="1:26" x14ac:dyDescent="0.25">
      <c r="A563" s="4">
        <v>1013</v>
      </c>
      <c r="B563" t="s">
        <v>26</v>
      </c>
      <c r="C563">
        <v>2</v>
      </c>
      <c r="D563">
        <v>1</v>
      </c>
      <c r="E563">
        <v>7</v>
      </c>
      <c r="F563" t="s">
        <v>14</v>
      </c>
      <c r="G563">
        <v>6.2</v>
      </c>
      <c r="I563">
        <v>5</v>
      </c>
      <c r="J563" t="s">
        <v>15</v>
      </c>
      <c r="K563" t="str">
        <f t="shared" si="30"/>
        <v/>
      </c>
      <c r="L563" t="s">
        <v>16</v>
      </c>
      <c r="M563">
        <v>7</v>
      </c>
      <c r="T563">
        <f t="shared" si="31"/>
        <v>20</v>
      </c>
      <c r="U563" t="s">
        <v>2286</v>
      </c>
      <c r="V563" s="4" t="s">
        <v>2032</v>
      </c>
      <c r="W563">
        <v>562</v>
      </c>
      <c r="Y563">
        <f t="shared" si="32"/>
        <v>0</v>
      </c>
      <c r="Z563">
        <f t="shared" si="33"/>
        <v>0</v>
      </c>
    </row>
    <row r="564" spans="1:26" x14ac:dyDescent="0.25">
      <c r="A564" s="4">
        <v>1013</v>
      </c>
      <c r="B564" t="s">
        <v>26</v>
      </c>
      <c r="C564">
        <v>2</v>
      </c>
      <c r="D564">
        <v>1</v>
      </c>
      <c r="E564">
        <v>6</v>
      </c>
      <c r="F564" t="s">
        <v>14</v>
      </c>
      <c r="G564">
        <v>6.2</v>
      </c>
      <c r="I564">
        <v>5</v>
      </c>
      <c r="J564" t="s">
        <v>15</v>
      </c>
      <c r="K564" t="str">
        <f t="shared" si="30"/>
        <v/>
      </c>
      <c r="L564" t="s">
        <v>16</v>
      </c>
      <c r="M564">
        <v>7</v>
      </c>
      <c r="T564">
        <f t="shared" si="31"/>
        <v>20</v>
      </c>
      <c r="U564" t="s">
        <v>2289</v>
      </c>
      <c r="V564" s="4" t="s">
        <v>2030</v>
      </c>
      <c r="W564">
        <v>563</v>
      </c>
      <c r="Y564">
        <f t="shared" si="32"/>
        <v>0</v>
      </c>
      <c r="Z564">
        <f t="shared" si="33"/>
        <v>0</v>
      </c>
    </row>
    <row r="565" spans="1:26" x14ac:dyDescent="0.25">
      <c r="A565" s="4">
        <v>4008</v>
      </c>
      <c r="B565" t="s">
        <v>28</v>
      </c>
      <c r="C565">
        <v>1</v>
      </c>
      <c r="D565">
        <v>1</v>
      </c>
      <c r="E565">
        <v>6</v>
      </c>
      <c r="F565" t="s">
        <v>14</v>
      </c>
      <c r="G565">
        <v>11</v>
      </c>
      <c r="I565">
        <v>4</v>
      </c>
      <c r="J565" t="s">
        <v>30</v>
      </c>
      <c r="K565" t="str">
        <f t="shared" si="30"/>
        <v/>
      </c>
      <c r="L565" t="s">
        <v>16</v>
      </c>
      <c r="M565">
        <v>2</v>
      </c>
      <c r="T565">
        <f t="shared" si="31"/>
        <v>20</v>
      </c>
      <c r="U565" t="s">
        <v>2295</v>
      </c>
      <c r="V565" s="4" t="s">
        <v>2030</v>
      </c>
      <c r="W565">
        <v>564</v>
      </c>
      <c r="Y565">
        <f t="shared" si="32"/>
        <v>0</v>
      </c>
      <c r="Z565">
        <f t="shared" si="33"/>
        <v>0</v>
      </c>
    </row>
    <row r="566" spans="1:26" x14ac:dyDescent="0.25">
      <c r="A566" s="4">
        <v>4008</v>
      </c>
      <c r="B566" t="s">
        <v>28</v>
      </c>
      <c r="C566">
        <v>1</v>
      </c>
      <c r="D566">
        <v>1</v>
      </c>
      <c r="E566">
        <v>8</v>
      </c>
      <c r="F566" t="s">
        <v>14</v>
      </c>
      <c r="G566">
        <v>11</v>
      </c>
      <c r="I566">
        <v>4</v>
      </c>
      <c r="J566" t="s">
        <v>30</v>
      </c>
      <c r="K566" t="str">
        <f t="shared" si="30"/>
        <v/>
      </c>
      <c r="L566" t="s">
        <v>16</v>
      </c>
      <c r="M566">
        <v>2</v>
      </c>
      <c r="T566">
        <f t="shared" si="31"/>
        <v>20</v>
      </c>
      <c r="U566" t="s">
        <v>2299</v>
      </c>
      <c r="V566" s="4" t="s">
        <v>2030</v>
      </c>
      <c r="W566">
        <v>565</v>
      </c>
      <c r="Y566">
        <f t="shared" si="32"/>
        <v>0</v>
      </c>
      <c r="Z566">
        <f t="shared" si="33"/>
        <v>0</v>
      </c>
    </row>
    <row r="567" spans="1:26" x14ac:dyDescent="0.25">
      <c r="A567" s="4">
        <v>4008</v>
      </c>
      <c r="B567" t="s">
        <v>28</v>
      </c>
      <c r="C567">
        <v>1</v>
      </c>
      <c r="D567">
        <v>1</v>
      </c>
      <c r="E567">
        <v>10</v>
      </c>
      <c r="F567" t="s">
        <v>14</v>
      </c>
      <c r="G567">
        <v>11</v>
      </c>
      <c r="I567">
        <v>4</v>
      </c>
      <c r="J567" t="s">
        <v>30</v>
      </c>
      <c r="K567" t="str">
        <f t="shared" si="30"/>
        <v/>
      </c>
      <c r="L567" t="s">
        <v>16</v>
      </c>
      <c r="M567">
        <v>2</v>
      </c>
      <c r="T567">
        <f t="shared" si="31"/>
        <v>20</v>
      </c>
      <c r="U567" t="s">
        <v>2302</v>
      </c>
      <c r="V567" s="4" t="s">
        <v>2030</v>
      </c>
      <c r="W567">
        <v>566</v>
      </c>
      <c r="Y567">
        <f t="shared" si="32"/>
        <v>0</v>
      </c>
      <c r="Z567">
        <f t="shared" si="33"/>
        <v>0</v>
      </c>
    </row>
    <row r="568" spans="1:26" x14ac:dyDescent="0.25">
      <c r="A568" s="4">
        <v>4008</v>
      </c>
      <c r="B568" t="s">
        <v>28</v>
      </c>
      <c r="C568">
        <v>1</v>
      </c>
      <c r="D568">
        <v>1</v>
      </c>
      <c r="E568">
        <v>12</v>
      </c>
      <c r="F568" t="s">
        <v>14</v>
      </c>
      <c r="G568">
        <v>11</v>
      </c>
      <c r="I568">
        <v>4</v>
      </c>
      <c r="J568" t="s">
        <v>30</v>
      </c>
      <c r="K568" t="str">
        <f t="shared" si="30"/>
        <v/>
      </c>
      <c r="L568" t="s">
        <v>16</v>
      </c>
      <c r="M568">
        <v>2</v>
      </c>
      <c r="T568">
        <f t="shared" si="31"/>
        <v>20</v>
      </c>
      <c r="U568" t="s">
        <v>2305</v>
      </c>
      <c r="V568" s="4" t="s">
        <v>2306</v>
      </c>
      <c r="W568">
        <v>567</v>
      </c>
      <c r="Y568">
        <f t="shared" si="32"/>
        <v>0</v>
      </c>
      <c r="Z568">
        <f t="shared" si="33"/>
        <v>0</v>
      </c>
    </row>
    <row r="569" spans="1:26" x14ac:dyDescent="0.25">
      <c r="A569" s="4">
        <v>4008</v>
      </c>
      <c r="B569" t="s">
        <v>28</v>
      </c>
      <c r="C569">
        <v>1</v>
      </c>
      <c r="D569">
        <v>1</v>
      </c>
      <c r="E569">
        <v>6</v>
      </c>
      <c r="F569" t="s">
        <v>14</v>
      </c>
      <c r="G569">
        <v>11</v>
      </c>
      <c r="I569">
        <v>4</v>
      </c>
      <c r="J569" t="s">
        <v>31</v>
      </c>
      <c r="K569" t="str">
        <f t="shared" si="30"/>
        <v/>
      </c>
      <c r="L569" t="s">
        <v>16</v>
      </c>
      <c r="M569">
        <v>1</v>
      </c>
      <c r="T569">
        <f t="shared" si="31"/>
        <v>20</v>
      </c>
      <c r="U569" t="s">
        <v>2310</v>
      </c>
      <c r="V569" s="4" t="s">
        <v>2306</v>
      </c>
      <c r="W569">
        <v>568</v>
      </c>
      <c r="Y569">
        <f t="shared" si="32"/>
        <v>0</v>
      </c>
      <c r="Z569">
        <f t="shared" si="33"/>
        <v>0</v>
      </c>
    </row>
    <row r="570" spans="1:26" x14ac:dyDescent="0.25">
      <c r="A570" s="4">
        <v>4008</v>
      </c>
      <c r="B570" t="s">
        <v>28</v>
      </c>
      <c r="C570">
        <v>1</v>
      </c>
      <c r="D570">
        <v>1</v>
      </c>
      <c r="E570">
        <v>8</v>
      </c>
      <c r="F570" t="s">
        <v>14</v>
      </c>
      <c r="G570">
        <v>11</v>
      </c>
      <c r="I570">
        <v>4</v>
      </c>
      <c r="J570" t="s">
        <v>31</v>
      </c>
      <c r="K570" t="str">
        <f t="shared" si="30"/>
        <v/>
      </c>
      <c r="L570" t="s">
        <v>16</v>
      </c>
      <c r="M570">
        <v>1</v>
      </c>
      <c r="T570">
        <f t="shared" si="31"/>
        <v>20</v>
      </c>
      <c r="U570" t="s">
        <v>2312</v>
      </c>
      <c r="V570" s="4" t="s">
        <v>2306</v>
      </c>
      <c r="W570">
        <v>569</v>
      </c>
      <c r="Y570">
        <f t="shared" si="32"/>
        <v>0</v>
      </c>
      <c r="Z570">
        <f t="shared" si="33"/>
        <v>0</v>
      </c>
    </row>
    <row r="571" spans="1:26" x14ac:dyDescent="0.25">
      <c r="A571" s="4">
        <v>4008</v>
      </c>
      <c r="B571" t="s">
        <v>28</v>
      </c>
      <c r="C571">
        <v>1</v>
      </c>
      <c r="D571">
        <v>1</v>
      </c>
      <c r="E571">
        <v>10</v>
      </c>
      <c r="F571" t="s">
        <v>14</v>
      </c>
      <c r="G571">
        <v>11</v>
      </c>
      <c r="I571">
        <v>4</v>
      </c>
      <c r="J571" t="s">
        <v>31</v>
      </c>
      <c r="K571" t="str">
        <f t="shared" si="30"/>
        <v/>
      </c>
      <c r="L571" t="s">
        <v>16</v>
      </c>
      <c r="M571">
        <v>1</v>
      </c>
      <c r="T571">
        <f t="shared" si="31"/>
        <v>20</v>
      </c>
      <c r="U571" t="s">
        <v>2314</v>
      </c>
      <c r="V571" s="4" t="s">
        <v>2306</v>
      </c>
      <c r="W571">
        <v>570</v>
      </c>
      <c r="Y571">
        <f t="shared" si="32"/>
        <v>0</v>
      </c>
      <c r="Z571">
        <f t="shared" si="33"/>
        <v>0</v>
      </c>
    </row>
    <row r="572" spans="1:26" x14ac:dyDescent="0.25">
      <c r="A572" s="4">
        <v>4008</v>
      </c>
      <c r="B572" t="s">
        <v>28</v>
      </c>
      <c r="C572">
        <v>1</v>
      </c>
      <c r="D572">
        <v>1</v>
      </c>
      <c r="E572">
        <v>12</v>
      </c>
      <c r="F572" t="s">
        <v>14</v>
      </c>
      <c r="G572">
        <v>11</v>
      </c>
      <c r="I572">
        <v>4</v>
      </c>
      <c r="J572" t="s">
        <v>31</v>
      </c>
      <c r="K572" t="str">
        <f t="shared" si="30"/>
        <v/>
      </c>
      <c r="L572" t="s">
        <v>16</v>
      </c>
      <c r="M572">
        <v>1</v>
      </c>
      <c r="T572">
        <f t="shared" si="31"/>
        <v>20</v>
      </c>
      <c r="U572" t="s">
        <v>2316</v>
      </c>
      <c r="V572" s="4" t="s">
        <v>1452</v>
      </c>
      <c r="W572">
        <v>571</v>
      </c>
      <c r="Y572">
        <f t="shared" si="32"/>
        <v>0</v>
      </c>
      <c r="Z572">
        <f t="shared" si="33"/>
        <v>0</v>
      </c>
    </row>
    <row r="573" spans="1:26" x14ac:dyDescent="0.25">
      <c r="A573" s="4">
        <v>4008</v>
      </c>
      <c r="B573" t="s">
        <v>28</v>
      </c>
      <c r="C573">
        <v>1</v>
      </c>
      <c r="D573">
        <v>1</v>
      </c>
      <c r="E573">
        <v>6</v>
      </c>
      <c r="F573" t="s">
        <v>14</v>
      </c>
      <c r="G573">
        <v>11</v>
      </c>
      <c r="I573">
        <v>4</v>
      </c>
      <c r="J573" t="s">
        <v>29</v>
      </c>
      <c r="K573" t="str">
        <f t="shared" si="30"/>
        <v/>
      </c>
      <c r="L573" t="s">
        <v>16</v>
      </c>
      <c r="M573">
        <v>1</v>
      </c>
      <c r="T573">
        <f t="shared" si="31"/>
        <v>20</v>
      </c>
      <c r="U573" t="s">
        <v>2320</v>
      </c>
      <c r="V573" s="4" t="s">
        <v>1452</v>
      </c>
      <c r="W573">
        <v>572</v>
      </c>
      <c r="Y573">
        <f t="shared" si="32"/>
        <v>0</v>
      </c>
      <c r="Z573">
        <f t="shared" si="33"/>
        <v>0</v>
      </c>
    </row>
    <row r="574" spans="1:26" x14ac:dyDescent="0.25">
      <c r="A574" s="4">
        <v>4008</v>
      </c>
      <c r="B574" t="s">
        <v>28</v>
      </c>
      <c r="C574">
        <v>1</v>
      </c>
      <c r="D574">
        <v>1</v>
      </c>
      <c r="E574">
        <v>8</v>
      </c>
      <c r="F574" t="s">
        <v>14</v>
      </c>
      <c r="G574">
        <v>11</v>
      </c>
      <c r="I574">
        <v>4</v>
      </c>
      <c r="J574" t="s">
        <v>29</v>
      </c>
      <c r="K574" t="str">
        <f t="shared" si="30"/>
        <v/>
      </c>
      <c r="L574" t="s">
        <v>16</v>
      </c>
      <c r="M574">
        <v>1</v>
      </c>
      <c r="T574">
        <f t="shared" si="31"/>
        <v>20</v>
      </c>
      <c r="U574" t="s">
        <v>2323</v>
      </c>
      <c r="V574" s="4" t="s">
        <v>1452</v>
      </c>
      <c r="W574">
        <v>573</v>
      </c>
      <c r="Y574">
        <f t="shared" si="32"/>
        <v>0</v>
      </c>
      <c r="Z574">
        <f t="shared" si="33"/>
        <v>0</v>
      </c>
    </row>
    <row r="575" spans="1:26" x14ac:dyDescent="0.25">
      <c r="A575" s="4">
        <v>4008</v>
      </c>
      <c r="B575" t="s">
        <v>28</v>
      </c>
      <c r="C575">
        <v>1</v>
      </c>
      <c r="D575">
        <v>1</v>
      </c>
      <c r="E575">
        <v>10</v>
      </c>
      <c r="F575" t="s">
        <v>14</v>
      </c>
      <c r="G575">
        <v>11</v>
      </c>
      <c r="I575">
        <v>4</v>
      </c>
      <c r="J575" t="s">
        <v>29</v>
      </c>
      <c r="K575" t="str">
        <f t="shared" si="30"/>
        <v/>
      </c>
      <c r="L575" t="s">
        <v>16</v>
      </c>
      <c r="M575">
        <v>1</v>
      </c>
      <c r="T575">
        <f t="shared" si="31"/>
        <v>20</v>
      </c>
      <c r="U575" t="s">
        <v>2325</v>
      </c>
      <c r="V575" s="4" t="s">
        <v>1452</v>
      </c>
      <c r="W575">
        <v>574</v>
      </c>
      <c r="Y575">
        <f t="shared" si="32"/>
        <v>0</v>
      </c>
      <c r="Z575">
        <f t="shared" si="33"/>
        <v>0</v>
      </c>
    </row>
    <row r="576" spans="1:26" x14ac:dyDescent="0.25">
      <c r="A576" s="4">
        <v>4008</v>
      </c>
      <c r="B576" t="s">
        <v>28</v>
      </c>
      <c r="C576">
        <v>1</v>
      </c>
      <c r="D576">
        <v>1</v>
      </c>
      <c r="E576">
        <v>12</v>
      </c>
      <c r="F576" t="s">
        <v>14</v>
      </c>
      <c r="G576">
        <v>11</v>
      </c>
      <c r="I576">
        <v>4</v>
      </c>
      <c r="J576" t="s">
        <v>29</v>
      </c>
      <c r="K576" t="str">
        <f t="shared" si="30"/>
        <v/>
      </c>
      <c r="L576" t="s">
        <v>16</v>
      </c>
      <c r="M576">
        <v>1</v>
      </c>
      <c r="T576">
        <f t="shared" si="31"/>
        <v>20</v>
      </c>
      <c r="U576" t="s">
        <v>2327</v>
      </c>
      <c r="V576" s="4" t="s">
        <v>1452</v>
      </c>
      <c r="W576">
        <v>575</v>
      </c>
      <c r="Y576">
        <f t="shared" si="32"/>
        <v>0</v>
      </c>
      <c r="Z576">
        <f t="shared" si="33"/>
        <v>0</v>
      </c>
    </row>
    <row r="577" spans="1:26" x14ac:dyDescent="0.25">
      <c r="A577" s="4">
        <v>4008</v>
      </c>
      <c r="B577" t="s">
        <v>28</v>
      </c>
      <c r="C577">
        <v>1</v>
      </c>
      <c r="D577">
        <v>1</v>
      </c>
      <c r="E577">
        <v>6</v>
      </c>
      <c r="F577" t="s">
        <v>14</v>
      </c>
      <c r="G577">
        <v>11</v>
      </c>
      <c r="I577">
        <v>4</v>
      </c>
      <c r="J577" t="s">
        <v>35</v>
      </c>
      <c r="K577" t="str">
        <f t="shared" si="30"/>
        <v/>
      </c>
      <c r="L577" t="s">
        <v>16</v>
      </c>
      <c r="M577">
        <v>2</v>
      </c>
      <c r="T577">
        <f t="shared" si="31"/>
        <v>20</v>
      </c>
      <c r="U577" t="s">
        <v>2331</v>
      </c>
      <c r="V577" s="4" t="s">
        <v>1452</v>
      </c>
      <c r="W577">
        <v>576</v>
      </c>
      <c r="Y577">
        <f t="shared" si="32"/>
        <v>0</v>
      </c>
      <c r="Z577">
        <f t="shared" si="33"/>
        <v>0</v>
      </c>
    </row>
    <row r="578" spans="1:26" x14ac:dyDescent="0.25">
      <c r="A578" s="4">
        <v>4008</v>
      </c>
      <c r="B578" t="s">
        <v>28</v>
      </c>
      <c r="C578">
        <v>1</v>
      </c>
      <c r="D578">
        <v>1</v>
      </c>
      <c r="E578">
        <v>8</v>
      </c>
      <c r="F578" t="s">
        <v>14</v>
      </c>
      <c r="G578">
        <v>11</v>
      </c>
      <c r="I578">
        <v>4</v>
      </c>
      <c r="J578" t="s">
        <v>35</v>
      </c>
      <c r="K578" t="str">
        <f t="shared" si="30"/>
        <v/>
      </c>
      <c r="L578" t="s">
        <v>16</v>
      </c>
      <c r="M578">
        <v>2</v>
      </c>
      <c r="T578">
        <f t="shared" si="31"/>
        <v>20</v>
      </c>
      <c r="U578" t="s">
        <v>2333</v>
      </c>
      <c r="V578" s="4" t="s">
        <v>1452</v>
      </c>
      <c r="W578">
        <v>577</v>
      </c>
      <c r="Y578">
        <f t="shared" si="32"/>
        <v>0</v>
      </c>
      <c r="Z578">
        <f t="shared" si="33"/>
        <v>0</v>
      </c>
    </row>
    <row r="579" spans="1:26" x14ac:dyDescent="0.25">
      <c r="A579" s="4">
        <v>4008</v>
      </c>
      <c r="B579" t="s">
        <v>28</v>
      </c>
      <c r="C579">
        <v>1</v>
      </c>
      <c r="D579">
        <v>1</v>
      </c>
      <c r="E579">
        <v>10</v>
      </c>
      <c r="F579" t="s">
        <v>14</v>
      </c>
      <c r="G579">
        <v>11</v>
      </c>
      <c r="I579">
        <v>4</v>
      </c>
      <c r="J579" t="s">
        <v>35</v>
      </c>
      <c r="K579" t="str">
        <f t="shared" ref="K579:K642" si="34">_xlfn.XLOOKUP(A579,V:V,U:U,"",0)</f>
        <v/>
      </c>
      <c r="L579" t="s">
        <v>16</v>
      </c>
      <c r="M579">
        <v>2</v>
      </c>
      <c r="T579">
        <f t="shared" ref="T579:T642" si="35">LEN(U579)</f>
        <v>20</v>
      </c>
      <c r="U579" t="s">
        <v>2336</v>
      </c>
      <c r="V579" s="4" t="s">
        <v>1452</v>
      </c>
      <c r="W579">
        <v>578</v>
      </c>
      <c r="Y579">
        <f t="shared" ref="Y579:Y642" si="36">LEN(O579)</f>
        <v>0</v>
      </c>
      <c r="Z579">
        <f t="shared" ref="Z579:Z642" si="37">LEN(P579)</f>
        <v>0</v>
      </c>
    </row>
    <row r="580" spans="1:26" x14ac:dyDescent="0.25">
      <c r="A580" s="4">
        <v>4008</v>
      </c>
      <c r="B580" t="s">
        <v>28</v>
      </c>
      <c r="C580">
        <v>1</v>
      </c>
      <c r="D580">
        <v>1</v>
      </c>
      <c r="E580">
        <v>12</v>
      </c>
      <c r="F580" t="s">
        <v>14</v>
      </c>
      <c r="G580">
        <v>11</v>
      </c>
      <c r="I580">
        <v>4</v>
      </c>
      <c r="J580" t="s">
        <v>35</v>
      </c>
      <c r="K580" t="str">
        <f t="shared" si="34"/>
        <v/>
      </c>
      <c r="L580" t="s">
        <v>16</v>
      </c>
      <c r="M580">
        <v>2</v>
      </c>
      <c r="T580">
        <f t="shared" si="35"/>
        <v>20</v>
      </c>
      <c r="U580" t="s">
        <v>2338</v>
      </c>
      <c r="V580" s="4" t="s">
        <v>2339</v>
      </c>
      <c r="W580">
        <v>579</v>
      </c>
      <c r="Y580">
        <f t="shared" si="36"/>
        <v>0</v>
      </c>
      <c r="Z580">
        <f t="shared" si="37"/>
        <v>0</v>
      </c>
    </row>
    <row r="581" spans="1:26" x14ac:dyDescent="0.25">
      <c r="A581" s="4">
        <v>5041</v>
      </c>
      <c r="B581" t="s">
        <v>25</v>
      </c>
      <c r="C581">
        <v>6</v>
      </c>
      <c r="D581">
        <v>1</v>
      </c>
      <c r="E581">
        <v>8</v>
      </c>
      <c r="F581" t="s">
        <v>14</v>
      </c>
      <c r="G581">
        <v>6.25</v>
      </c>
      <c r="I581">
        <v>4</v>
      </c>
      <c r="J581" t="s">
        <v>15</v>
      </c>
      <c r="K581" t="str">
        <f t="shared" si="34"/>
        <v/>
      </c>
      <c r="L581" t="s">
        <v>16</v>
      </c>
      <c r="M581">
        <v>6</v>
      </c>
      <c r="T581">
        <f t="shared" si="35"/>
        <v>20</v>
      </c>
      <c r="U581" t="s">
        <v>2344</v>
      </c>
      <c r="V581" s="4" t="s">
        <v>2339</v>
      </c>
      <c r="W581">
        <v>580</v>
      </c>
      <c r="Y581">
        <f t="shared" si="36"/>
        <v>0</v>
      </c>
      <c r="Z581">
        <f t="shared" si="37"/>
        <v>0</v>
      </c>
    </row>
    <row r="582" spans="1:26" x14ac:dyDescent="0.25">
      <c r="A582" s="4">
        <v>5041</v>
      </c>
      <c r="B582" t="s">
        <v>25</v>
      </c>
      <c r="C582">
        <v>6</v>
      </c>
      <c r="D582">
        <v>1</v>
      </c>
      <c r="E582">
        <v>7</v>
      </c>
      <c r="F582" t="s">
        <v>14</v>
      </c>
      <c r="G582">
        <v>6.25</v>
      </c>
      <c r="I582">
        <v>4</v>
      </c>
      <c r="J582" t="s">
        <v>15</v>
      </c>
      <c r="K582" t="str">
        <f t="shared" si="34"/>
        <v/>
      </c>
      <c r="L582" t="s">
        <v>16</v>
      </c>
      <c r="M582">
        <v>6</v>
      </c>
      <c r="T582">
        <f t="shared" si="35"/>
        <v>20</v>
      </c>
      <c r="U582" t="s">
        <v>2348</v>
      </c>
      <c r="V582" s="4" t="s">
        <v>2339</v>
      </c>
      <c r="W582">
        <v>581</v>
      </c>
      <c r="Y582">
        <f t="shared" si="36"/>
        <v>0</v>
      </c>
      <c r="Z582">
        <f t="shared" si="37"/>
        <v>0</v>
      </c>
    </row>
    <row r="583" spans="1:26" x14ac:dyDescent="0.25">
      <c r="A583" s="4">
        <v>5041</v>
      </c>
      <c r="B583" t="s">
        <v>25</v>
      </c>
      <c r="C583">
        <v>6</v>
      </c>
      <c r="D583">
        <v>1</v>
      </c>
      <c r="E583">
        <v>6</v>
      </c>
      <c r="F583" t="s">
        <v>14</v>
      </c>
      <c r="G583">
        <v>6.25</v>
      </c>
      <c r="I583">
        <v>4</v>
      </c>
      <c r="J583" t="s">
        <v>15</v>
      </c>
      <c r="K583" t="str">
        <f t="shared" si="34"/>
        <v/>
      </c>
      <c r="L583" t="s">
        <v>16</v>
      </c>
      <c r="M583">
        <v>6</v>
      </c>
      <c r="T583">
        <f t="shared" si="35"/>
        <v>20</v>
      </c>
      <c r="U583" t="s">
        <v>2352</v>
      </c>
      <c r="V583" s="4" t="s">
        <v>2339</v>
      </c>
      <c r="W583">
        <v>582</v>
      </c>
      <c r="Y583">
        <f t="shared" si="36"/>
        <v>0</v>
      </c>
      <c r="Z583">
        <f t="shared" si="37"/>
        <v>0</v>
      </c>
    </row>
    <row r="584" spans="1:26" x14ac:dyDescent="0.25">
      <c r="A584" s="4">
        <v>5041</v>
      </c>
      <c r="B584" t="s">
        <v>25</v>
      </c>
      <c r="C584">
        <v>6</v>
      </c>
      <c r="D584">
        <v>1</v>
      </c>
      <c r="E584">
        <v>5</v>
      </c>
      <c r="F584" t="s">
        <v>14</v>
      </c>
      <c r="G584">
        <v>6.25</v>
      </c>
      <c r="I584">
        <v>4</v>
      </c>
      <c r="J584" t="s">
        <v>15</v>
      </c>
      <c r="K584" t="str">
        <f t="shared" si="34"/>
        <v/>
      </c>
      <c r="L584" t="s">
        <v>16</v>
      </c>
      <c r="M584">
        <v>6</v>
      </c>
      <c r="T584">
        <f t="shared" si="35"/>
        <v>20</v>
      </c>
      <c r="U584" t="s">
        <v>2355</v>
      </c>
      <c r="V584" s="4" t="s">
        <v>2339</v>
      </c>
      <c r="W584">
        <v>583</v>
      </c>
      <c r="Y584">
        <f t="shared" si="36"/>
        <v>0</v>
      </c>
      <c r="Z584">
        <f t="shared" si="37"/>
        <v>0</v>
      </c>
    </row>
    <row r="585" spans="1:26" x14ac:dyDescent="0.25">
      <c r="A585" s="4">
        <v>5041</v>
      </c>
      <c r="B585" t="s">
        <v>25</v>
      </c>
      <c r="C585">
        <v>6</v>
      </c>
      <c r="D585">
        <v>1</v>
      </c>
      <c r="E585">
        <v>8</v>
      </c>
      <c r="F585" t="s">
        <v>14</v>
      </c>
      <c r="G585">
        <v>6.25</v>
      </c>
      <c r="I585">
        <v>4</v>
      </c>
      <c r="J585" t="s">
        <v>18</v>
      </c>
      <c r="K585" t="str">
        <f t="shared" si="34"/>
        <v/>
      </c>
      <c r="L585" t="s">
        <v>16</v>
      </c>
      <c r="M585">
        <v>7</v>
      </c>
      <c r="T585">
        <f t="shared" si="35"/>
        <v>20</v>
      </c>
      <c r="U585" t="s">
        <v>2361</v>
      </c>
      <c r="V585" s="4" t="s">
        <v>2339</v>
      </c>
      <c r="W585">
        <v>584</v>
      </c>
      <c r="Y585">
        <f t="shared" si="36"/>
        <v>0</v>
      </c>
      <c r="Z585">
        <f t="shared" si="37"/>
        <v>0</v>
      </c>
    </row>
    <row r="586" spans="1:26" x14ac:dyDescent="0.25">
      <c r="A586" s="4">
        <v>5041</v>
      </c>
      <c r="B586" t="s">
        <v>25</v>
      </c>
      <c r="C586">
        <v>6</v>
      </c>
      <c r="D586">
        <v>1</v>
      </c>
      <c r="E586">
        <v>7</v>
      </c>
      <c r="F586" t="s">
        <v>14</v>
      </c>
      <c r="G586">
        <v>6.25</v>
      </c>
      <c r="I586">
        <v>4</v>
      </c>
      <c r="J586" t="s">
        <v>18</v>
      </c>
      <c r="K586" t="str">
        <f t="shared" si="34"/>
        <v/>
      </c>
      <c r="L586" t="s">
        <v>16</v>
      </c>
      <c r="M586">
        <v>7</v>
      </c>
      <c r="T586">
        <f t="shared" si="35"/>
        <v>20</v>
      </c>
      <c r="U586" t="s">
        <v>2364</v>
      </c>
      <c r="V586" s="4" t="s">
        <v>2365</v>
      </c>
      <c r="W586">
        <v>585</v>
      </c>
      <c r="Y586">
        <f t="shared" si="36"/>
        <v>0</v>
      </c>
      <c r="Z586">
        <f t="shared" si="37"/>
        <v>0</v>
      </c>
    </row>
    <row r="587" spans="1:26" x14ac:dyDescent="0.25">
      <c r="A587" s="4">
        <v>5041</v>
      </c>
      <c r="B587" t="s">
        <v>25</v>
      </c>
      <c r="C587">
        <v>6</v>
      </c>
      <c r="D587">
        <v>1</v>
      </c>
      <c r="E587">
        <v>6</v>
      </c>
      <c r="F587" t="s">
        <v>14</v>
      </c>
      <c r="G587">
        <v>6.25</v>
      </c>
      <c r="I587">
        <v>4</v>
      </c>
      <c r="J587" t="s">
        <v>18</v>
      </c>
      <c r="K587" t="str">
        <f t="shared" si="34"/>
        <v/>
      </c>
      <c r="L587" t="s">
        <v>16</v>
      </c>
      <c r="M587">
        <v>7</v>
      </c>
      <c r="T587">
        <f t="shared" si="35"/>
        <v>20</v>
      </c>
      <c r="U587" t="s">
        <v>2372</v>
      </c>
      <c r="V587" s="4" t="s">
        <v>2365</v>
      </c>
      <c r="W587">
        <v>586</v>
      </c>
      <c r="Y587">
        <f t="shared" si="36"/>
        <v>0</v>
      </c>
      <c r="Z587">
        <f t="shared" si="37"/>
        <v>0</v>
      </c>
    </row>
    <row r="588" spans="1:26" x14ac:dyDescent="0.25">
      <c r="A588" s="4">
        <v>5041</v>
      </c>
      <c r="B588" t="s">
        <v>25</v>
      </c>
      <c r="C588">
        <v>6</v>
      </c>
      <c r="D588">
        <v>1</v>
      </c>
      <c r="E588">
        <v>5</v>
      </c>
      <c r="F588" t="s">
        <v>14</v>
      </c>
      <c r="G588">
        <v>6.25</v>
      </c>
      <c r="I588">
        <v>4</v>
      </c>
      <c r="J588" t="s">
        <v>18</v>
      </c>
      <c r="K588" t="str">
        <f t="shared" si="34"/>
        <v/>
      </c>
      <c r="L588" t="s">
        <v>16</v>
      </c>
      <c r="M588">
        <v>7</v>
      </c>
      <c r="T588">
        <f t="shared" si="35"/>
        <v>20</v>
      </c>
      <c r="U588" t="s">
        <v>2374</v>
      </c>
      <c r="V588" s="4" t="s">
        <v>2365</v>
      </c>
      <c r="W588">
        <v>587</v>
      </c>
      <c r="Y588">
        <f t="shared" si="36"/>
        <v>0</v>
      </c>
      <c r="Z588">
        <f t="shared" si="37"/>
        <v>0</v>
      </c>
    </row>
    <row r="589" spans="1:26" x14ac:dyDescent="0.25">
      <c r="A589" s="4">
        <v>5041</v>
      </c>
      <c r="B589" t="s">
        <v>25</v>
      </c>
      <c r="C589">
        <v>6</v>
      </c>
      <c r="D589">
        <v>1</v>
      </c>
      <c r="E589">
        <v>12</v>
      </c>
      <c r="F589" t="s">
        <v>14</v>
      </c>
      <c r="G589">
        <v>7</v>
      </c>
      <c r="I589">
        <v>4</v>
      </c>
      <c r="J589" t="s">
        <v>15</v>
      </c>
      <c r="K589" t="str">
        <f t="shared" si="34"/>
        <v/>
      </c>
      <c r="L589" t="s">
        <v>16</v>
      </c>
      <c r="M589">
        <v>7</v>
      </c>
      <c r="T589">
        <f t="shared" si="35"/>
        <v>20</v>
      </c>
      <c r="U589" t="s">
        <v>2376</v>
      </c>
      <c r="V589" s="4" t="s">
        <v>2377</v>
      </c>
      <c r="W589">
        <v>588</v>
      </c>
      <c r="Y589">
        <f t="shared" si="36"/>
        <v>0</v>
      </c>
      <c r="Z589">
        <f t="shared" si="37"/>
        <v>0</v>
      </c>
    </row>
    <row r="590" spans="1:26" x14ac:dyDescent="0.25">
      <c r="A590" s="4">
        <v>5041</v>
      </c>
      <c r="B590" t="s">
        <v>25</v>
      </c>
      <c r="C590">
        <v>6</v>
      </c>
      <c r="D590">
        <v>1</v>
      </c>
      <c r="E590">
        <v>11</v>
      </c>
      <c r="F590" t="s">
        <v>14</v>
      </c>
      <c r="G590">
        <v>7</v>
      </c>
      <c r="I590">
        <v>4</v>
      </c>
      <c r="J590" t="s">
        <v>15</v>
      </c>
      <c r="K590" t="str">
        <f t="shared" si="34"/>
        <v/>
      </c>
      <c r="L590" t="s">
        <v>16</v>
      </c>
      <c r="M590">
        <v>7</v>
      </c>
      <c r="T590">
        <f t="shared" si="35"/>
        <v>20</v>
      </c>
      <c r="U590" t="s">
        <v>2383</v>
      </c>
      <c r="V590" s="4" t="s">
        <v>2377</v>
      </c>
      <c r="W590">
        <v>589</v>
      </c>
      <c r="Y590">
        <f t="shared" si="36"/>
        <v>0</v>
      </c>
      <c r="Z590">
        <f t="shared" si="37"/>
        <v>0</v>
      </c>
    </row>
    <row r="591" spans="1:26" x14ac:dyDescent="0.25">
      <c r="A591" s="4">
        <v>5041</v>
      </c>
      <c r="B591" t="s">
        <v>25</v>
      </c>
      <c r="C591">
        <v>6</v>
      </c>
      <c r="D591">
        <v>1</v>
      </c>
      <c r="E591">
        <v>10</v>
      </c>
      <c r="F591" t="s">
        <v>14</v>
      </c>
      <c r="G591">
        <v>7</v>
      </c>
      <c r="I591">
        <v>4</v>
      </c>
      <c r="J591" t="s">
        <v>15</v>
      </c>
      <c r="K591" t="str">
        <f t="shared" si="34"/>
        <v/>
      </c>
      <c r="L591" t="s">
        <v>16</v>
      </c>
      <c r="M591">
        <v>7</v>
      </c>
      <c r="T591">
        <f t="shared" si="35"/>
        <v>20</v>
      </c>
      <c r="U591" t="s">
        <v>2385</v>
      </c>
      <c r="V591" s="4" t="s">
        <v>2377</v>
      </c>
      <c r="W591">
        <v>590</v>
      </c>
      <c r="Y591">
        <f t="shared" si="36"/>
        <v>0</v>
      </c>
      <c r="Z591">
        <f t="shared" si="37"/>
        <v>0</v>
      </c>
    </row>
    <row r="592" spans="1:26" x14ac:dyDescent="0.25">
      <c r="A592" s="4">
        <v>5041</v>
      </c>
      <c r="B592" t="s">
        <v>25</v>
      </c>
      <c r="C592">
        <v>6</v>
      </c>
      <c r="D592">
        <v>1</v>
      </c>
      <c r="E592">
        <v>9</v>
      </c>
      <c r="F592" t="s">
        <v>14</v>
      </c>
      <c r="G592">
        <v>7</v>
      </c>
      <c r="I592">
        <v>4</v>
      </c>
      <c r="J592" t="s">
        <v>15</v>
      </c>
      <c r="K592" t="str">
        <f t="shared" si="34"/>
        <v/>
      </c>
      <c r="L592" t="s">
        <v>16</v>
      </c>
      <c r="M592">
        <v>7</v>
      </c>
      <c r="T592">
        <f t="shared" si="35"/>
        <v>20</v>
      </c>
      <c r="U592" t="s">
        <v>2387</v>
      </c>
      <c r="V592" s="4" t="s">
        <v>2388</v>
      </c>
      <c r="W592">
        <v>591</v>
      </c>
      <c r="Y592">
        <f t="shared" si="36"/>
        <v>0</v>
      </c>
      <c r="Z592">
        <f t="shared" si="37"/>
        <v>0</v>
      </c>
    </row>
    <row r="593" spans="1:26" x14ac:dyDescent="0.25">
      <c r="A593" s="4">
        <v>5041</v>
      </c>
      <c r="B593" t="s">
        <v>25</v>
      </c>
      <c r="C593">
        <v>6</v>
      </c>
      <c r="D593">
        <v>1</v>
      </c>
      <c r="E593">
        <v>12</v>
      </c>
      <c r="F593" t="s">
        <v>14</v>
      </c>
      <c r="G593">
        <v>7</v>
      </c>
      <c r="I593">
        <v>4</v>
      </c>
      <c r="J593" t="s">
        <v>18</v>
      </c>
      <c r="K593" t="str">
        <f t="shared" si="34"/>
        <v/>
      </c>
      <c r="L593" t="s">
        <v>16</v>
      </c>
      <c r="M593">
        <v>3</v>
      </c>
      <c r="T593">
        <f t="shared" si="35"/>
        <v>20</v>
      </c>
      <c r="U593" t="s">
        <v>2395</v>
      </c>
      <c r="V593" s="4" t="s">
        <v>2396</v>
      </c>
      <c r="W593">
        <v>592</v>
      </c>
      <c r="Y593">
        <f t="shared" si="36"/>
        <v>0</v>
      </c>
      <c r="Z593">
        <f t="shared" si="37"/>
        <v>0</v>
      </c>
    </row>
    <row r="594" spans="1:26" x14ac:dyDescent="0.25">
      <c r="A594" s="4">
        <v>5041</v>
      </c>
      <c r="B594" t="s">
        <v>25</v>
      </c>
      <c r="C594">
        <v>6</v>
      </c>
      <c r="D594">
        <v>1</v>
      </c>
      <c r="E594">
        <v>11</v>
      </c>
      <c r="F594" t="s">
        <v>14</v>
      </c>
      <c r="G594">
        <v>7</v>
      </c>
      <c r="I594">
        <v>4</v>
      </c>
      <c r="J594" t="s">
        <v>18</v>
      </c>
      <c r="K594" t="str">
        <f t="shared" si="34"/>
        <v/>
      </c>
      <c r="L594" t="s">
        <v>16</v>
      </c>
      <c r="M594">
        <v>3</v>
      </c>
      <c r="T594">
        <f t="shared" si="35"/>
        <v>20</v>
      </c>
      <c r="U594" t="s">
        <v>2402</v>
      </c>
      <c r="V594" s="4" t="s">
        <v>2396</v>
      </c>
      <c r="W594">
        <v>593</v>
      </c>
      <c r="Y594">
        <f t="shared" si="36"/>
        <v>0</v>
      </c>
      <c r="Z594">
        <f t="shared" si="37"/>
        <v>0</v>
      </c>
    </row>
    <row r="595" spans="1:26" x14ac:dyDescent="0.25">
      <c r="A595" s="4">
        <v>5041</v>
      </c>
      <c r="B595" t="s">
        <v>25</v>
      </c>
      <c r="C595">
        <v>6</v>
      </c>
      <c r="D595">
        <v>1</v>
      </c>
      <c r="E595">
        <v>10</v>
      </c>
      <c r="F595" t="s">
        <v>14</v>
      </c>
      <c r="G595">
        <v>7</v>
      </c>
      <c r="I595">
        <v>4</v>
      </c>
      <c r="J595" t="s">
        <v>18</v>
      </c>
      <c r="K595" t="str">
        <f t="shared" si="34"/>
        <v/>
      </c>
      <c r="L595" t="s">
        <v>16</v>
      </c>
      <c r="M595">
        <v>3</v>
      </c>
      <c r="T595">
        <f t="shared" si="35"/>
        <v>20</v>
      </c>
      <c r="U595" t="s">
        <v>2405</v>
      </c>
      <c r="V595" s="4" t="s">
        <v>2396</v>
      </c>
      <c r="W595">
        <v>594</v>
      </c>
      <c r="Y595">
        <f t="shared" si="36"/>
        <v>0</v>
      </c>
      <c r="Z595">
        <f t="shared" si="37"/>
        <v>0</v>
      </c>
    </row>
    <row r="596" spans="1:26" x14ac:dyDescent="0.25">
      <c r="A596" s="4">
        <v>5041</v>
      </c>
      <c r="B596" t="s">
        <v>25</v>
      </c>
      <c r="C596">
        <v>6</v>
      </c>
      <c r="D596">
        <v>1</v>
      </c>
      <c r="E596">
        <v>9</v>
      </c>
      <c r="F596" t="s">
        <v>14</v>
      </c>
      <c r="G596">
        <v>7</v>
      </c>
      <c r="I596">
        <v>4</v>
      </c>
      <c r="J596" t="s">
        <v>18</v>
      </c>
      <c r="K596" t="str">
        <f t="shared" si="34"/>
        <v/>
      </c>
      <c r="L596" t="s">
        <v>16</v>
      </c>
      <c r="M596">
        <v>3</v>
      </c>
      <c r="T596">
        <f t="shared" si="35"/>
        <v>20</v>
      </c>
      <c r="U596" t="s">
        <v>2409</v>
      </c>
      <c r="V596" s="4" t="s">
        <v>2339</v>
      </c>
      <c r="W596">
        <v>595</v>
      </c>
      <c r="Y596">
        <f t="shared" si="36"/>
        <v>0</v>
      </c>
      <c r="Z596">
        <f t="shared" si="37"/>
        <v>0</v>
      </c>
    </row>
    <row r="597" spans="1:26" x14ac:dyDescent="0.25">
      <c r="A597" s="4">
        <v>5041</v>
      </c>
      <c r="B597" t="s">
        <v>25</v>
      </c>
      <c r="C597">
        <v>6</v>
      </c>
      <c r="D597">
        <v>1</v>
      </c>
      <c r="E597">
        <v>16</v>
      </c>
      <c r="F597" t="s">
        <v>14</v>
      </c>
      <c r="G597">
        <v>7.5</v>
      </c>
      <c r="I597">
        <v>4</v>
      </c>
      <c r="J597" t="s">
        <v>15</v>
      </c>
      <c r="K597" t="str">
        <f t="shared" si="34"/>
        <v/>
      </c>
      <c r="L597" t="s">
        <v>16</v>
      </c>
      <c r="M597">
        <v>8</v>
      </c>
      <c r="T597">
        <f t="shared" si="35"/>
        <v>20</v>
      </c>
      <c r="U597" t="s">
        <v>2416</v>
      </c>
      <c r="V597" s="4" t="s">
        <v>2339</v>
      </c>
      <c r="W597">
        <v>596</v>
      </c>
      <c r="Y597">
        <f t="shared" si="36"/>
        <v>0</v>
      </c>
      <c r="Z597">
        <f t="shared" si="37"/>
        <v>0</v>
      </c>
    </row>
    <row r="598" spans="1:26" x14ac:dyDescent="0.25">
      <c r="A598" s="4">
        <v>5041</v>
      </c>
      <c r="B598" t="s">
        <v>25</v>
      </c>
      <c r="C598">
        <v>6</v>
      </c>
      <c r="D598">
        <v>1</v>
      </c>
      <c r="E598">
        <v>15</v>
      </c>
      <c r="F598" t="s">
        <v>14</v>
      </c>
      <c r="G598">
        <v>7.5</v>
      </c>
      <c r="I598">
        <v>4</v>
      </c>
      <c r="J598" t="s">
        <v>15</v>
      </c>
      <c r="K598" t="str">
        <f t="shared" si="34"/>
        <v/>
      </c>
      <c r="L598" t="s">
        <v>16</v>
      </c>
      <c r="M598">
        <v>8</v>
      </c>
      <c r="T598">
        <f t="shared" si="35"/>
        <v>20</v>
      </c>
      <c r="U598" t="s">
        <v>2418</v>
      </c>
      <c r="V598" s="4" t="s">
        <v>727</v>
      </c>
      <c r="W598">
        <v>597</v>
      </c>
      <c r="Y598">
        <f t="shared" si="36"/>
        <v>0</v>
      </c>
      <c r="Z598">
        <f t="shared" si="37"/>
        <v>0</v>
      </c>
    </row>
    <row r="599" spans="1:26" x14ac:dyDescent="0.25">
      <c r="A599" s="4">
        <v>5041</v>
      </c>
      <c r="B599" t="s">
        <v>25</v>
      </c>
      <c r="C599">
        <v>6</v>
      </c>
      <c r="D599">
        <v>1</v>
      </c>
      <c r="E599">
        <v>14</v>
      </c>
      <c r="F599" t="s">
        <v>14</v>
      </c>
      <c r="G599">
        <v>7.5</v>
      </c>
      <c r="I599">
        <v>4</v>
      </c>
      <c r="J599" t="s">
        <v>15</v>
      </c>
      <c r="K599" t="str">
        <f t="shared" si="34"/>
        <v/>
      </c>
      <c r="L599" t="s">
        <v>16</v>
      </c>
      <c r="M599">
        <v>8</v>
      </c>
      <c r="T599">
        <f t="shared" si="35"/>
        <v>20</v>
      </c>
      <c r="U599" t="s">
        <v>2421</v>
      </c>
      <c r="V599" s="4" t="s">
        <v>727</v>
      </c>
      <c r="W599">
        <v>598</v>
      </c>
      <c r="Y599">
        <f t="shared" si="36"/>
        <v>0</v>
      </c>
      <c r="Z599">
        <f t="shared" si="37"/>
        <v>0</v>
      </c>
    </row>
    <row r="600" spans="1:26" x14ac:dyDescent="0.25">
      <c r="A600" s="4">
        <v>5041</v>
      </c>
      <c r="B600" t="s">
        <v>25</v>
      </c>
      <c r="C600">
        <v>6</v>
      </c>
      <c r="D600">
        <v>1</v>
      </c>
      <c r="E600">
        <v>13</v>
      </c>
      <c r="F600" t="s">
        <v>14</v>
      </c>
      <c r="G600">
        <v>7.5</v>
      </c>
      <c r="I600">
        <v>4</v>
      </c>
      <c r="J600" t="s">
        <v>15</v>
      </c>
      <c r="K600" t="str">
        <f t="shared" si="34"/>
        <v/>
      </c>
      <c r="L600" t="s">
        <v>16</v>
      </c>
      <c r="M600">
        <v>8</v>
      </c>
      <c r="T600">
        <f t="shared" si="35"/>
        <v>20</v>
      </c>
      <c r="U600" t="s">
        <v>2426</v>
      </c>
      <c r="V600" s="4" t="s">
        <v>727</v>
      </c>
      <c r="W600">
        <v>599</v>
      </c>
      <c r="Y600">
        <f t="shared" si="36"/>
        <v>0</v>
      </c>
      <c r="Z600">
        <f t="shared" si="37"/>
        <v>0</v>
      </c>
    </row>
    <row r="601" spans="1:26" x14ac:dyDescent="0.25">
      <c r="A601" s="4">
        <v>5041</v>
      </c>
      <c r="B601" t="s">
        <v>25</v>
      </c>
      <c r="C601">
        <v>6</v>
      </c>
      <c r="D601">
        <v>1</v>
      </c>
      <c r="E601">
        <v>16</v>
      </c>
      <c r="F601" t="s">
        <v>14</v>
      </c>
      <c r="G601">
        <v>7.5</v>
      </c>
      <c r="I601">
        <v>4</v>
      </c>
      <c r="J601" t="s">
        <v>18</v>
      </c>
      <c r="K601" t="str">
        <f t="shared" si="34"/>
        <v/>
      </c>
      <c r="L601" t="s">
        <v>16</v>
      </c>
      <c r="M601">
        <v>5</v>
      </c>
      <c r="T601">
        <f t="shared" si="35"/>
        <v>20</v>
      </c>
      <c r="U601" t="s">
        <v>2430</v>
      </c>
      <c r="V601" s="4" t="s">
        <v>727</v>
      </c>
      <c r="W601">
        <v>600</v>
      </c>
      <c r="Y601">
        <f t="shared" si="36"/>
        <v>0</v>
      </c>
      <c r="Z601">
        <f t="shared" si="37"/>
        <v>0</v>
      </c>
    </row>
    <row r="602" spans="1:26" x14ac:dyDescent="0.25">
      <c r="A602" s="4">
        <v>5041</v>
      </c>
      <c r="B602" t="s">
        <v>25</v>
      </c>
      <c r="C602">
        <v>6</v>
      </c>
      <c r="D602">
        <v>1</v>
      </c>
      <c r="E602">
        <v>15</v>
      </c>
      <c r="F602" t="s">
        <v>14</v>
      </c>
      <c r="G602">
        <v>7.5</v>
      </c>
      <c r="I602">
        <v>4</v>
      </c>
      <c r="J602" t="s">
        <v>18</v>
      </c>
      <c r="K602" t="str">
        <f t="shared" si="34"/>
        <v/>
      </c>
      <c r="L602" t="s">
        <v>16</v>
      </c>
      <c r="M602">
        <v>5</v>
      </c>
      <c r="T602">
        <f t="shared" si="35"/>
        <v>20</v>
      </c>
      <c r="U602" t="s">
        <v>2434</v>
      </c>
      <c r="V602" s="4" t="s">
        <v>2435</v>
      </c>
      <c r="W602">
        <v>601</v>
      </c>
      <c r="Y602">
        <f t="shared" si="36"/>
        <v>0</v>
      </c>
      <c r="Z602">
        <f t="shared" si="37"/>
        <v>0</v>
      </c>
    </row>
    <row r="603" spans="1:26" x14ac:dyDescent="0.25">
      <c r="A603" s="4">
        <v>5041</v>
      </c>
      <c r="B603" t="s">
        <v>25</v>
      </c>
      <c r="C603">
        <v>6</v>
      </c>
      <c r="D603">
        <v>1</v>
      </c>
      <c r="E603">
        <v>14</v>
      </c>
      <c r="F603" t="s">
        <v>14</v>
      </c>
      <c r="G603">
        <v>7.5</v>
      </c>
      <c r="I603">
        <v>4</v>
      </c>
      <c r="J603" t="s">
        <v>18</v>
      </c>
      <c r="K603" t="str">
        <f t="shared" si="34"/>
        <v/>
      </c>
      <c r="L603" t="s">
        <v>16</v>
      </c>
      <c r="M603">
        <v>5</v>
      </c>
      <c r="T603">
        <f t="shared" si="35"/>
        <v>20</v>
      </c>
      <c r="U603" t="s">
        <v>2439</v>
      </c>
      <c r="V603" s="4" t="s">
        <v>2435</v>
      </c>
      <c r="W603">
        <v>602</v>
      </c>
      <c r="Y603">
        <f t="shared" si="36"/>
        <v>0</v>
      </c>
      <c r="Z603">
        <f t="shared" si="37"/>
        <v>0</v>
      </c>
    </row>
    <row r="604" spans="1:26" x14ac:dyDescent="0.25">
      <c r="A604" s="4">
        <v>5041</v>
      </c>
      <c r="B604" t="s">
        <v>25</v>
      </c>
      <c r="C604">
        <v>6</v>
      </c>
      <c r="D604">
        <v>1</v>
      </c>
      <c r="E604">
        <v>13</v>
      </c>
      <c r="F604" t="s">
        <v>14</v>
      </c>
      <c r="G604">
        <v>7.5</v>
      </c>
      <c r="I604">
        <v>4</v>
      </c>
      <c r="J604" t="s">
        <v>18</v>
      </c>
      <c r="K604" t="str">
        <f t="shared" si="34"/>
        <v/>
      </c>
      <c r="L604" t="s">
        <v>16</v>
      </c>
      <c r="M604">
        <v>5</v>
      </c>
      <c r="T604">
        <f t="shared" si="35"/>
        <v>20</v>
      </c>
      <c r="U604" t="s">
        <v>2441</v>
      </c>
      <c r="V604" s="4" t="s">
        <v>2442</v>
      </c>
      <c r="W604">
        <v>603</v>
      </c>
      <c r="Y604">
        <f t="shared" si="36"/>
        <v>0</v>
      </c>
      <c r="Z604">
        <f t="shared" si="37"/>
        <v>0</v>
      </c>
    </row>
    <row r="605" spans="1:26" x14ac:dyDescent="0.25">
      <c r="A605" s="4">
        <v>4006</v>
      </c>
      <c r="B605" t="s">
        <v>36</v>
      </c>
      <c r="C605">
        <v>1</v>
      </c>
      <c r="D605">
        <v>1</v>
      </c>
      <c r="E605">
        <v>2</v>
      </c>
      <c r="F605" t="s">
        <v>14</v>
      </c>
      <c r="G605">
        <v>10</v>
      </c>
      <c r="I605">
        <v>4</v>
      </c>
      <c r="J605" t="s">
        <v>30</v>
      </c>
      <c r="K605" t="str">
        <f t="shared" si="34"/>
        <v/>
      </c>
      <c r="L605" t="s">
        <v>16</v>
      </c>
      <c r="M605">
        <v>2</v>
      </c>
      <c r="T605">
        <f t="shared" si="35"/>
        <v>20</v>
      </c>
      <c r="U605" t="s">
        <v>2447</v>
      </c>
      <c r="V605" s="4" t="s">
        <v>2442</v>
      </c>
      <c r="W605">
        <v>604</v>
      </c>
      <c r="Y605">
        <f t="shared" si="36"/>
        <v>0</v>
      </c>
      <c r="Z605">
        <f t="shared" si="37"/>
        <v>0</v>
      </c>
    </row>
    <row r="606" spans="1:26" x14ac:dyDescent="0.25">
      <c r="A606" s="4">
        <v>4006</v>
      </c>
      <c r="B606" t="s">
        <v>36</v>
      </c>
      <c r="C606">
        <v>1</v>
      </c>
      <c r="D606">
        <v>1</v>
      </c>
      <c r="E606">
        <v>3</v>
      </c>
      <c r="F606" t="s">
        <v>14</v>
      </c>
      <c r="G606">
        <v>10</v>
      </c>
      <c r="I606">
        <v>4</v>
      </c>
      <c r="J606" t="s">
        <v>30</v>
      </c>
      <c r="K606" t="str">
        <f t="shared" si="34"/>
        <v/>
      </c>
      <c r="L606" t="s">
        <v>16</v>
      </c>
      <c r="M606">
        <v>2</v>
      </c>
      <c r="T606">
        <f t="shared" si="35"/>
        <v>20</v>
      </c>
      <c r="U606" t="s">
        <v>2450</v>
      </c>
      <c r="V606" s="4" t="s">
        <v>2451</v>
      </c>
      <c r="W606">
        <v>605</v>
      </c>
      <c r="Y606">
        <f t="shared" si="36"/>
        <v>0</v>
      </c>
      <c r="Z606">
        <f t="shared" si="37"/>
        <v>0</v>
      </c>
    </row>
    <row r="607" spans="1:26" x14ac:dyDescent="0.25">
      <c r="A607" s="4">
        <v>4006</v>
      </c>
      <c r="B607" t="s">
        <v>36</v>
      </c>
      <c r="C607">
        <v>1</v>
      </c>
      <c r="D607">
        <v>1</v>
      </c>
      <c r="E607">
        <v>4</v>
      </c>
      <c r="F607" t="s">
        <v>14</v>
      </c>
      <c r="G607">
        <v>10</v>
      </c>
      <c r="I607">
        <v>4</v>
      </c>
      <c r="J607" t="s">
        <v>30</v>
      </c>
      <c r="K607" t="str">
        <f t="shared" si="34"/>
        <v/>
      </c>
      <c r="L607" t="s">
        <v>16</v>
      </c>
      <c r="M607">
        <v>2</v>
      </c>
      <c r="T607">
        <f t="shared" si="35"/>
        <v>20</v>
      </c>
      <c r="U607" t="s">
        <v>2454</v>
      </c>
      <c r="V607" s="4" t="s">
        <v>2451</v>
      </c>
      <c r="W607">
        <v>606</v>
      </c>
      <c r="Y607">
        <f t="shared" si="36"/>
        <v>0</v>
      </c>
      <c r="Z607">
        <f t="shared" si="37"/>
        <v>0</v>
      </c>
    </row>
    <row r="608" spans="1:26" x14ac:dyDescent="0.25">
      <c r="A608" s="4">
        <v>4006</v>
      </c>
      <c r="B608" t="s">
        <v>36</v>
      </c>
      <c r="C608">
        <v>1</v>
      </c>
      <c r="D608">
        <v>1</v>
      </c>
      <c r="E608">
        <v>5</v>
      </c>
      <c r="F608" t="s">
        <v>14</v>
      </c>
      <c r="G608">
        <v>10</v>
      </c>
      <c r="I608">
        <v>4</v>
      </c>
      <c r="J608" t="s">
        <v>30</v>
      </c>
      <c r="K608" t="str">
        <f t="shared" si="34"/>
        <v/>
      </c>
      <c r="L608" t="s">
        <v>16</v>
      </c>
      <c r="M608">
        <v>2</v>
      </c>
      <c r="T608">
        <f t="shared" si="35"/>
        <v>20</v>
      </c>
      <c r="U608" t="s">
        <v>2456</v>
      </c>
      <c r="V608" s="4" t="s">
        <v>2451</v>
      </c>
      <c r="W608">
        <v>607</v>
      </c>
      <c r="Y608">
        <f t="shared" si="36"/>
        <v>0</v>
      </c>
      <c r="Z608">
        <f t="shared" si="37"/>
        <v>0</v>
      </c>
    </row>
    <row r="609" spans="1:26" x14ac:dyDescent="0.25">
      <c r="A609" s="4">
        <v>4006</v>
      </c>
      <c r="B609" t="s">
        <v>36</v>
      </c>
      <c r="C609">
        <v>1</v>
      </c>
      <c r="D609">
        <v>1</v>
      </c>
      <c r="E609">
        <v>2</v>
      </c>
      <c r="F609" t="s">
        <v>14</v>
      </c>
      <c r="G609">
        <v>10</v>
      </c>
      <c r="I609">
        <v>4</v>
      </c>
      <c r="J609" t="s">
        <v>31</v>
      </c>
      <c r="K609" t="str">
        <f t="shared" si="34"/>
        <v/>
      </c>
      <c r="L609" t="s">
        <v>16</v>
      </c>
      <c r="M609">
        <v>2</v>
      </c>
      <c r="T609">
        <f t="shared" si="35"/>
        <v>20</v>
      </c>
      <c r="U609" t="s">
        <v>2458</v>
      </c>
      <c r="V609" s="4" t="s">
        <v>2459</v>
      </c>
      <c r="W609">
        <v>608</v>
      </c>
      <c r="Y609">
        <f t="shared" si="36"/>
        <v>0</v>
      </c>
      <c r="Z609">
        <f t="shared" si="37"/>
        <v>0</v>
      </c>
    </row>
    <row r="610" spans="1:26" x14ac:dyDescent="0.25">
      <c r="A610" s="4">
        <v>4006</v>
      </c>
      <c r="B610" t="s">
        <v>36</v>
      </c>
      <c r="C610">
        <v>1</v>
      </c>
      <c r="D610">
        <v>1</v>
      </c>
      <c r="E610">
        <v>3</v>
      </c>
      <c r="F610" t="s">
        <v>14</v>
      </c>
      <c r="G610">
        <v>10</v>
      </c>
      <c r="I610">
        <v>4</v>
      </c>
      <c r="J610" t="s">
        <v>31</v>
      </c>
      <c r="K610" t="str">
        <f t="shared" si="34"/>
        <v/>
      </c>
      <c r="L610" t="s">
        <v>16</v>
      </c>
      <c r="M610">
        <v>2</v>
      </c>
      <c r="T610">
        <f t="shared" si="35"/>
        <v>20</v>
      </c>
      <c r="U610" t="s">
        <v>2464</v>
      </c>
      <c r="V610" s="4" t="s">
        <v>2459</v>
      </c>
      <c r="W610">
        <v>609</v>
      </c>
      <c r="Y610">
        <f t="shared" si="36"/>
        <v>0</v>
      </c>
      <c r="Z610">
        <f t="shared" si="37"/>
        <v>0</v>
      </c>
    </row>
    <row r="611" spans="1:26" x14ac:dyDescent="0.25">
      <c r="A611" s="4">
        <v>4006</v>
      </c>
      <c r="B611" t="s">
        <v>36</v>
      </c>
      <c r="C611">
        <v>1</v>
      </c>
      <c r="D611">
        <v>1</v>
      </c>
      <c r="E611">
        <v>4</v>
      </c>
      <c r="F611" t="s">
        <v>14</v>
      </c>
      <c r="G611">
        <v>10</v>
      </c>
      <c r="I611">
        <v>4</v>
      </c>
      <c r="J611" t="s">
        <v>31</v>
      </c>
      <c r="K611" t="str">
        <f t="shared" si="34"/>
        <v/>
      </c>
      <c r="L611" t="s">
        <v>16</v>
      </c>
      <c r="M611">
        <v>2</v>
      </c>
      <c r="T611">
        <f t="shared" si="35"/>
        <v>20</v>
      </c>
      <c r="U611" t="s">
        <v>2466</v>
      </c>
      <c r="V611" s="4" t="s">
        <v>2459</v>
      </c>
      <c r="W611">
        <v>610</v>
      </c>
      <c r="Y611">
        <f t="shared" si="36"/>
        <v>0</v>
      </c>
      <c r="Z611">
        <f t="shared" si="37"/>
        <v>0</v>
      </c>
    </row>
    <row r="612" spans="1:26" x14ac:dyDescent="0.25">
      <c r="A612" s="4">
        <v>4006</v>
      </c>
      <c r="B612" t="s">
        <v>36</v>
      </c>
      <c r="C612">
        <v>1</v>
      </c>
      <c r="D612">
        <v>1</v>
      </c>
      <c r="E612">
        <v>5</v>
      </c>
      <c r="F612" t="s">
        <v>14</v>
      </c>
      <c r="G612">
        <v>10</v>
      </c>
      <c r="I612">
        <v>4</v>
      </c>
      <c r="J612" t="s">
        <v>31</v>
      </c>
      <c r="K612" t="str">
        <f t="shared" si="34"/>
        <v/>
      </c>
      <c r="L612" t="s">
        <v>16</v>
      </c>
      <c r="M612">
        <v>2</v>
      </c>
      <c r="T612">
        <f t="shared" si="35"/>
        <v>20</v>
      </c>
      <c r="U612" t="s">
        <v>2468</v>
      </c>
      <c r="V612" s="4" t="s">
        <v>2469</v>
      </c>
      <c r="W612">
        <v>611</v>
      </c>
      <c r="Y612">
        <f t="shared" si="36"/>
        <v>0</v>
      </c>
      <c r="Z612">
        <f t="shared" si="37"/>
        <v>0</v>
      </c>
    </row>
    <row r="613" spans="1:26" x14ac:dyDescent="0.25">
      <c r="A613" s="4">
        <v>4006</v>
      </c>
      <c r="B613" t="s">
        <v>36</v>
      </c>
      <c r="C613">
        <v>1</v>
      </c>
      <c r="D613">
        <v>1</v>
      </c>
      <c r="E613">
        <v>2</v>
      </c>
      <c r="F613" t="s">
        <v>14</v>
      </c>
      <c r="G613">
        <v>10</v>
      </c>
      <c r="I613">
        <v>4</v>
      </c>
      <c r="J613" t="s">
        <v>37</v>
      </c>
      <c r="K613" t="str">
        <f t="shared" si="34"/>
        <v/>
      </c>
      <c r="L613" t="s">
        <v>16</v>
      </c>
      <c r="M613">
        <v>2</v>
      </c>
      <c r="T613">
        <f t="shared" si="35"/>
        <v>20</v>
      </c>
      <c r="U613" t="s">
        <v>2472</v>
      </c>
      <c r="V613" s="4" t="s">
        <v>2469</v>
      </c>
      <c r="W613">
        <v>612</v>
      </c>
      <c r="Y613">
        <f t="shared" si="36"/>
        <v>0</v>
      </c>
      <c r="Z613">
        <f t="shared" si="37"/>
        <v>0</v>
      </c>
    </row>
    <row r="614" spans="1:26" x14ac:dyDescent="0.25">
      <c r="A614" s="4">
        <v>4006</v>
      </c>
      <c r="B614" t="s">
        <v>36</v>
      </c>
      <c r="C614">
        <v>1</v>
      </c>
      <c r="D614">
        <v>1</v>
      </c>
      <c r="E614">
        <v>3</v>
      </c>
      <c r="F614" t="s">
        <v>14</v>
      </c>
      <c r="G614">
        <v>10</v>
      </c>
      <c r="I614">
        <v>4</v>
      </c>
      <c r="J614" t="s">
        <v>37</v>
      </c>
      <c r="K614" t="str">
        <f t="shared" si="34"/>
        <v/>
      </c>
      <c r="L614" t="s">
        <v>16</v>
      </c>
      <c r="M614">
        <v>2</v>
      </c>
      <c r="T614">
        <f t="shared" si="35"/>
        <v>20</v>
      </c>
      <c r="U614" t="s">
        <v>2474</v>
      </c>
      <c r="V614" s="4" t="s">
        <v>2475</v>
      </c>
      <c r="W614">
        <v>613</v>
      </c>
      <c r="Y614">
        <f t="shared" si="36"/>
        <v>0</v>
      </c>
      <c r="Z614">
        <f t="shared" si="37"/>
        <v>0</v>
      </c>
    </row>
    <row r="615" spans="1:26" x14ac:dyDescent="0.25">
      <c r="A615" s="4">
        <v>4006</v>
      </c>
      <c r="B615" t="s">
        <v>36</v>
      </c>
      <c r="C615">
        <v>1</v>
      </c>
      <c r="D615">
        <v>1</v>
      </c>
      <c r="E615">
        <v>4</v>
      </c>
      <c r="F615" t="s">
        <v>14</v>
      </c>
      <c r="G615">
        <v>10</v>
      </c>
      <c r="I615">
        <v>4</v>
      </c>
      <c r="J615" t="s">
        <v>37</v>
      </c>
      <c r="K615" t="str">
        <f t="shared" si="34"/>
        <v/>
      </c>
      <c r="L615" t="s">
        <v>16</v>
      </c>
      <c r="M615">
        <v>2</v>
      </c>
      <c r="T615">
        <f t="shared" si="35"/>
        <v>20</v>
      </c>
      <c r="U615" t="s">
        <v>2478</v>
      </c>
      <c r="V615" s="4" t="s">
        <v>2475</v>
      </c>
      <c r="W615">
        <v>614</v>
      </c>
      <c r="Y615">
        <f t="shared" si="36"/>
        <v>0</v>
      </c>
      <c r="Z615">
        <f t="shared" si="37"/>
        <v>0</v>
      </c>
    </row>
    <row r="616" spans="1:26" x14ac:dyDescent="0.25">
      <c r="A616" s="4">
        <v>4006</v>
      </c>
      <c r="B616" t="s">
        <v>36</v>
      </c>
      <c r="C616">
        <v>1</v>
      </c>
      <c r="D616">
        <v>1</v>
      </c>
      <c r="E616">
        <v>5</v>
      </c>
      <c r="F616" t="s">
        <v>14</v>
      </c>
      <c r="G616">
        <v>10</v>
      </c>
      <c r="I616">
        <v>4</v>
      </c>
      <c r="J616" t="s">
        <v>37</v>
      </c>
      <c r="K616" t="str">
        <f t="shared" si="34"/>
        <v/>
      </c>
      <c r="L616" t="s">
        <v>16</v>
      </c>
      <c r="M616">
        <v>2</v>
      </c>
      <c r="T616">
        <f t="shared" si="35"/>
        <v>20</v>
      </c>
      <c r="U616" t="s">
        <v>2480</v>
      </c>
      <c r="V616" s="4" t="s">
        <v>2481</v>
      </c>
      <c r="W616">
        <v>615</v>
      </c>
      <c r="Y616">
        <f t="shared" si="36"/>
        <v>0</v>
      </c>
      <c r="Z616">
        <f t="shared" si="37"/>
        <v>0</v>
      </c>
    </row>
    <row r="617" spans="1:26" x14ac:dyDescent="0.25">
      <c r="A617" s="4">
        <v>4006</v>
      </c>
      <c r="B617" t="s">
        <v>36</v>
      </c>
      <c r="C617">
        <v>1</v>
      </c>
      <c r="D617">
        <v>1</v>
      </c>
      <c r="E617">
        <v>2</v>
      </c>
      <c r="F617" t="s">
        <v>14</v>
      </c>
      <c r="G617">
        <v>10</v>
      </c>
      <c r="I617">
        <v>4</v>
      </c>
      <c r="J617" t="s">
        <v>29</v>
      </c>
      <c r="K617" t="str">
        <f t="shared" si="34"/>
        <v/>
      </c>
      <c r="L617" t="s">
        <v>16</v>
      </c>
      <c r="M617">
        <v>2</v>
      </c>
      <c r="T617">
        <f t="shared" si="35"/>
        <v>20</v>
      </c>
      <c r="U617" t="s">
        <v>2484</v>
      </c>
      <c r="V617" s="4" t="s">
        <v>2481</v>
      </c>
      <c r="W617">
        <v>616</v>
      </c>
      <c r="Y617">
        <f t="shared" si="36"/>
        <v>0</v>
      </c>
      <c r="Z617">
        <f t="shared" si="37"/>
        <v>0</v>
      </c>
    </row>
    <row r="618" spans="1:26" x14ac:dyDescent="0.25">
      <c r="A618" s="4">
        <v>4006</v>
      </c>
      <c r="B618" t="s">
        <v>36</v>
      </c>
      <c r="C618">
        <v>1</v>
      </c>
      <c r="D618">
        <v>1</v>
      </c>
      <c r="E618">
        <v>3</v>
      </c>
      <c r="F618" t="s">
        <v>14</v>
      </c>
      <c r="G618">
        <v>10</v>
      </c>
      <c r="I618">
        <v>4</v>
      </c>
      <c r="J618" t="s">
        <v>29</v>
      </c>
      <c r="K618" t="str">
        <f t="shared" si="34"/>
        <v/>
      </c>
      <c r="L618" t="s">
        <v>16</v>
      </c>
      <c r="M618">
        <v>2</v>
      </c>
      <c r="T618">
        <f t="shared" si="35"/>
        <v>20</v>
      </c>
      <c r="U618" t="s">
        <v>2486</v>
      </c>
      <c r="V618" s="4" t="s">
        <v>2487</v>
      </c>
      <c r="W618">
        <v>617</v>
      </c>
      <c r="Y618">
        <f t="shared" si="36"/>
        <v>0</v>
      </c>
      <c r="Z618">
        <f t="shared" si="37"/>
        <v>0</v>
      </c>
    </row>
    <row r="619" spans="1:26" x14ac:dyDescent="0.25">
      <c r="A619" s="4">
        <v>4006</v>
      </c>
      <c r="B619" t="s">
        <v>36</v>
      </c>
      <c r="C619">
        <v>1</v>
      </c>
      <c r="D619">
        <v>1</v>
      </c>
      <c r="E619">
        <v>4</v>
      </c>
      <c r="F619" t="s">
        <v>14</v>
      </c>
      <c r="G619">
        <v>10</v>
      </c>
      <c r="I619">
        <v>4</v>
      </c>
      <c r="J619" t="s">
        <v>29</v>
      </c>
      <c r="K619" t="str">
        <f t="shared" si="34"/>
        <v/>
      </c>
      <c r="L619" t="s">
        <v>16</v>
      </c>
      <c r="M619">
        <v>2</v>
      </c>
      <c r="T619">
        <f t="shared" si="35"/>
        <v>20</v>
      </c>
      <c r="U619" t="s">
        <v>2490</v>
      </c>
      <c r="V619" s="4" t="s">
        <v>2487</v>
      </c>
      <c r="W619">
        <v>618</v>
      </c>
      <c r="Y619">
        <f t="shared" si="36"/>
        <v>0</v>
      </c>
      <c r="Z619">
        <f t="shared" si="37"/>
        <v>0</v>
      </c>
    </row>
    <row r="620" spans="1:26" x14ac:dyDescent="0.25">
      <c r="A620" s="4">
        <v>4006</v>
      </c>
      <c r="B620" t="s">
        <v>36</v>
      </c>
      <c r="C620">
        <v>1</v>
      </c>
      <c r="D620">
        <v>1</v>
      </c>
      <c r="E620">
        <v>5</v>
      </c>
      <c r="F620" t="s">
        <v>14</v>
      </c>
      <c r="G620">
        <v>10</v>
      </c>
      <c r="I620">
        <v>4</v>
      </c>
      <c r="J620" t="s">
        <v>29</v>
      </c>
      <c r="K620" t="str">
        <f t="shared" si="34"/>
        <v/>
      </c>
      <c r="L620" t="s">
        <v>16</v>
      </c>
      <c r="M620">
        <v>2</v>
      </c>
      <c r="T620">
        <f t="shared" si="35"/>
        <v>20</v>
      </c>
      <c r="U620" t="s">
        <v>2492</v>
      </c>
      <c r="V620" s="4" t="s">
        <v>2493</v>
      </c>
      <c r="W620">
        <v>619</v>
      </c>
      <c r="Y620">
        <f t="shared" si="36"/>
        <v>0</v>
      </c>
      <c r="Z620">
        <f t="shared" si="37"/>
        <v>0</v>
      </c>
    </row>
    <row r="621" spans="1:26" x14ac:dyDescent="0.25">
      <c r="A621" s="4">
        <v>4015</v>
      </c>
      <c r="B621" t="s">
        <v>38</v>
      </c>
      <c r="C621">
        <v>1</v>
      </c>
      <c r="D621">
        <v>1</v>
      </c>
      <c r="E621">
        <v>6</v>
      </c>
      <c r="F621" t="s">
        <v>14</v>
      </c>
      <c r="G621">
        <v>7.5</v>
      </c>
      <c r="I621">
        <v>4</v>
      </c>
      <c r="J621" t="s">
        <v>30</v>
      </c>
      <c r="K621" t="str">
        <f t="shared" si="34"/>
        <v/>
      </c>
      <c r="L621" t="s">
        <v>16</v>
      </c>
      <c r="M621">
        <v>3</v>
      </c>
      <c r="T621">
        <f t="shared" si="35"/>
        <v>20</v>
      </c>
      <c r="U621" t="s">
        <v>2499</v>
      </c>
      <c r="V621" s="4" t="s">
        <v>2493</v>
      </c>
      <c r="W621">
        <v>620</v>
      </c>
      <c r="Y621">
        <f t="shared" si="36"/>
        <v>0</v>
      </c>
      <c r="Z621">
        <f t="shared" si="37"/>
        <v>0</v>
      </c>
    </row>
    <row r="622" spans="1:26" x14ac:dyDescent="0.25">
      <c r="A622" s="4">
        <v>4015</v>
      </c>
      <c r="B622" t="s">
        <v>38</v>
      </c>
      <c r="C622">
        <v>1</v>
      </c>
      <c r="D622">
        <v>1</v>
      </c>
      <c r="E622">
        <v>8</v>
      </c>
      <c r="F622" t="s">
        <v>14</v>
      </c>
      <c r="G622">
        <v>7.5</v>
      </c>
      <c r="I622">
        <v>4</v>
      </c>
      <c r="J622" t="s">
        <v>30</v>
      </c>
      <c r="K622" t="str">
        <f t="shared" si="34"/>
        <v/>
      </c>
      <c r="L622" t="s">
        <v>16</v>
      </c>
      <c r="M622">
        <v>3</v>
      </c>
      <c r="T622">
        <f t="shared" si="35"/>
        <v>20</v>
      </c>
      <c r="U622" t="s">
        <v>2502</v>
      </c>
      <c r="V622" s="4" t="s">
        <v>2493</v>
      </c>
      <c r="W622">
        <v>621</v>
      </c>
      <c r="Y622">
        <f t="shared" si="36"/>
        <v>0</v>
      </c>
      <c r="Z622">
        <f t="shared" si="37"/>
        <v>0</v>
      </c>
    </row>
    <row r="623" spans="1:26" x14ac:dyDescent="0.25">
      <c r="A623" s="4">
        <v>4015</v>
      </c>
      <c r="B623" t="s">
        <v>38</v>
      </c>
      <c r="C623">
        <v>1</v>
      </c>
      <c r="D623">
        <v>1</v>
      </c>
      <c r="E623">
        <v>10</v>
      </c>
      <c r="F623" t="s">
        <v>14</v>
      </c>
      <c r="G623">
        <v>7.5</v>
      </c>
      <c r="I623">
        <v>4</v>
      </c>
      <c r="J623" t="s">
        <v>30</v>
      </c>
      <c r="K623" t="str">
        <f t="shared" si="34"/>
        <v/>
      </c>
      <c r="L623" t="s">
        <v>16</v>
      </c>
      <c r="M623">
        <v>3</v>
      </c>
      <c r="T623">
        <f t="shared" si="35"/>
        <v>20</v>
      </c>
      <c r="U623" t="s">
        <v>2505</v>
      </c>
      <c r="V623" s="4" t="s">
        <v>2493</v>
      </c>
      <c r="W623">
        <v>622</v>
      </c>
      <c r="Y623">
        <f t="shared" si="36"/>
        <v>0</v>
      </c>
      <c r="Z623">
        <f t="shared" si="37"/>
        <v>0</v>
      </c>
    </row>
    <row r="624" spans="1:26" x14ac:dyDescent="0.25">
      <c r="A624" s="4">
        <v>4015</v>
      </c>
      <c r="B624" t="s">
        <v>38</v>
      </c>
      <c r="C624">
        <v>1</v>
      </c>
      <c r="D624">
        <v>1</v>
      </c>
      <c r="E624">
        <v>12</v>
      </c>
      <c r="F624" t="s">
        <v>14</v>
      </c>
      <c r="G624">
        <v>7.5</v>
      </c>
      <c r="I624">
        <v>4</v>
      </c>
      <c r="J624" t="s">
        <v>30</v>
      </c>
      <c r="K624" t="str">
        <f t="shared" si="34"/>
        <v/>
      </c>
      <c r="L624" t="s">
        <v>16</v>
      </c>
      <c r="M624">
        <v>3</v>
      </c>
      <c r="T624">
        <f t="shared" si="35"/>
        <v>20</v>
      </c>
      <c r="U624" t="s">
        <v>2508</v>
      </c>
      <c r="V624" s="4" t="s">
        <v>553</v>
      </c>
      <c r="W624">
        <v>623</v>
      </c>
      <c r="Y624">
        <f t="shared" si="36"/>
        <v>0</v>
      </c>
      <c r="Z624">
        <f t="shared" si="37"/>
        <v>0</v>
      </c>
    </row>
    <row r="625" spans="1:26" x14ac:dyDescent="0.25">
      <c r="A625" s="4">
        <v>4015</v>
      </c>
      <c r="B625" t="s">
        <v>38</v>
      </c>
      <c r="C625">
        <v>1</v>
      </c>
      <c r="D625">
        <v>1</v>
      </c>
      <c r="E625">
        <v>6</v>
      </c>
      <c r="F625" t="s">
        <v>14</v>
      </c>
      <c r="G625">
        <v>7.5</v>
      </c>
      <c r="I625">
        <v>4</v>
      </c>
      <c r="J625" t="s">
        <v>31</v>
      </c>
      <c r="K625" t="str">
        <f t="shared" si="34"/>
        <v/>
      </c>
      <c r="L625" t="s">
        <v>16</v>
      </c>
      <c r="M625">
        <v>3</v>
      </c>
      <c r="T625">
        <f t="shared" si="35"/>
        <v>20</v>
      </c>
      <c r="U625" t="s">
        <v>2512</v>
      </c>
      <c r="V625" s="4" t="s">
        <v>553</v>
      </c>
      <c r="W625">
        <v>624</v>
      </c>
      <c r="Y625">
        <f t="shared" si="36"/>
        <v>0</v>
      </c>
      <c r="Z625">
        <f t="shared" si="37"/>
        <v>0</v>
      </c>
    </row>
    <row r="626" spans="1:26" x14ac:dyDescent="0.25">
      <c r="A626" s="4">
        <v>4015</v>
      </c>
      <c r="B626" t="s">
        <v>38</v>
      </c>
      <c r="C626">
        <v>1</v>
      </c>
      <c r="D626">
        <v>1</v>
      </c>
      <c r="E626">
        <v>8</v>
      </c>
      <c r="F626" t="s">
        <v>14</v>
      </c>
      <c r="G626">
        <v>7.5</v>
      </c>
      <c r="I626">
        <v>4</v>
      </c>
      <c r="J626" t="s">
        <v>31</v>
      </c>
      <c r="K626" t="str">
        <f t="shared" si="34"/>
        <v/>
      </c>
      <c r="L626" t="s">
        <v>16</v>
      </c>
      <c r="M626">
        <v>3</v>
      </c>
      <c r="T626">
        <f t="shared" si="35"/>
        <v>20</v>
      </c>
      <c r="U626" t="s">
        <v>2514</v>
      </c>
      <c r="V626" s="4" t="s">
        <v>553</v>
      </c>
      <c r="W626">
        <v>625</v>
      </c>
      <c r="Y626">
        <f t="shared" si="36"/>
        <v>0</v>
      </c>
      <c r="Z626">
        <f t="shared" si="37"/>
        <v>0</v>
      </c>
    </row>
    <row r="627" spans="1:26" x14ac:dyDescent="0.25">
      <c r="A627" s="4">
        <v>4015</v>
      </c>
      <c r="B627" t="s">
        <v>38</v>
      </c>
      <c r="C627">
        <v>1</v>
      </c>
      <c r="D627">
        <v>1</v>
      </c>
      <c r="E627">
        <v>10</v>
      </c>
      <c r="F627" t="s">
        <v>14</v>
      </c>
      <c r="G627">
        <v>7.5</v>
      </c>
      <c r="I627">
        <v>4</v>
      </c>
      <c r="J627" t="s">
        <v>31</v>
      </c>
      <c r="K627" t="str">
        <f t="shared" si="34"/>
        <v/>
      </c>
      <c r="L627" t="s">
        <v>16</v>
      </c>
      <c r="M627">
        <v>3</v>
      </c>
      <c r="T627">
        <f t="shared" si="35"/>
        <v>20</v>
      </c>
      <c r="U627" t="s">
        <v>2518</v>
      </c>
      <c r="V627" s="4" t="s">
        <v>553</v>
      </c>
      <c r="W627">
        <v>626</v>
      </c>
      <c r="Y627">
        <f t="shared" si="36"/>
        <v>0</v>
      </c>
      <c r="Z627">
        <f t="shared" si="37"/>
        <v>0</v>
      </c>
    </row>
    <row r="628" spans="1:26" x14ac:dyDescent="0.25">
      <c r="A628" s="4">
        <v>4015</v>
      </c>
      <c r="B628" t="s">
        <v>38</v>
      </c>
      <c r="C628">
        <v>1</v>
      </c>
      <c r="D628">
        <v>1</v>
      </c>
      <c r="E628">
        <v>12</v>
      </c>
      <c r="F628" t="s">
        <v>14</v>
      </c>
      <c r="G628">
        <v>7.5</v>
      </c>
      <c r="I628">
        <v>4</v>
      </c>
      <c r="J628" t="s">
        <v>31</v>
      </c>
      <c r="K628" t="str">
        <f t="shared" si="34"/>
        <v/>
      </c>
      <c r="L628" t="s">
        <v>16</v>
      </c>
      <c r="M628">
        <v>3</v>
      </c>
      <c r="T628">
        <f t="shared" si="35"/>
        <v>20</v>
      </c>
      <c r="U628" t="s">
        <v>2521</v>
      </c>
      <c r="V628" s="4" t="s">
        <v>4105</v>
      </c>
      <c r="W628">
        <v>627</v>
      </c>
      <c r="Y628">
        <f t="shared" si="36"/>
        <v>0</v>
      </c>
      <c r="Z628">
        <f t="shared" si="37"/>
        <v>0</v>
      </c>
    </row>
    <row r="629" spans="1:26" x14ac:dyDescent="0.25">
      <c r="A629" s="4">
        <v>4015</v>
      </c>
      <c r="B629" t="s">
        <v>38</v>
      </c>
      <c r="C629">
        <v>1</v>
      </c>
      <c r="D629">
        <v>1</v>
      </c>
      <c r="E629">
        <v>6</v>
      </c>
      <c r="F629" t="s">
        <v>14</v>
      </c>
      <c r="G629">
        <v>7.5</v>
      </c>
      <c r="I629">
        <v>4</v>
      </c>
      <c r="J629" t="s">
        <v>33</v>
      </c>
      <c r="K629" t="str">
        <f t="shared" si="34"/>
        <v/>
      </c>
      <c r="L629" t="s">
        <v>16</v>
      </c>
      <c r="M629">
        <v>3</v>
      </c>
      <c r="T629">
        <f t="shared" si="35"/>
        <v>20</v>
      </c>
      <c r="U629" t="s">
        <v>2524</v>
      </c>
      <c r="V629" s="4" t="s">
        <v>4105</v>
      </c>
      <c r="W629">
        <v>628</v>
      </c>
      <c r="Y629">
        <f t="shared" si="36"/>
        <v>0</v>
      </c>
      <c r="Z629">
        <f t="shared" si="37"/>
        <v>0</v>
      </c>
    </row>
    <row r="630" spans="1:26" x14ac:dyDescent="0.25">
      <c r="A630" s="4">
        <v>4015</v>
      </c>
      <c r="B630" t="s">
        <v>38</v>
      </c>
      <c r="C630">
        <v>1</v>
      </c>
      <c r="D630">
        <v>1</v>
      </c>
      <c r="E630">
        <v>8</v>
      </c>
      <c r="F630" t="s">
        <v>14</v>
      </c>
      <c r="G630">
        <v>7.5</v>
      </c>
      <c r="I630">
        <v>4</v>
      </c>
      <c r="J630" t="s">
        <v>33</v>
      </c>
      <c r="K630" t="str">
        <f t="shared" si="34"/>
        <v/>
      </c>
      <c r="L630" t="s">
        <v>16</v>
      </c>
      <c r="M630">
        <v>3</v>
      </c>
      <c r="T630">
        <f t="shared" si="35"/>
        <v>20</v>
      </c>
      <c r="U630" t="s">
        <v>2526</v>
      </c>
      <c r="V630" s="4" t="s">
        <v>4105</v>
      </c>
      <c r="W630">
        <v>629</v>
      </c>
      <c r="Y630">
        <f t="shared" si="36"/>
        <v>0</v>
      </c>
      <c r="Z630">
        <f t="shared" si="37"/>
        <v>0</v>
      </c>
    </row>
    <row r="631" spans="1:26" x14ac:dyDescent="0.25">
      <c r="A631" s="4">
        <v>4015</v>
      </c>
      <c r="B631" t="s">
        <v>38</v>
      </c>
      <c r="C631">
        <v>1</v>
      </c>
      <c r="D631">
        <v>1</v>
      </c>
      <c r="E631">
        <v>10</v>
      </c>
      <c r="F631" t="s">
        <v>14</v>
      </c>
      <c r="G631">
        <v>7.5</v>
      </c>
      <c r="I631">
        <v>4</v>
      </c>
      <c r="J631" t="s">
        <v>33</v>
      </c>
      <c r="K631" t="str">
        <f t="shared" si="34"/>
        <v/>
      </c>
      <c r="L631" t="s">
        <v>16</v>
      </c>
      <c r="M631">
        <v>3</v>
      </c>
      <c r="T631">
        <f t="shared" si="35"/>
        <v>20</v>
      </c>
      <c r="U631" t="s">
        <v>2529</v>
      </c>
      <c r="V631" s="4" t="s">
        <v>4105</v>
      </c>
      <c r="W631">
        <v>630</v>
      </c>
      <c r="Y631">
        <f t="shared" si="36"/>
        <v>0</v>
      </c>
      <c r="Z631">
        <f t="shared" si="37"/>
        <v>0</v>
      </c>
    </row>
    <row r="632" spans="1:26" x14ac:dyDescent="0.25">
      <c r="A632" s="4">
        <v>4015</v>
      </c>
      <c r="B632" t="s">
        <v>38</v>
      </c>
      <c r="C632">
        <v>1</v>
      </c>
      <c r="D632">
        <v>1</v>
      </c>
      <c r="E632">
        <v>12</v>
      </c>
      <c r="F632" t="s">
        <v>14</v>
      </c>
      <c r="G632">
        <v>7.5</v>
      </c>
      <c r="I632">
        <v>4</v>
      </c>
      <c r="J632" t="s">
        <v>33</v>
      </c>
      <c r="K632" t="str">
        <f t="shared" si="34"/>
        <v/>
      </c>
      <c r="L632" t="s">
        <v>16</v>
      </c>
      <c r="M632">
        <v>3</v>
      </c>
      <c r="T632">
        <f t="shared" si="35"/>
        <v>20</v>
      </c>
      <c r="U632" t="s">
        <v>2531</v>
      </c>
      <c r="V632" s="4" t="s">
        <v>4105</v>
      </c>
      <c r="W632">
        <v>631</v>
      </c>
      <c r="Y632">
        <f t="shared" si="36"/>
        <v>0</v>
      </c>
      <c r="Z632">
        <f t="shared" si="37"/>
        <v>0</v>
      </c>
    </row>
    <row r="633" spans="1:26" x14ac:dyDescent="0.25">
      <c r="A633" s="4">
        <v>4015</v>
      </c>
      <c r="B633" t="s">
        <v>38</v>
      </c>
      <c r="C633">
        <v>1</v>
      </c>
      <c r="D633">
        <v>1</v>
      </c>
      <c r="E633">
        <v>6</v>
      </c>
      <c r="F633" t="s">
        <v>14</v>
      </c>
      <c r="G633">
        <v>7.5</v>
      </c>
      <c r="I633">
        <v>4</v>
      </c>
      <c r="J633" t="s">
        <v>29</v>
      </c>
      <c r="K633" t="str">
        <f t="shared" si="34"/>
        <v/>
      </c>
      <c r="L633" t="s">
        <v>16</v>
      </c>
      <c r="M633">
        <v>3</v>
      </c>
      <c r="T633">
        <f t="shared" si="35"/>
        <v>20</v>
      </c>
      <c r="U633" t="s">
        <v>2533</v>
      </c>
      <c r="V633" s="4" t="s">
        <v>2534</v>
      </c>
      <c r="W633">
        <v>632</v>
      </c>
      <c r="Y633">
        <f t="shared" si="36"/>
        <v>0</v>
      </c>
      <c r="Z633">
        <f t="shared" si="37"/>
        <v>0</v>
      </c>
    </row>
    <row r="634" spans="1:26" x14ac:dyDescent="0.25">
      <c r="A634" s="4">
        <v>4015</v>
      </c>
      <c r="B634" t="s">
        <v>38</v>
      </c>
      <c r="C634">
        <v>1</v>
      </c>
      <c r="D634">
        <v>1</v>
      </c>
      <c r="E634">
        <v>8</v>
      </c>
      <c r="F634" t="s">
        <v>14</v>
      </c>
      <c r="G634">
        <v>7.5</v>
      </c>
      <c r="I634">
        <v>4</v>
      </c>
      <c r="J634" t="s">
        <v>29</v>
      </c>
      <c r="K634" t="str">
        <f t="shared" si="34"/>
        <v/>
      </c>
      <c r="L634" t="s">
        <v>16</v>
      </c>
      <c r="M634">
        <v>3</v>
      </c>
      <c r="T634">
        <f t="shared" si="35"/>
        <v>20</v>
      </c>
      <c r="U634" t="s">
        <v>2541</v>
      </c>
      <c r="V634" s="4" t="s">
        <v>2534</v>
      </c>
      <c r="W634">
        <v>633</v>
      </c>
      <c r="Y634">
        <f t="shared" si="36"/>
        <v>0</v>
      </c>
      <c r="Z634">
        <f t="shared" si="37"/>
        <v>0</v>
      </c>
    </row>
    <row r="635" spans="1:26" x14ac:dyDescent="0.25">
      <c r="A635" s="4">
        <v>4015</v>
      </c>
      <c r="B635" t="s">
        <v>38</v>
      </c>
      <c r="C635">
        <v>1</v>
      </c>
      <c r="D635">
        <v>1</v>
      </c>
      <c r="E635">
        <v>10</v>
      </c>
      <c r="F635" t="s">
        <v>14</v>
      </c>
      <c r="G635">
        <v>7.5</v>
      </c>
      <c r="I635">
        <v>4</v>
      </c>
      <c r="J635" t="s">
        <v>29</v>
      </c>
      <c r="K635" t="str">
        <f t="shared" si="34"/>
        <v/>
      </c>
      <c r="L635" t="s">
        <v>16</v>
      </c>
      <c r="M635">
        <v>3</v>
      </c>
      <c r="T635">
        <f t="shared" si="35"/>
        <v>20</v>
      </c>
      <c r="U635" t="s">
        <v>2544</v>
      </c>
      <c r="V635" s="4" t="s">
        <v>2534</v>
      </c>
      <c r="W635">
        <v>634</v>
      </c>
      <c r="Y635">
        <f t="shared" si="36"/>
        <v>0</v>
      </c>
      <c r="Z635">
        <f t="shared" si="37"/>
        <v>0</v>
      </c>
    </row>
    <row r="636" spans="1:26" x14ac:dyDescent="0.25">
      <c r="A636" s="4">
        <v>4015</v>
      </c>
      <c r="B636" t="s">
        <v>38</v>
      </c>
      <c r="C636">
        <v>1</v>
      </c>
      <c r="D636">
        <v>1</v>
      </c>
      <c r="E636">
        <v>12</v>
      </c>
      <c r="F636" t="s">
        <v>14</v>
      </c>
      <c r="G636">
        <v>7.5</v>
      </c>
      <c r="I636">
        <v>4</v>
      </c>
      <c r="J636" t="s">
        <v>29</v>
      </c>
      <c r="K636" t="str">
        <f t="shared" si="34"/>
        <v/>
      </c>
      <c r="L636" t="s">
        <v>16</v>
      </c>
      <c r="M636">
        <v>3</v>
      </c>
      <c r="T636">
        <f t="shared" si="35"/>
        <v>20</v>
      </c>
      <c r="U636" t="s">
        <v>2547</v>
      </c>
      <c r="V636" s="4" t="s">
        <v>2534</v>
      </c>
      <c r="W636">
        <v>635</v>
      </c>
      <c r="Y636">
        <f t="shared" si="36"/>
        <v>0</v>
      </c>
      <c r="Z636">
        <f t="shared" si="37"/>
        <v>0</v>
      </c>
    </row>
    <row r="637" spans="1:26" x14ac:dyDescent="0.25">
      <c r="A637" s="4">
        <v>4012</v>
      </c>
      <c r="B637" t="s">
        <v>36</v>
      </c>
      <c r="C637">
        <v>1</v>
      </c>
      <c r="D637">
        <v>1</v>
      </c>
      <c r="E637">
        <v>2</v>
      </c>
      <c r="F637" t="s">
        <v>14</v>
      </c>
      <c r="G637">
        <v>10</v>
      </c>
      <c r="I637">
        <v>4</v>
      </c>
      <c r="J637" t="s">
        <v>33</v>
      </c>
      <c r="K637" t="str">
        <f t="shared" si="34"/>
        <v/>
      </c>
      <c r="L637" t="s">
        <v>16</v>
      </c>
      <c r="M637">
        <v>3</v>
      </c>
      <c r="T637">
        <f t="shared" si="35"/>
        <v>20</v>
      </c>
      <c r="U637" t="s">
        <v>2551</v>
      </c>
      <c r="V637" s="4" t="s">
        <v>2534</v>
      </c>
      <c r="W637">
        <v>636</v>
      </c>
      <c r="Y637">
        <f t="shared" si="36"/>
        <v>0</v>
      </c>
      <c r="Z637">
        <f t="shared" si="37"/>
        <v>0</v>
      </c>
    </row>
    <row r="638" spans="1:26" x14ac:dyDescent="0.25">
      <c r="A638" s="4">
        <v>4012</v>
      </c>
      <c r="B638" t="s">
        <v>36</v>
      </c>
      <c r="C638">
        <v>1</v>
      </c>
      <c r="D638">
        <v>1</v>
      </c>
      <c r="E638">
        <v>3</v>
      </c>
      <c r="F638" t="s">
        <v>14</v>
      </c>
      <c r="G638">
        <v>10</v>
      </c>
      <c r="I638">
        <v>4</v>
      </c>
      <c r="J638" t="s">
        <v>33</v>
      </c>
      <c r="K638" t="str">
        <f t="shared" si="34"/>
        <v/>
      </c>
      <c r="L638" t="s">
        <v>16</v>
      </c>
      <c r="M638">
        <v>3</v>
      </c>
      <c r="T638">
        <f t="shared" si="35"/>
        <v>20</v>
      </c>
      <c r="U638" t="s">
        <v>2555</v>
      </c>
      <c r="V638" s="4" t="s">
        <v>2534</v>
      </c>
      <c r="W638">
        <v>637</v>
      </c>
      <c r="Y638">
        <f t="shared" si="36"/>
        <v>0</v>
      </c>
      <c r="Z638">
        <f t="shared" si="37"/>
        <v>0</v>
      </c>
    </row>
    <row r="639" spans="1:26" x14ac:dyDescent="0.25">
      <c r="A639" s="4">
        <v>4012</v>
      </c>
      <c r="B639" t="s">
        <v>36</v>
      </c>
      <c r="C639">
        <v>1</v>
      </c>
      <c r="D639">
        <v>1</v>
      </c>
      <c r="E639">
        <v>4</v>
      </c>
      <c r="F639" t="s">
        <v>14</v>
      </c>
      <c r="G639">
        <v>10</v>
      </c>
      <c r="I639">
        <v>4</v>
      </c>
      <c r="J639" t="s">
        <v>33</v>
      </c>
      <c r="K639" t="str">
        <f t="shared" si="34"/>
        <v/>
      </c>
      <c r="L639" t="s">
        <v>16</v>
      </c>
      <c r="M639">
        <v>3</v>
      </c>
      <c r="T639">
        <f t="shared" si="35"/>
        <v>20</v>
      </c>
      <c r="U639" t="s">
        <v>2559</v>
      </c>
      <c r="V639" s="4" t="s">
        <v>2534</v>
      </c>
      <c r="W639">
        <v>638</v>
      </c>
      <c r="Y639">
        <f t="shared" si="36"/>
        <v>0</v>
      </c>
      <c r="Z639">
        <f t="shared" si="37"/>
        <v>0</v>
      </c>
    </row>
    <row r="640" spans="1:26" x14ac:dyDescent="0.25">
      <c r="A640" s="4">
        <v>4012</v>
      </c>
      <c r="B640" t="s">
        <v>36</v>
      </c>
      <c r="C640">
        <v>1</v>
      </c>
      <c r="D640">
        <v>1</v>
      </c>
      <c r="E640">
        <v>5</v>
      </c>
      <c r="F640" t="s">
        <v>14</v>
      </c>
      <c r="G640">
        <v>10</v>
      </c>
      <c r="I640">
        <v>4</v>
      </c>
      <c r="J640" t="s">
        <v>33</v>
      </c>
      <c r="K640" t="str">
        <f t="shared" si="34"/>
        <v/>
      </c>
      <c r="L640" t="s">
        <v>16</v>
      </c>
      <c r="M640">
        <v>3</v>
      </c>
      <c r="T640">
        <f t="shared" si="35"/>
        <v>20</v>
      </c>
      <c r="U640" t="s">
        <v>2562</v>
      </c>
      <c r="V640" s="4" t="s">
        <v>2534</v>
      </c>
      <c r="W640">
        <v>639</v>
      </c>
      <c r="Y640">
        <f t="shared" si="36"/>
        <v>0</v>
      </c>
      <c r="Z640">
        <f t="shared" si="37"/>
        <v>0</v>
      </c>
    </row>
    <row r="641" spans="1:26" x14ac:dyDescent="0.25">
      <c r="A641" s="4">
        <v>4012</v>
      </c>
      <c r="B641" t="s">
        <v>36</v>
      </c>
      <c r="C641">
        <v>1</v>
      </c>
      <c r="D641">
        <v>1</v>
      </c>
      <c r="E641">
        <v>2</v>
      </c>
      <c r="F641" t="s">
        <v>14</v>
      </c>
      <c r="G641">
        <v>10</v>
      </c>
      <c r="I641">
        <v>4</v>
      </c>
      <c r="J641" t="s">
        <v>29</v>
      </c>
      <c r="K641" t="str">
        <f t="shared" si="34"/>
        <v/>
      </c>
      <c r="L641" t="s">
        <v>16</v>
      </c>
      <c r="M641">
        <v>2</v>
      </c>
      <c r="T641">
        <f t="shared" si="35"/>
        <v>20</v>
      </c>
      <c r="U641" t="s">
        <v>2565</v>
      </c>
      <c r="V641" s="4" t="s">
        <v>2566</v>
      </c>
      <c r="W641">
        <v>640</v>
      </c>
      <c r="Y641">
        <f t="shared" si="36"/>
        <v>0</v>
      </c>
      <c r="Z641">
        <f t="shared" si="37"/>
        <v>0</v>
      </c>
    </row>
    <row r="642" spans="1:26" x14ac:dyDescent="0.25">
      <c r="A642" s="4">
        <v>4012</v>
      </c>
      <c r="B642" t="s">
        <v>36</v>
      </c>
      <c r="C642">
        <v>1</v>
      </c>
      <c r="D642">
        <v>1</v>
      </c>
      <c r="E642">
        <v>3</v>
      </c>
      <c r="F642" t="s">
        <v>14</v>
      </c>
      <c r="G642">
        <v>10</v>
      </c>
      <c r="I642">
        <v>4</v>
      </c>
      <c r="J642" t="s">
        <v>29</v>
      </c>
      <c r="K642" t="str">
        <f t="shared" si="34"/>
        <v/>
      </c>
      <c r="L642" t="s">
        <v>16</v>
      </c>
      <c r="M642">
        <v>2</v>
      </c>
      <c r="T642">
        <f t="shared" si="35"/>
        <v>20</v>
      </c>
      <c r="U642" t="s">
        <v>2571</v>
      </c>
      <c r="V642" s="4" t="s">
        <v>2566</v>
      </c>
      <c r="W642">
        <v>641</v>
      </c>
      <c r="Y642">
        <f t="shared" si="36"/>
        <v>0</v>
      </c>
      <c r="Z642">
        <f t="shared" si="37"/>
        <v>0</v>
      </c>
    </row>
    <row r="643" spans="1:26" x14ac:dyDescent="0.25">
      <c r="A643" s="4">
        <v>4012</v>
      </c>
      <c r="B643" t="s">
        <v>36</v>
      </c>
      <c r="C643">
        <v>1</v>
      </c>
      <c r="D643">
        <v>1</v>
      </c>
      <c r="E643">
        <v>4</v>
      </c>
      <c r="F643" t="s">
        <v>14</v>
      </c>
      <c r="G643">
        <v>10</v>
      </c>
      <c r="I643">
        <v>4</v>
      </c>
      <c r="J643" t="s">
        <v>29</v>
      </c>
      <c r="K643" t="str">
        <f t="shared" ref="K643:K706" si="38">_xlfn.XLOOKUP(A643,V:V,U:U,"",0)</f>
        <v/>
      </c>
      <c r="L643" t="s">
        <v>16</v>
      </c>
      <c r="M643">
        <v>2</v>
      </c>
      <c r="T643">
        <f t="shared" ref="T643:T706" si="39">LEN(U643)</f>
        <v>20</v>
      </c>
      <c r="U643" t="s">
        <v>2574</v>
      </c>
      <c r="V643" s="4" t="s">
        <v>2566</v>
      </c>
      <c r="W643">
        <v>642</v>
      </c>
      <c r="Y643">
        <f t="shared" ref="Y643:Y706" si="40">LEN(O643)</f>
        <v>0</v>
      </c>
      <c r="Z643">
        <f t="shared" ref="Z643:Z706" si="41">LEN(P643)</f>
        <v>0</v>
      </c>
    </row>
    <row r="644" spans="1:26" x14ac:dyDescent="0.25">
      <c r="A644" s="4">
        <v>4012</v>
      </c>
      <c r="B644" t="s">
        <v>36</v>
      </c>
      <c r="C644">
        <v>1</v>
      </c>
      <c r="D644">
        <v>1</v>
      </c>
      <c r="E644">
        <v>5</v>
      </c>
      <c r="F644" t="s">
        <v>14</v>
      </c>
      <c r="G644">
        <v>10</v>
      </c>
      <c r="I644">
        <v>4</v>
      </c>
      <c r="J644" t="s">
        <v>29</v>
      </c>
      <c r="K644" t="str">
        <f t="shared" si="38"/>
        <v/>
      </c>
      <c r="L644" t="s">
        <v>16</v>
      </c>
      <c r="M644">
        <v>2</v>
      </c>
      <c r="T644">
        <f t="shared" si="39"/>
        <v>20</v>
      </c>
      <c r="U644" t="s">
        <v>2577</v>
      </c>
      <c r="V644" s="4" t="s">
        <v>2566</v>
      </c>
      <c r="W644">
        <v>643</v>
      </c>
      <c r="Y644">
        <f t="shared" si="40"/>
        <v>0</v>
      </c>
      <c r="Z644">
        <f t="shared" si="41"/>
        <v>0</v>
      </c>
    </row>
    <row r="645" spans="1:26" x14ac:dyDescent="0.25">
      <c r="A645" s="4">
        <v>4012</v>
      </c>
      <c r="B645" t="s">
        <v>36</v>
      </c>
      <c r="C645">
        <v>1</v>
      </c>
      <c r="D645">
        <v>1</v>
      </c>
      <c r="E645">
        <v>2</v>
      </c>
      <c r="F645" t="s">
        <v>14</v>
      </c>
      <c r="G645">
        <v>10</v>
      </c>
      <c r="I645">
        <v>4</v>
      </c>
      <c r="J645" t="s">
        <v>39</v>
      </c>
      <c r="K645" t="str">
        <f t="shared" si="38"/>
        <v/>
      </c>
      <c r="L645" t="s">
        <v>16</v>
      </c>
      <c r="M645">
        <v>2</v>
      </c>
      <c r="T645">
        <f t="shared" si="39"/>
        <v>20</v>
      </c>
      <c r="U645" t="s">
        <v>2580</v>
      </c>
      <c r="V645" s="4" t="s">
        <v>2566</v>
      </c>
      <c r="W645">
        <v>644</v>
      </c>
      <c r="Y645">
        <f t="shared" si="40"/>
        <v>0</v>
      </c>
      <c r="Z645">
        <f t="shared" si="41"/>
        <v>0</v>
      </c>
    </row>
    <row r="646" spans="1:26" x14ac:dyDescent="0.25">
      <c r="A646" s="4">
        <v>4012</v>
      </c>
      <c r="B646" t="s">
        <v>36</v>
      </c>
      <c r="C646">
        <v>1</v>
      </c>
      <c r="D646">
        <v>1</v>
      </c>
      <c r="E646">
        <v>3</v>
      </c>
      <c r="F646" t="s">
        <v>14</v>
      </c>
      <c r="G646">
        <v>10</v>
      </c>
      <c r="I646">
        <v>4</v>
      </c>
      <c r="J646" t="s">
        <v>39</v>
      </c>
      <c r="K646" t="str">
        <f t="shared" si="38"/>
        <v/>
      </c>
      <c r="L646" t="s">
        <v>16</v>
      </c>
      <c r="M646">
        <v>2</v>
      </c>
      <c r="T646">
        <f t="shared" si="39"/>
        <v>20</v>
      </c>
      <c r="U646" t="s">
        <v>2587</v>
      </c>
      <c r="V646" s="4" t="s">
        <v>2566</v>
      </c>
      <c r="W646">
        <v>645</v>
      </c>
      <c r="Y646">
        <f t="shared" si="40"/>
        <v>0</v>
      </c>
      <c r="Z646">
        <f t="shared" si="41"/>
        <v>0</v>
      </c>
    </row>
    <row r="647" spans="1:26" x14ac:dyDescent="0.25">
      <c r="A647" s="4">
        <v>4012</v>
      </c>
      <c r="B647" t="s">
        <v>36</v>
      </c>
      <c r="C647">
        <v>1</v>
      </c>
      <c r="D647">
        <v>1</v>
      </c>
      <c r="E647">
        <v>4</v>
      </c>
      <c r="F647" t="s">
        <v>14</v>
      </c>
      <c r="G647">
        <v>10</v>
      </c>
      <c r="I647">
        <v>4</v>
      </c>
      <c r="J647" t="s">
        <v>39</v>
      </c>
      <c r="K647" t="str">
        <f t="shared" si="38"/>
        <v/>
      </c>
      <c r="L647" t="s">
        <v>16</v>
      </c>
      <c r="M647">
        <v>2</v>
      </c>
      <c r="T647">
        <f t="shared" si="39"/>
        <v>20</v>
      </c>
      <c r="U647" t="s">
        <v>2590</v>
      </c>
      <c r="V647" s="4" t="s">
        <v>2566</v>
      </c>
      <c r="W647">
        <v>646</v>
      </c>
      <c r="Y647">
        <f t="shared" si="40"/>
        <v>0</v>
      </c>
      <c r="Z647">
        <f t="shared" si="41"/>
        <v>0</v>
      </c>
    </row>
    <row r="648" spans="1:26" x14ac:dyDescent="0.25">
      <c r="A648" s="4">
        <v>4012</v>
      </c>
      <c r="B648" t="s">
        <v>36</v>
      </c>
      <c r="C648">
        <v>1</v>
      </c>
      <c r="D648">
        <v>1</v>
      </c>
      <c r="E648">
        <v>5</v>
      </c>
      <c r="F648" t="s">
        <v>14</v>
      </c>
      <c r="G648">
        <v>10</v>
      </c>
      <c r="I648">
        <v>4</v>
      </c>
      <c r="J648" t="s">
        <v>39</v>
      </c>
      <c r="K648" t="str">
        <f t="shared" si="38"/>
        <v/>
      </c>
      <c r="L648" t="s">
        <v>16</v>
      </c>
      <c r="M648">
        <v>2</v>
      </c>
      <c r="T648">
        <f t="shared" si="39"/>
        <v>20</v>
      </c>
      <c r="U648" t="s">
        <v>2592</v>
      </c>
      <c r="V648" s="4" t="s">
        <v>2566</v>
      </c>
      <c r="W648">
        <v>647</v>
      </c>
      <c r="Y648">
        <f t="shared" si="40"/>
        <v>0</v>
      </c>
      <c r="Z648">
        <f t="shared" si="41"/>
        <v>0</v>
      </c>
    </row>
    <row r="649" spans="1:26" x14ac:dyDescent="0.25">
      <c r="A649" s="4">
        <v>1001</v>
      </c>
      <c r="B649" t="s">
        <v>22</v>
      </c>
      <c r="C649">
        <v>2</v>
      </c>
      <c r="D649">
        <v>1</v>
      </c>
      <c r="E649">
        <v>24</v>
      </c>
      <c r="F649" t="s">
        <v>23</v>
      </c>
      <c r="G649">
        <v>4.5999999999999996</v>
      </c>
      <c r="I649">
        <v>4</v>
      </c>
      <c r="J649" t="s">
        <v>15</v>
      </c>
      <c r="K649" t="str">
        <f t="shared" si="38"/>
        <v/>
      </c>
      <c r="L649" t="s">
        <v>16</v>
      </c>
      <c r="M649">
        <v>4</v>
      </c>
      <c r="T649">
        <f t="shared" si="39"/>
        <v>20</v>
      </c>
      <c r="U649" t="s">
        <v>2594</v>
      </c>
      <c r="V649" s="4" t="s">
        <v>2595</v>
      </c>
      <c r="W649">
        <v>648</v>
      </c>
      <c r="Y649">
        <f t="shared" si="40"/>
        <v>0</v>
      </c>
      <c r="Z649">
        <f t="shared" si="41"/>
        <v>0</v>
      </c>
    </row>
    <row r="650" spans="1:26" x14ac:dyDescent="0.25">
      <c r="A650" s="4">
        <v>1001</v>
      </c>
      <c r="B650" t="s">
        <v>22</v>
      </c>
      <c r="C650">
        <v>2</v>
      </c>
      <c r="D650">
        <v>1</v>
      </c>
      <c r="E650">
        <v>18</v>
      </c>
      <c r="F650" t="s">
        <v>23</v>
      </c>
      <c r="G650">
        <v>4.5999999999999996</v>
      </c>
      <c r="I650">
        <v>4</v>
      </c>
      <c r="J650" t="s">
        <v>15</v>
      </c>
      <c r="K650" t="str">
        <f t="shared" si="38"/>
        <v/>
      </c>
      <c r="L650" t="s">
        <v>16</v>
      </c>
      <c r="M650">
        <v>4</v>
      </c>
      <c r="T650">
        <f t="shared" si="39"/>
        <v>20</v>
      </c>
      <c r="U650" t="s">
        <v>2598</v>
      </c>
      <c r="V650" s="4" t="s">
        <v>2595</v>
      </c>
      <c r="W650">
        <v>649</v>
      </c>
      <c r="Y650">
        <f t="shared" si="40"/>
        <v>0</v>
      </c>
      <c r="Z650">
        <f t="shared" si="41"/>
        <v>0</v>
      </c>
    </row>
    <row r="651" spans="1:26" x14ac:dyDescent="0.25">
      <c r="A651" s="4">
        <v>1001</v>
      </c>
      <c r="B651" t="s">
        <v>22</v>
      </c>
      <c r="C651">
        <v>2</v>
      </c>
      <c r="D651">
        <v>1</v>
      </c>
      <c r="E651">
        <v>12</v>
      </c>
      <c r="F651" t="s">
        <v>23</v>
      </c>
      <c r="G651">
        <v>4.5999999999999996</v>
      </c>
      <c r="I651">
        <v>4</v>
      </c>
      <c r="J651" t="s">
        <v>15</v>
      </c>
      <c r="K651" t="str">
        <f t="shared" si="38"/>
        <v/>
      </c>
      <c r="L651" t="s">
        <v>16</v>
      </c>
      <c r="M651">
        <v>4</v>
      </c>
      <c r="T651">
        <f t="shared" si="39"/>
        <v>20</v>
      </c>
      <c r="U651" t="s">
        <v>2600</v>
      </c>
      <c r="V651" s="4" t="s">
        <v>2595</v>
      </c>
      <c r="W651">
        <v>650</v>
      </c>
      <c r="Y651">
        <f t="shared" si="40"/>
        <v>0</v>
      </c>
      <c r="Z651">
        <f t="shared" si="41"/>
        <v>0</v>
      </c>
    </row>
    <row r="652" spans="1:26" x14ac:dyDescent="0.25">
      <c r="A652" s="4">
        <v>1001</v>
      </c>
      <c r="B652" t="s">
        <v>22</v>
      </c>
      <c r="C652">
        <v>2</v>
      </c>
      <c r="D652">
        <v>1</v>
      </c>
      <c r="E652">
        <v>6</v>
      </c>
      <c r="F652" t="s">
        <v>23</v>
      </c>
      <c r="G652">
        <v>4.5999999999999996</v>
      </c>
      <c r="I652">
        <v>4</v>
      </c>
      <c r="J652" t="s">
        <v>15</v>
      </c>
      <c r="K652" t="str">
        <f t="shared" si="38"/>
        <v/>
      </c>
      <c r="L652" t="s">
        <v>16</v>
      </c>
      <c r="M652">
        <v>4</v>
      </c>
      <c r="T652">
        <f t="shared" si="39"/>
        <v>20</v>
      </c>
      <c r="U652" t="s">
        <v>2602</v>
      </c>
      <c r="V652" s="4" t="s">
        <v>2595</v>
      </c>
      <c r="W652">
        <v>651</v>
      </c>
      <c r="Y652">
        <f t="shared" si="40"/>
        <v>0</v>
      </c>
      <c r="Z652">
        <f t="shared" si="41"/>
        <v>0</v>
      </c>
    </row>
    <row r="653" spans="1:26" x14ac:dyDescent="0.25">
      <c r="A653" s="4">
        <v>1001</v>
      </c>
      <c r="B653" t="s">
        <v>22</v>
      </c>
      <c r="C653">
        <v>2</v>
      </c>
      <c r="D653">
        <v>1</v>
      </c>
      <c r="E653">
        <v>24</v>
      </c>
      <c r="F653" t="s">
        <v>23</v>
      </c>
      <c r="G653">
        <v>4.5999999999999996</v>
      </c>
      <c r="I653">
        <v>4</v>
      </c>
      <c r="J653" t="s">
        <v>18</v>
      </c>
      <c r="K653" t="str">
        <f t="shared" si="38"/>
        <v/>
      </c>
      <c r="L653" t="s">
        <v>16</v>
      </c>
      <c r="M653">
        <v>5</v>
      </c>
      <c r="T653">
        <f t="shared" si="39"/>
        <v>20</v>
      </c>
      <c r="U653" t="s">
        <v>2604</v>
      </c>
      <c r="V653" s="4" t="s">
        <v>2605</v>
      </c>
      <c r="W653">
        <v>652</v>
      </c>
      <c r="Y653">
        <f t="shared" si="40"/>
        <v>0</v>
      </c>
      <c r="Z653">
        <f t="shared" si="41"/>
        <v>0</v>
      </c>
    </row>
    <row r="654" spans="1:26" x14ac:dyDescent="0.25">
      <c r="A654" s="4">
        <v>1001</v>
      </c>
      <c r="B654" t="s">
        <v>22</v>
      </c>
      <c r="C654">
        <v>2</v>
      </c>
      <c r="D654">
        <v>1</v>
      </c>
      <c r="E654">
        <v>18</v>
      </c>
      <c r="F654" t="s">
        <v>23</v>
      </c>
      <c r="G654">
        <v>4.5999999999999996</v>
      </c>
      <c r="I654">
        <v>4</v>
      </c>
      <c r="J654" t="s">
        <v>18</v>
      </c>
      <c r="K654" t="str">
        <f t="shared" si="38"/>
        <v/>
      </c>
      <c r="L654" t="s">
        <v>16</v>
      </c>
      <c r="M654">
        <v>5</v>
      </c>
      <c r="T654">
        <f t="shared" si="39"/>
        <v>20</v>
      </c>
      <c r="U654" t="s">
        <v>2607</v>
      </c>
      <c r="V654" s="4" t="s">
        <v>2605</v>
      </c>
      <c r="W654">
        <v>653</v>
      </c>
      <c r="Y654">
        <f t="shared" si="40"/>
        <v>0</v>
      </c>
      <c r="Z654">
        <f t="shared" si="41"/>
        <v>0</v>
      </c>
    </row>
    <row r="655" spans="1:26" x14ac:dyDescent="0.25">
      <c r="A655" s="4">
        <v>1001</v>
      </c>
      <c r="B655" t="s">
        <v>22</v>
      </c>
      <c r="C655">
        <v>2</v>
      </c>
      <c r="D655">
        <v>1</v>
      </c>
      <c r="E655">
        <v>12</v>
      </c>
      <c r="F655" t="s">
        <v>23</v>
      </c>
      <c r="G655">
        <v>4.5999999999999996</v>
      </c>
      <c r="I655">
        <v>4</v>
      </c>
      <c r="J655" t="s">
        <v>18</v>
      </c>
      <c r="K655" t="str">
        <f t="shared" si="38"/>
        <v/>
      </c>
      <c r="L655" t="s">
        <v>16</v>
      </c>
      <c r="M655">
        <v>5</v>
      </c>
      <c r="T655">
        <f t="shared" si="39"/>
        <v>20</v>
      </c>
      <c r="U655" t="s">
        <v>2609</v>
      </c>
      <c r="V655" s="4" t="s">
        <v>2605</v>
      </c>
      <c r="W655">
        <v>654</v>
      </c>
      <c r="Y655">
        <f t="shared" si="40"/>
        <v>0</v>
      </c>
      <c r="Z655">
        <f t="shared" si="41"/>
        <v>0</v>
      </c>
    </row>
    <row r="656" spans="1:26" x14ac:dyDescent="0.25">
      <c r="A656" s="4">
        <v>1001</v>
      </c>
      <c r="B656" t="s">
        <v>22</v>
      </c>
      <c r="C656">
        <v>2</v>
      </c>
      <c r="D656">
        <v>1</v>
      </c>
      <c r="E656">
        <v>6</v>
      </c>
      <c r="F656" t="s">
        <v>23</v>
      </c>
      <c r="G656">
        <v>4.5999999999999996</v>
      </c>
      <c r="I656">
        <v>4</v>
      </c>
      <c r="J656" t="s">
        <v>18</v>
      </c>
      <c r="K656" t="str">
        <f t="shared" si="38"/>
        <v/>
      </c>
      <c r="L656" t="s">
        <v>16</v>
      </c>
      <c r="M656">
        <v>5</v>
      </c>
      <c r="T656">
        <f t="shared" si="39"/>
        <v>20</v>
      </c>
      <c r="U656" t="s">
        <v>2611</v>
      </c>
      <c r="V656" s="4" t="s">
        <v>2605</v>
      </c>
      <c r="W656">
        <v>655</v>
      </c>
      <c r="Y656">
        <f t="shared" si="40"/>
        <v>0</v>
      </c>
      <c r="Z656">
        <f t="shared" si="41"/>
        <v>0</v>
      </c>
    </row>
    <row r="657" spans="1:26" x14ac:dyDescent="0.25">
      <c r="A657" s="4">
        <v>1001</v>
      </c>
      <c r="B657" t="s">
        <v>22</v>
      </c>
      <c r="C657">
        <v>2</v>
      </c>
      <c r="D657">
        <v>1</v>
      </c>
      <c r="E657">
        <v>5</v>
      </c>
      <c r="F657" t="s">
        <v>14</v>
      </c>
      <c r="G657">
        <v>5</v>
      </c>
      <c r="I657">
        <v>4</v>
      </c>
      <c r="J657" t="s">
        <v>15</v>
      </c>
      <c r="K657" t="str">
        <f t="shared" si="38"/>
        <v/>
      </c>
      <c r="L657" t="s">
        <v>16</v>
      </c>
      <c r="M657">
        <v>3</v>
      </c>
      <c r="T657">
        <f t="shared" si="39"/>
        <v>20</v>
      </c>
      <c r="U657" t="s">
        <v>2613</v>
      </c>
      <c r="V657" s="4" t="s">
        <v>2614</v>
      </c>
      <c r="W657">
        <v>656</v>
      </c>
      <c r="Y657">
        <f t="shared" si="40"/>
        <v>0</v>
      </c>
      <c r="Z657">
        <f t="shared" si="41"/>
        <v>0</v>
      </c>
    </row>
    <row r="658" spans="1:26" x14ac:dyDescent="0.25">
      <c r="A658" s="4">
        <v>1001</v>
      </c>
      <c r="B658" t="s">
        <v>22</v>
      </c>
      <c r="C658">
        <v>2</v>
      </c>
      <c r="D658">
        <v>1</v>
      </c>
      <c r="E658">
        <v>4</v>
      </c>
      <c r="F658" t="s">
        <v>14</v>
      </c>
      <c r="G658">
        <v>5</v>
      </c>
      <c r="I658">
        <v>4</v>
      </c>
      <c r="J658" t="s">
        <v>15</v>
      </c>
      <c r="K658" t="str">
        <f t="shared" si="38"/>
        <v/>
      </c>
      <c r="L658" t="s">
        <v>16</v>
      </c>
      <c r="M658">
        <v>3</v>
      </c>
      <c r="T658">
        <f t="shared" si="39"/>
        <v>20</v>
      </c>
      <c r="U658" t="s">
        <v>2619</v>
      </c>
      <c r="V658" s="4" t="s">
        <v>2614</v>
      </c>
      <c r="W658">
        <v>657</v>
      </c>
      <c r="Y658">
        <f t="shared" si="40"/>
        <v>0</v>
      </c>
      <c r="Z658">
        <f t="shared" si="41"/>
        <v>0</v>
      </c>
    </row>
    <row r="659" spans="1:26" x14ac:dyDescent="0.25">
      <c r="A659" s="4">
        <v>1001</v>
      </c>
      <c r="B659" t="s">
        <v>22</v>
      </c>
      <c r="C659">
        <v>2</v>
      </c>
      <c r="D659">
        <v>1</v>
      </c>
      <c r="E659">
        <v>3</v>
      </c>
      <c r="F659" t="s">
        <v>14</v>
      </c>
      <c r="G659">
        <v>5</v>
      </c>
      <c r="I659">
        <v>4</v>
      </c>
      <c r="J659" t="s">
        <v>15</v>
      </c>
      <c r="K659" t="str">
        <f t="shared" si="38"/>
        <v/>
      </c>
      <c r="L659" t="s">
        <v>16</v>
      </c>
      <c r="M659">
        <v>3</v>
      </c>
      <c r="T659">
        <f t="shared" si="39"/>
        <v>20</v>
      </c>
      <c r="U659" t="s">
        <v>2621</v>
      </c>
      <c r="V659" s="4" t="s">
        <v>2614</v>
      </c>
      <c r="W659">
        <v>658</v>
      </c>
      <c r="Y659">
        <f t="shared" si="40"/>
        <v>0</v>
      </c>
      <c r="Z659">
        <f t="shared" si="41"/>
        <v>0</v>
      </c>
    </row>
    <row r="660" spans="1:26" x14ac:dyDescent="0.25">
      <c r="A660" s="4">
        <v>1001</v>
      </c>
      <c r="B660" t="s">
        <v>22</v>
      </c>
      <c r="C660">
        <v>2</v>
      </c>
      <c r="D660">
        <v>1</v>
      </c>
      <c r="E660">
        <v>2</v>
      </c>
      <c r="F660" t="s">
        <v>14</v>
      </c>
      <c r="G660">
        <v>5</v>
      </c>
      <c r="I660">
        <v>4</v>
      </c>
      <c r="J660" t="s">
        <v>15</v>
      </c>
      <c r="K660" t="str">
        <f t="shared" si="38"/>
        <v/>
      </c>
      <c r="L660" t="s">
        <v>16</v>
      </c>
      <c r="M660">
        <v>3</v>
      </c>
      <c r="T660">
        <f t="shared" si="39"/>
        <v>20</v>
      </c>
      <c r="U660" t="s">
        <v>2623</v>
      </c>
      <c r="V660" s="4" t="s">
        <v>2614</v>
      </c>
      <c r="W660">
        <v>659</v>
      </c>
      <c r="Y660">
        <f t="shared" si="40"/>
        <v>0</v>
      </c>
      <c r="Z660">
        <f t="shared" si="41"/>
        <v>0</v>
      </c>
    </row>
    <row r="661" spans="1:26" x14ac:dyDescent="0.25">
      <c r="A661" s="4">
        <v>1001</v>
      </c>
      <c r="B661" t="s">
        <v>22</v>
      </c>
      <c r="C661">
        <v>2</v>
      </c>
      <c r="D661">
        <v>1</v>
      </c>
      <c r="E661">
        <v>5</v>
      </c>
      <c r="F661" t="s">
        <v>14</v>
      </c>
      <c r="G661">
        <v>5</v>
      </c>
      <c r="I661">
        <v>4</v>
      </c>
      <c r="J661" t="s">
        <v>18</v>
      </c>
      <c r="K661" t="str">
        <f t="shared" si="38"/>
        <v/>
      </c>
      <c r="L661" t="s">
        <v>16</v>
      </c>
      <c r="M661">
        <v>3</v>
      </c>
      <c r="T661">
        <f t="shared" si="39"/>
        <v>20</v>
      </c>
      <c r="U661" t="s">
        <v>2625</v>
      </c>
      <c r="V661" s="4" t="s">
        <v>2626</v>
      </c>
      <c r="W661">
        <v>660</v>
      </c>
      <c r="Y661">
        <f t="shared" si="40"/>
        <v>0</v>
      </c>
      <c r="Z661">
        <f t="shared" si="41"/>
        <v>0</v>
      </c>
    </row>
    <row r="662" spans="1:26" x14ac:dyDescent="0.25">
      <c r="A662" s="4">
        <v>1001</v>
      </c>
      <c r="B662" t="s">
        <v>22</v>
      </c>
      <c r="C662">
        <v>2</v>
      </c>
      <c r="D662">
        <v>1</v>
      </c>
      <c r="E662">
        <v>4</v>
      </c>
      <c r="F662" t="s">
        <v>14</v>
      </c>
      <c r="G662">
        <v>5</v>
      </c>
      <c r="I662">
        <v>4</v>
      </c>
      <c r="J662" t="s">
        <v>18</v>
      </c>
      <c r="K662" t="str">
        <f t="shared" si="38"/>
        <v/>
      </c>
      <c r="L662" t="s">
        <v>16</v>
      </c>
      <c r="M662">
        <v>3</v>
      </c>
      <c r="T662">
        <f t="shared" si="39"/>
        <v>20</v>
      </c>
      <c r="U662" t="s">
        <v>2630</v>
      </c>
      <c r="V662" s="4" t="s">
        <v>2626</v>
      </c>
      <c r="W662">
        <v>661</v>
      </c>
      <c r="Y662">
        <f t="shared" si="40"/>
        <v>0</v>
      </c>
      <c r="Z662">
        <f t="shared" si="41"/>
        <v>0</v>
      </c>
    </row>
    <row r="663" spans="1:26" x14ac:dyDescent="0.25">
      <c r="A663" s="4">
        <v>1001</v>
      </c>
      <c r="B663" t="s">
        <v>22</v>
      </c>
      <c r="C663">
        <v>2</v>
      </c>
      <c r="D663">
        <v>1</v>
      </c>
      <c r="E663">
        <v>3</v>
      </c>
      <c r="F663" t="s">
        <v>14</v>
      </c>
      <c r="G663">
        <v>5</v>
      </c>
      <c r="I663">
        <v>4</v>
      </c>
      <c r="J663" t="s">
        <v>18</v>
      </c>
      <c r="K663" t="str">
        <f t="shared" si="38"/>
        <v/>
      </c>
      <c r="L663" t="s">
        <v>16</v>
      </c>
      <c r="M663">
        <v>3</v>
      </c>
      <c r="T663">
        <f t="shared" si="39"/>
        <v>20</v>
      </c>
      <c r="U663" t="s">
        <v>2633</v>
      </c>
      <c r="V663" s="4" t="s">
        <v>2626</v>
      </c>
      <c r="W663">
        <v>662</v>
      </c>
      <c r="Y663">
        <f t="shared" si="40"/>
        <v>0</v>
      </c>
      <c r="Z663">
        <f t="shared" si="41"/>
        <v>0</v>
      </c>
    </row>
    <row r="664" spans="1:26" x14ac:dyDescent="0.25">
      <c r="A664" s="4">
        <v>1001</v>
      </c>
      <c r="B664" t="s">
        <v>22</v>
      </c>
      <c r="C664">
        <v>2</v>
      </c>
      <c r="D664">
        <v>1</v>
      </c>
      <c r="E664">
        <v>2</v>
      </c>
      <c r="F664" t="s">
        <v>14</v>
      </c>
      <c r="G664">
        <v>5</v>
      </c>
      <c r="I664">
        <v>4</v>
      </c>
      <c r="J664" t="s">
        <v>18</v>
      </c>
      <c r="K664" t="str">
        <f t="shared" si="38"/>
        <v/>
      </c>
      <c r="L664" t="s">
        <v>16</v>
      </c>
      <c r="M664">
        <v>3</v>
      </c>
      <c r="T664">
        <f t="shared" si="39"/>
        <v>20</v>
      </c>
      <c r="U664" t="s">
        <v>2635</v>
      </c>
      <c r="V664" s="4" t="s">
        <v>2626</v>
      </c>
      <c r="W664">
        <v>663</v>
      </c>
      <c r="Y664">
        <f t="shared" si="40"/>
        <v>0</v>
      </c>
      <c r="Z664">
        <f t="shared" si="41"/>
        <v>0</v>
      </c>
    </row>
    <row r="665" spans="1:26" x14ac:dyDescent="0.25">
      <c r="A665" s="4">
        <v>1065</v>
      </c>
      <c r="B665" t="s">
        <v>13</v>
      </c>
      <c r="C665">
        <v>2</v>
      </c>
      <c r="D665">
        <v>1</v>
      </c>
      <c r="E665">
        <v>8</v>
      </c>
      <c r="F665" t="s">
        <v>14</v>
      </c>
      <c r="G665">
        <v>5</v>
      </c>
      <c r="I665">
        <v>4</v>
      </c>
      <c r="J665" t="s">
        <v>17</v>
      </c>
      <c r="K665" t="str">
        <f t="shared" si="38"/>
        <v/>
      </c>
      <c r="L665" t="s">
        <v>16</v>
      </c>
      <c r="M665">
        <v>3</v>
      </c>
      <c r="T665">
        <f t="shared" si="39"/>
        <v>20</v>
      </c>
      <c r="U665" t="s">
        <v>2638</v>
      </c>
      <c r="V665" s="4" t="s">
        <v>2639</v>
      </c>
      <c r="W665">
        <v>664</v>
      </c>
      <c r="Y665">
        <f t="shared" si="40"/>
        <v>0</v>
      </c>
      <c r="Z665">
        <f t="shared" si="41"/>
        <v>0</v>
      </c>
    </row>
    <row r="666" spans="1:26" x14ac:dyDescent="0.25">
      <c r="A666" s="4">
        <v>1065</v>
      </c>
      <c r="B666" t="s">
        <v>13</v>
      </c>
      <c r="C666">
        <v>2</v>
      </c>
      <c r="D666">
        <v>1</v>
      </c>
      <c r="E666">
        <v>7</v>
      </c>
      <c r="F666" t="s">
        <v>14</v>
      </c>
      <c r="G666">
        <v>5</v>
      </c>
      <c r="I666">
        <v>4</v>
      </c>
      <c r="J666" t="s">
        <v>17</v>
      </c>
      <c r="K666" t="str">
        <f t="shared" si="38"/>
        <v/>
      </c>
      <c r="L666" t="s">
        <v>16</v>
      </c>
      <c r="M666">
        <v>3</v>
      </c>
      <c r="T666">
        <f t="shared" si="39"/>
        <v>20</v>
      </c>
      <c r="U666" t="s">
        <v>2644</v>
      </c>
      <c r="V666" s="4" t="s">
        <v>2639</v>
      </c>
      <c r="W666">
        <v>665</v>
      </c>
      <c r="Y666">
        <f t="shared" si="40"/>
        <v>0</v>
      </c>
      <c r="Z666">
        <f t="shared" si="41"/>
        <v>0</v>
      </c>
    </row>
    <row r="667" spans="1:26" x14ac:dyDescent="0.25">
      <c r="A667" s="4">
        <v>1065</v>
      </c>
      <c r="B667" t="s">
        <v>13</v>
      </c>
      <c r="C667">
        <v>2</v>
      </c>
      <c r="D667">
        <v>1</v>
      </c>
      <c r="E667">
        <v>6</v>
      </c>
      <c r="F667" t="s">
        <v>14</v>
      </c>
      <c r="G667">
        <v>5</v>
      </c>
      <c r="I667">
        <v>4</v>
      </c>
      <c r="J667" t="s">
        <v>17</v>
      </c>
      <c r="K667" t="str">
        <f t="shared" si="38"/>
        <v/>
      </c>
      <c r="L667" t="s">
        <v>16</v>
      </c>
      <c r="M667">
        <v>3</v>
      </c>
      <c r="T667">
        <f t="shared" si="39"/>
        <v>20</v>
      </c>
      <c r="U667" t="s">
        <v>2647</v>
      </c>
      <c r="V667" s="4" t="s">
        <v>2639</v>
      </c>
      <c r="W667">
        <v>666</v>
      </c>
      <c r="Y667">
        <f t="shared" si="40"/>
        <v>0</v>
      </c>
      <c r="Z667">
        <f t="shared" si="41"/>
        <v>0</v>
      </c>
    </row>
    <row r="668" spans="1:26" x14ac:dyDescent="0.25">
      <c r="A668" s="4">
        <v>1065</v>
      </c>
      <c r="B668" t="s">
        <v>13</v>
      </c>
      <c r="C668">
        <v>2</v>
      </c>
      <c r="D668">
        <v>1</v>
      </c>
      <c r="E668">
        <v>5</v>
      </c>
      <c r="F668" t="s">
        <v>14</v>
      </c>
      <c r="G668">
        <v>5</v>
      </c>
      <c r="I668">
        <v>4</v>
      </c>
      <c r="J668" t="s">
        <v>17</v>
      </c>
      <c r="K668" t="str">
        <f t="shared" si="38"/>
        <v/>
      </c>
      <c r="L668" t="s">
        <v>16</v>
      </c>
      <c r="M668">
        <v>3</v>
      </c>
      <c r="T668">
        <f t="shared" si="39"/>
        <v>20</v>
      </c>
      <c r="U668" t="s">
        <v>2650</v>
      </c>
      <c r="V668" s="4" t="s">
        <v>2639</v>
      </c>
      <c r="W668">
        <v>667</v>
      </c>
      <c r="Y668">
        <f t="shared" si="40"/>
        <v>0</v>
      </c>
      <c r="Z668">
        <f t="shared" si="41"/>
        <v>0</v>
      </c>
    </row>
    <row r="669" spans="1:26" x14ac:dyDescent="0.25">
      <c r="A669" s="4">
        <v>1065</v>
      </c>
      <c r="B669" t="s">
        <v>13</v>
      </c>
      <c r="C669">
        <v>2</v>
      </c>
      <c r="D669">
        <v>1</v>
      </c>
      <c r="E669">
        <v>8</v>
      </c>
      <c r="F669" t="s">
        <v>14</v>
      </c>
      <c r="G669">
        <v>5</v>
      </c>
      <c r="I669">
        <v>4</v>
      </c>
      <c r="J669" t="s">
        <v>20</v>
      </c>
      <c r="K669" t="str">
        <f t="shared" si="38"/>
        <v/>
      </c>
      <c r="L669" t="s">
        <v>16</v>
      </c>
      <c r="M669">
        <v>2</v>
      </c>
      <c r="T669">
        <f t="shared" si="39"/>
        <v>20</v>
      </c>
      <c r="U669" t="s">
        <v>2654</v>
      </c>
      <c r="V669" s="4" t="s">
        <v>2655</v>
      </c>
      <c r="W669">
        <v>668</v>
      </c>
      <c r="Y669">
        <f t="shared" si="40"/>
        <v>0</v>
      </c>
      <c r="Z669">
        <f t="shared" si="41"/>
        <v>0</v>
      </c>
    </row>
    <row r="670" spans="1:26" x14ac:dyDescent="0.25">
      <c r="A670" s="4">
        <v>1065</v>
      </c>
      <c r="B670" t="s">
        <v>13</v>
      </c>
      <c r="C670">
        <v>2</v>
      </c>
      <c r="D670">
        <v>1</v>
      </c>
      <c r="E670">
        <v>7</v>
      </c>
      <c r="F670" t="s">
        <v>14</v>
      </c>
      <c r="G670">
        <v>5</v>
      </c>
      <c r="I670">
        <v>4</v>
      </c>
      <c r="J670" t="s">
        <v>20</v>
      </c>
      <c r="K670" t="str">
        <f t="shared" si="38"/>
        <v/>
      </c>
      <c r="L670" t="s">
        <v>16</v>
      </c>
      <c r="M670">
        <v>2</v>
      </c>
      <c r="T670">
        <f t="shared" si="39"/>
        <v>20</v>
      </c>
      <c r="U670" t="s">
        <v>2658</v>
      </c>
      <c r="V670" s="4" t="s">
        <v>2655</v>
      </c>
      <c r="W670">
        <v>669</v>
      </c>
      <c r="Y670">
        <f t="shared" si="40"/>
        <v>0</v>
      </c>
      <c r="Z670">
        <f t="shared" si="41"/>
        <v>0</v>
      </c>
    </row>
    <row r="671" spans="1:26" x14ac:dyDescent="0.25">
      <c r="A671" s="4">
        <v>1065</v>
      </c>
      <c r="B671" t="s">
        <v>13</v>
      </c>
      <c r="C671">
        <v>2</v>
      </c>
      <c r="D671">
        <v>1</v>
      </c>
      <c r="E671">
        <v>6</v>
      </c>
      <c r="F671" t="s">
        <v>14</v>
      </c>
      <c r="G671">
        <v>5</v>
      </c>
      <c r="I671">
        <v>4</v>
      </c>
      <c r="J671" t="s">
        <v>20</v>
      </c>
      <c r="K671" t="str">
        <f t="shared" si="38"/>
        <v/>
      </c>
      <c r="L671" t="s">
        <v>16</v>
      </c>
      <c r="M671">
        <v>2</v>
      </c>
      <c r="T671">
        <f t="shared" si="39"/>
        <v>20</v>
      </c>
      <c r="U671" t="s">
        <v>2660</v>
      </c>
      <c r="V671" s="4" t="s">
        <v>2655</v>
      </c>
      <c r="W671">
        <v>670</v>
      </c>
      <c r="Y671">
        <f t="shared" si="40"/>
        <v>0</v>
      </c>
      <c r="Z671">
        <f t="shared" si="41"/>
        <v>0</v>
      </c>
    </row>
    <row r="672" spans="1:26" x14ac:dyDescent="0.25">
      <c r="A672" s="4">
        <v>1065</v>
      </c>
      <c r="B672" t="s">
        <v>13</v>
      </c>
      <c r="C672">
        <v>2</v>
      </c>
      <c r="D672">
        <v>1</v>
      </c>
      <c r="E672">
        <v>5</v>
      </c>
      <c r="F672" t="s">
        <v>14</v>
      </c>
      <c r="G672">
        <v>5</v>
      </c>
      <c r="I672">
        <v>4</v>
      </c>
      <c r="J672" t="s">
        <v>20</v>
      </c>
      <c r="K672" t="str">
        <f t="shared" si="38"/>
        <v/>
      </c>
      <c r="L672" t="s">
        <v>16</v>
      </c>
      <c r="M672">
        <v>2</v>
      </c>
      <c r="T672">
        <f t="shared" si="39"/>
        <v>20</v>
      </c>
      <c r="U672" t="s">
        <v>2661</v>
      </c>
      <c r="V672" s="4" t="s">
        <v>2662</v>
      </c>
      <c r="W672">
        <v>671</v>
      </c>
      <c r="Y672">
        <f t="shared" si="40"/>
        <v>0</v>
      </c>
      <c r="Z672">
        <f t="shared" si="41"/>
        <v>0</v>
      </c>
    </row>
    <row r="673" spans="1:26" x14ac:dyDescent="0.25">
      <c r="A673" s="4">
        <v>1065</v>
      </c>
      <c r="B673" t="s">
        <v>13</v>
      </c>
      <c r="C673">
        <v>2</v>
      </c>
      <c r="D673">
        <v>1</v>
      </c>
      <c r="E673">
        <v>8</v>
      </c>
      <c r="F673" t="s">
        <v>14</v>
      </c>
      <c r="G673">
        <v>5</v>
      </c>
      <c r="I673">
        <v>4</v>
      </c>
      <c r="J673" t="s">
        <v>15</v>
      </c>
      <c r="K673" t="str">
        <f t="shared" si="38"/>
        <v/>
      </c>
      <c r="L673" t="s">
        <v>16</v>
      </c>
      <c r="M673">
        <v>2</v>
      </c>
      <c r="T673">
        <f t="shared" si="39"/>
        <v>20</v>
      </c>
      <c r="U673" t="s">
        <v>2666</v>
      </c>
      <c r="V673" s="4" t="s">
        <v>2662</v>
      </c>
      <c r="W673">
        <v>672</v>
      </c>
      <c r="Y673">
        <f t="shared" si="40"/>
        <v>0</v>
      </c>
      <c r="Z673">
        <f t="shared" si="41"/>
        <v>0</v>
      </c>
    </row>
    <row r="674" spans="1:26" x14ac:dyDescent="0.25">
      <c r="A674" s="4">
        <v>1065</v>
      </c>
      <c r="B674" t="s">
        <v>13</v>
      </c>
      <c r="C674">
        <v>2</v>
      </c>
      <c r="D674">
        <v>1</v>
      </c>
      <c r="E674">
        <v>7</v>
      </c>
      <c r="F674" t="s">
        <v>14</v>
      </c>
      <c r="G674">
        <v>5</v>
      </c>
      <c r="I674">
        <v>4</v>
      </c>
      <c r="J674" t="s">
        <v>15</v>
      </c>
      <c r="K674" t="str">
        <f t="shared" si="38"/>
        <v/>
      </c>
      <c r="L674" t="s">
        <v>16</v>
      </c>
      <c r="M674">
        <v>2</v>
      </c>
      <c r="T674">
        <f t="shared" si="39"/>
        <v>20</v>
      </c>
      <c r="U674" t="s">
        <v>2669</v>
      </c>
      <c r="V674" s="4" t="s">
        <v>2662</v>
      </c>
      <c r="W674">
        <v>673</v>
      </c>
      <c r="Y674">
        <f t="shared" si="40"/>
        <v>0</v>
      </c>
      <c r="Z674">
        <f t="shared" si="41"/>
        <v>0</v>
      </c>
    </row>
    <row r="675" spans="1:26" x14ac:dyDescent="0.25">
      <c r="A675" s="4">
        <v>1065</v>
      </c>
      <c r="B675" t="s">
        <v>13</v>
      </c>
      <c r="C675">
        <v>2</v>
      </c>
      <c r="D675">
        <v>1</v>
      </c>
      <c r="E675">
        <v>6</v>
      </c>
      <c r="F675" t="s">
        <v>14</v>
      </c>
      <c r="G675">
        <v>5</v>
      </c>
      <c r="I675">
        <v>4</v>
      </c>
      <c r="J675" t="s">
        <v>15</v>
      </c>
      <c r="K675" t="str">
        <f t="shared" si="38"/>
        <v/>
      </c>
      <c r="L675" t="s">
        <v>16</v>
      </c>
      <c r="M675">
        <v>2</v>
      </c>
      <c r="T675">
        <f t="shared" si="39"/>
        <v>20</v>
      </c>
      <c r="U675" t="s">
        <v>2670</v>
      </c>
      <c r="V675" s="4" t="s">
        <v>2662</v>
      </c>
      <c r="W675">
        <v>674</v>
      </c>
      <c r="Y675">
        <f t="shared" si="40"/>
        <v>0</v>
      </c>
      <c r="Z675">
        <f t="shared" si="41"/>
        <v>0</v>
      </c>
    </row>
    <row r="676" spans="1:26" x14ac:dyDescent="0.25">
      <c r="A676" s="4">
        <v>1065</v>
      </c>
      <c r="B676" t="s">
        <v>13</v>
      </c>
      <c r="C676">
        <v>2</v>
      </c>
      <c r="D676">
        <v>1</v>
      </c>
      <c r="E676">
        <v>5</v>
      </c>
      <c r="F676" t="s">
        <v>14</v>
      </c>
      <c r="G676">
        <v>5</v>
      </c>
      <c r="I676">
        <v>4</v>
      </c>
      <c r="J676" t="s">
        <v>15</v>
      </c>
      <c r="K676" t="str">
        <f t="shared" si="38"/>
        <v/>
      </c>
      <c r="L676" t="s">
        <v>16</v>
      </c>
      <c r="M676">
        <v>2</v>
      </c>
      <c r="T676">
        <f t="shared" si="39"/>
        <v>20</v>
      </c>
      <c r="U676" t="s">
        <v>2672</v>
      </c>
      <c r="V676" s="4" t="s">
        <v>2673</v>
      </c>
      <c r="W676">
        <v>675</v>
      </c>
      <c r="Y676">
        <f t="shared" si="40"/>
        <v>0</v>
      </c>
      <c r="Z676">
        <f t="shared" si="41"/>
        <v>0</v>
      </c>
    </row>
    <row r="677" spans="1:26" x14ac:dyDescent="0.25">
      <c r="A677" s="4">
        <v>1065</v>
      </c>
      <c r="B677" t="s">
        <v>13</v>
      </c>
      <c r="C677">
        <v>2</v>
      </c>
      <c r="D677">
        <v>1</v>
      </c>
      <c r="E677">
        <v>12</v>
      </c>
      <c r="F677" t="s">
        <v>14</v>
      </c>
      <c r="G677">
        <v>5.6</v>
      </c>
      <c r="I677">
        <v>4</v>
      </c>
      <c r="J677" t="s">
        <v>17</v>
      </c>
      <c r="K677" t="str">
        <f t="shared" si="38"/>
        <v/>
      </c>
      <c r="L677" t="s">
        <v>16</v>
      </c>
      <c r="M677">
        <v>4</v>
      </c>
      <c r="T677">
        <f t="shared" si="39"/>
        <v>20</v>
      </c>
      <c r="U677" t="s">
        <v>2676</v>
      </c>
      <c r="V677" s="4" t="s">
        <v>2673</v>
      </c>
      <c r="W677">
        <v>676</v>
      </c>
      <c r="Y677">
        <f t="shared" si="40"/>
        <v>0</v>
      </c>
      <c r="Z677">
        <f t="shared" si="41"/>
        <v>0</v>
      </c>
    </row>
    <row r="678" spans="1:26" x14ac:dyDescent="0.25">
      <c r="A678" s="4">
        <v>1065</v>
      </c>
      <c r="B678" t="s">
        <v>13</v>
      </c>
      <c r="C678">
        <v>2</v>
      </c>
      <c r="D678">
        <v>1</v>
      </c>
      <c r="E678">
        <v>11</v>
      </c>
      <c r="F678" t="s">
        <v>14</v>
      </c>
      <c r="G678">
        <v>5.6</v>
      </c>
      <c r="I678">
        <v>4</v>
      </c>
      <c r="J678" t="s">
        <v>17</v>
      </c>
      <c r="K678" t="str">
        <f t="shared" si="38"/>
        <v/>
      </c>
      <c r="L678" t="s">
        <v>16</v>
      </c>
      <c r="M678">
        <v>4</v>
      </c>
      <c r="T678">
        <f t="shared" si="39"/>
        <v>20</v>
      </c>
      <c r="U678" t="s">
        <v>2677</v>
      </c>
      <c r="V678" s="4" t="s">
        <v>2673</v>
      </c>
      <c r="W678">
        <v>677</v>
      </c>
      <c r="Y678">
        <f t="shared" si="40"/>
        <v>0</v>
      </c>
      <c r="Z678">
        <f t="shared" si="41"/>
        <v>0</v>
      </c>
    </row>
    <row r="679" spans="1:26" x14ac:dyDescent="0.25">
      <c r="A679" s="4">
        <v>1065</v>
      </c>
      <c r="B679" t="s">
        <v>13</v>
      </c>
      <c r="C679">
        <v>2</v>
      </c>
      <c r="D679">
        <v>1</v>
      </c>
      <c r="E679">
        <v>10</v>
      </c>
      <c r="F679" t="s">
        <v>14</v>
      </c>
      <c r="G679">
        <v>5.6</v>
      </c>
      <c r="I679">
        <v>4</v>
      </c>
      <c r="J679" t="s">
        <v>17</v>
      </c>
      <c r="K679" t="str">
        <f t="shared" si="38"/>
        <v/>
      </c>
      <c r="L679" t="s">
        <v>16</v>
      </c>
      <c r="M679">
        <v>4</v>
      </c>
      <c r="T679">
        <f t="shared" si="39"/>
        <v>20</v>
      </c>
      <c r="U679" t="s">
        <v>2679</v>
      </c>
      <c r="V679" s="4" t="s">
        <v>2673</v>
      </c>
      <c r="W679">
        <v>678</v>
      </c>
      <c r="Y679">
        <f t="shared" si="40"/>
        <v>0</v>
      </c>
      <c r="Z679">
        <f t="shared" si="41"/>
        <v>0</v>
      </c>
    </row>
    <row r="680" spans="1:26" x14ac:dyDescent="0.25">
      <c r="A680" s="4">
        <v>1065</v>
      </c>
      <c r="B680" t="s">
        <v>13</v>
      </c>
      <c r="C680">
        <v>2</v>
      </c>
      <c r="D680">
        <v>1</v>
      </c>
      <c r="E680">
        <v>9</v>
      </c>
      <c r="F680" t="s">
        <v>14</v>
      </c>
      <c r="G680">
        <v>5.6</v>
      </c>
      <c r="I680">
        <v>4</v>
      </c>
      <c r="J680" t="s">
        <v>17</v>
      </c>
      <c r="K680" t="str">
        <f t="shared" si="38"/>
        <v/>
      </c>
      <c r="L680" t="s">
        <v>16</v>
      </c>
      <c r="M680">
        <v>4</v>
      </c>
      <c r="T680">
        <f t="shared" si="39"/>
        <v>20</v>
      </c>
      <c r="U680" t="s">
        <v>2682</v>
      </c>
      <c r="V680" s="4" t="s">
        <v>2477</v>
      </c>
      <c r="W680">
        <v>679</v>
      </c>
      <c r="Y680">
        <f t="shared" si="40"/>
        <v>0</v>
      </c>
      <c r="Z680">
        <f t="shared" si="41"/>
        <v>0</v>
      </c>
    </row>
    <row r="681" spans="1:26" x14ac:dyDescent="0.25">
      <c r="A681" s="4">
        <v>1065</v>
      </c>
      <c r="B681" t="s">
        <v>13</v>
      </c>
      <c r="C681">
        <v>2</v>
      </c>
      <c r="D681">
        <v>1</v>
      </c>
      <c r="E681">
        <v>12</v>
      </c>
      <c r="F681" t="s">
        <v>14</v>
      </c>
      <c r="G681">
        <v>5.6</v>
      </c>
      <c r="I681">
        <v>4</v>
      </c>
      <c r="J681" t="s">
        <v>20</v>
      </c>
      <c r="K681" t="str">
        <f t="shared" si="38"/>
        <v/>
      </c>
      <c r="L681" t="s">
        <v>16</v>
      </c>
      <c r="M681">
        <v>2</v>
      </c>
      <c r="T681">
        <f t="shared" si="39"/>
        <v>20</v>
      </c>
      <c r="U681" t="s">
        <v>2686</v>
      </c>
      <c r="V681" s="4" t="s">
        <v>2477</v>
      </c>
      <c r="W681">
        <v>680</v>
      </c>
      <c r="Y681">
        <f t="shared" si="40"/>
        <v>0</v>
      </c>
      <c r="Z681">
        <f t="shared" si="41"/>
        <v>0</v>
      </c>
    </row>
    <row r="682" spans="1:26" x14ac:dyDescent="0.25">
      <c r="A682" s="4">
        <v>1065</v>
      </c>
      <c r="B682" t="s">
        <v>13</v>
      </c>
      <c r="C682">
        <v>2</v>
      </c>
      <c r="D682">
        <v>1</v>
      </c>
      <c r="E682">
        <v>11</v>
      </c>
      <c r="F682" t="s">
        <v>14</v>
      </c>
      <c r="G682">
        <v>5.6</v>
      </c>
      <c r="I682">
        <v>4</v>
      </c>
      <c r="J682" t="s">
        <v>20</v>
      </c>
      <c r="K682" t="str">
        <f t="shared" si="38"/>
        <v/>
      </c>
      <c r="L682" t="s">
        <v>16</v>
      </c>
      <c r="M682">
        <v>2</v>
      </c>
      <c r="T682">
        <f t="shared" si="39"/>
        <v>20</v>
      </c>
      <c r="U682" t="s">
        <v>2689</v>
      </c>
      <c r="V682" s="4" t="s">
        <v>482</v>
      </c>
      <c r="W682">
        <v>681</v>
      </c>
      <c r="Y682">
        <f t="shared" si="40"/>
        <v>0</v>
      </c>
      <c r="Z682">
        <f t="shared" si="41"/>
        <v>0</v>
      </c>
    </row>
    <row r="683" spans="1:26" x14ac:dyDescent="0.25">
      <c r="A683" s="4">
        <v>1065</v>
      </c>
      <c r="B683" t="s">
        <v>13</v>
      </c>
      <c r="C683">
        <v>2</v>
      </c>
      <c r="D683">
        <v>1</v>
      </c>
      <c r="E683">
        <v>10</v>
      </c>
      <c r="F683" t="s">
        <v>14</v>
      </c>
      <c r="G683">
        <v>5.6</v>
      </c>
      <c r="I683">
        <v>4</v>
      </c>
      <c r="J683" t="s">
        <v>20</v>
      </c>
      <c r="K683" t="str">
        <f t="shared" si="38"/>
        <v/>
      </c>
      <c r="L683" t="s">
        <v>16</v>
      </c>
      <c r="M683">
        <v>2</v>
      </c>
      <c r="T683">
        <f t="shared" si="39"/>
        <v>20</v>
      </c>
      <c r="U683" t="s">
        <v>2694</v>
      </c>
      <c r="V683" s="4" t="s">
        <v>2477</v>
      </c>
      <c r="W683">
        <v>682</v>
      </c>
      <c r="Y683">
        <f t="shared" si="40"/>
        <v>0</v>
      </c>
      <c r="Z683">
        <f t="shared" si="41"/>
        <v>0</v>
      </c>
    </row>
    <row r="684" spans="1:26" x14ac:dyDescent="0.25">
      <c r="A684" s="4">
        <v>1065</v>
      </c>
      <c r="B684" t="s">
        <v>13</v>
      </c>
      <c r="C684">
        <v>2</v>
      </c>
      <c r="D684">
        <v>1</v>
      </c>
      <c r="E684">
        <v>9</v>
      </c>
      <c r="F684" t="s">
        <v>14</v>
      </c>
      <c r="G684">
        <v>5.6</v>
      </c>
      <c r="I684">
        <v>4</v>
      </c>
      <c r="J684" t="s">
        <v>20</v>
      </c>
      <c r="K684" t="str">
        <f t="shared" si="38"/>
        <v/>
      </c>
      <c r="L684" t="s">
        <v>16</v>
      </c>
      <c r="M684">
        <v>2</v>
      </c>
      <c r="T684">
        <f t="shared" si="39"/>
        <v>20</v>
      </c>
      <c r="U684" t="s">
        <v>2696</v>
      </c>
      <c r="V684" s="4" t="s">
        <v>2477</v>
      </c>
      <c r="W684">
        <v>683</v>
      </c>
      <c r="Y684">
        <f t="shared" si="40"/>
        <v>0</v>
      </c>
      <c r="Z684">
        <f t="shared" si="41"/>
        <v>0</v>
      </c>
    </row>
    <row r="685" spans="1:26" x14ac:dyDescent="0.25">
      <c r="A685" s="4">
        <v>1065</v>
      </c>
      <c r="B685" t="s">
        <v>13</v>
      </c>
      <c r="C685">
        <v>2</v>
      </c>
      <c r="D685">
        <v>1</v>
      </c>
      <c r="E685">
        <v>12</v>
      </c>
      <c r="F685" t="s">
        <v>14</v>
      </c>
      <c r="G685">
        <v>5.6</v>
      </c>
      <c r="I685">
        <v>4</v>
      </c>
      <c r="J685" t="s">
        <v>15</v>
      </c>
      <c r="K685" t="str">
        <f t="shared" si="38"/>
        <v/>
      </c>
      <c r="L685" t="s">
        <v>16</v>
      </c>
      <c r="M685">
        <v>1</v>
      </c>
      <c r="T685">
        <f t="shared" si="39"/>
        <v>20</v>
      </c>
      <c r="U685" t="s">
        <v>2698</v>
      </c>
      <c r="V685" s="4" t="s">
        <v>479</v>
      </c>
      <c r="W685">
        <v>684</v>
      </c>
      <c r="Y685">
        <f t="shared" si="40"/>
        <v>0</v>
      </c>
      <c r="Z685">
        <f t="shared" si="41"/>
        <v>0</v>
      </c>
    </row>
    <row r="686" spans="1:26" x14ac:dyDescent="0.25">
      <c r="A686" s="4">
        <v>1065</v>
      </c>
      <c r="B686" t="s">
        <v>13</v>
      </c>
      <c r="C686">
        <v>2</v>
      </c>
      <c r="D686">
        <v>1</v>
      </c>
      <c r="E686">
        <v>11</v>
      </c>
      <c r="F686" t="s">
        <v>14</v>
      </c>
      <c r="G686">
        <v>5.6</v>
      </c>
      <c r="I686">
        <v>4</v>
      </c>
      <c r="J686" t="s">
        <v>15</v>
      </c>
      <c r="K686" t="str">
        <f t="shared" si="38"/>
        <v/>
      </c>
      <c r="L686" t="s">
        <v>16</v>
      </c>
      <c r="M686">
        <v>1</v>
      </c>
      <c r="T686">
        <f t="shared" si="39"/>
        <v>20</v>
      </c>
      <c r="U686" t="s">
        <v>2703</v>
      </c>
      <c r="V686" s="4" t="s">
        <v>479</v>
      </c>
      <c r="W686">
        <v>685</v>
      </c>
      <c r="Y686">
        <f t="shared" si="40"/>
        <v>0</v>
      </c>
      <c r="Z686">
        <f t="shared" si="41"/>
        <v>0</v>
      </c>
    </row>
    <row r="687" spans="1:26" x14ac:dyDescent="0.25">
      <c r="A687" s="4">
        <v>1065</v>
      </c>
      <c r="B687" t="s">
        <v>13</v>
      </c>
      <c r="C687">
        <v>2</v>
      </c>
      <c r="D687">
        <v>1</v>
      </c>
      <c r="E687">
        <v>10</v>
      </c>
      <c r="F687" t="s">
        <v>14</v>
      </c>
      <c r="G687">
        <v>5.6</v>
      </c>
      <c r="I687">
        <v>4</v>
      </c>
      <c r="J687" t="s">
        <v>15</v>
      </c>
      <c r="K687" t="str">
        <f t="shared" si="38"/>
        <v/>
      </c>
      <c r="L687" t="s">
        <v>16</v>
      </c>
      <c r="M687">
        <v>1</v>
      </c>
      <c r="T687">
        <f t="shared" si="39"/>
        <v>20</v>
      </c>
      <c r="U687" t="s">
        <v>2705</v>
      </c>
      <c r="V687" s="4" t="s">
        <v>479</v>
      </c>
      <c r="W687">
        <v>686</v>
      </c>
      <c r="Y687">
        <f t="shared" si="40"/>
        <v>0</v>
      </c>
      <c r="Z687">
        <f t="shared" si="41"/>
        <v>0</v>
      </c>
    </row>
    <row r="688" spans="1:26" x14ac:dyDescent="0.25">
      <c r="A688" s="4">
        <v>1065</v>
      </c>
      <c r="B688" t="s">
        <v>13</v>
      </c>
      <c r="C688">
        <v>2</v>
      </c>
      <c r="D688">
        <v>1</v>
      </c>
      <c r="E688">
        <v>9</v>
      </c>
      <c r="F688" t="s">
        <v>14</v>
      </c>
      <c r="G688">
        <v>5.6</v>
      </c>
      <c r="I688">
        <v>4</v>
      </c>
      <c r="J688" t="s">
        <v>15</v>
      </c>
      <c r="K688" t="str">
        <f t="shared" si="38"/>
        <v/>
      </c>
      <c r="L688" t="s">
        <v>16</v>
      </c>
      <c r="M688">
        <v>1</v>
      </c>
      <c r="T688">
        <f t="shared" si="39"/>
        <v>20</v>
      </c>
      <c r="U688" t="s">
        <v>2708</v>
      </c>
      <c r="V688" s="4" t="s">
        <v>2709</v>
      </c>
      <c r="W688">
        <v>687</v>
      </c>
      <c r="Y688">
        <f t="shared" si="40"/>
        <v>0</v>
      </c>
      <c r="Z688">
        <f t="shared" si="41"/>
        <v>0</v>
      </c>
    </row>
    <row r="689" spans="1:26" x14ac:dyDescent="0.25">
      <c r="A689" s="4">
        <v>1065</v>
      </c>
      <c r="B689" t="s">
        <v>13</v>
      </c>
      <c r="C689">
        <v>2</v>
      </c>
      <c r="D689">
        <v>1</v>
      </c>
      <c r="E689">
        <v>16</v>
      </c>
      <c r="F689" t="s">
        <v>14</v>
      </c>
      <c r="G689">
        <v>6.2</v>
      </c>
      <c r="I689">
        <v>4</v>
      </c>
      <c r="J689" t="s">
        <v>17</v>
      </c>
      <c r="K689" t="str">
        <f t="shared" si="38"/>
        <v/>
      </c>
      <c r="L689" t="s">
        <v>16</v>
      </c>
      <c r="M689">
        <v>4</v>
      </c>
      <c r="T689">
        <f t="shared" si="39"/>
        <v>20</v>
      </c>
      <c r="U689" t="s">
        <v>2713</v>
      </c>
      <c r="V689" s="4" t="s">
        <v>2709</v>
      </c>
      <c r="W689">
        <v>688</v>
      </c>
      <c r="Y689">
        <f t="shared" si="40"/>
        <v>0</v>
      </c>
      <c r="Z689">
        <f t="shared" si="41"/>
        <v>0</v>
      </c>
    </row>
    <row r="690" spans="1:26" x14ac:dyDescent="0.25">
      <c r="A690" s="4">
        <v>1065</v>
      </c>
      <c r="B690" t="s">
        <v>13</v>
      </c>
      <c r="C690">
        <v>2</v>
      </c>
      <c r="D690">
        <v>1</v>
      </c>
      <c r="E690">
        <v>15</v>
      </c>
      <c r="F690" t="s">
        <v>14</v>
      </c>
      <c r="G690">
        <v>6.2</v>
      </c>
      <c r="I690">
        <v>4</v>
      </c>
      <c r="J690" t="s">
        <v>17</v>
      </c>
      <c r="K690" t="str">
        <f t="shared" si="38"/>
        <v/>
      </c>
      <c r="L690" t="s">
        <v>16</v>
      </c>
      <c r="M690">
        <v>4</v>
      </c>
      <c r="T690">
        <f t="shared" si="39"/>
        <v>20</v>
      </c>
      <c r="U690" t="s">
        <v>2715</v>
      </c>
      <c r="V690" s="4" t="s">
        <v>2709</v>
      </c>
      <c r="W690">
        <v>689</v>
      </c>
      <c r="Y690">
        <f t="shared" si="40"/>
        <v>0</v>
      </c>
      <c r="Z690">
        <f t="shared" si="41"/>
        <v>0</v>
      </c>
    </row>
    <row r="691" spans="1:26" x14ac:dyDescent="0.25">
      <c r="A691" s="4">
        <v>1065</v>
      </c>
      <c r="B691" t="s">
        <v>13</v>
      </c>
      <c r="C691">
        <v>2</v>
      </c>
      <c r="D691">
        <v>1</v>
      </c>
      <c r="E691">
        <v>14</v>
      </c>
      <c r="F691" t="s">
        <v>14</v>
      </c>
      <c r="G691">
        <v>6.2</v>
      </c>
      <c r="I691">
        <v>4</v>
      </c>
      <c r="J691" t="s">
        <v>17</v>
      </c>
      <c r="K691" t="str">
        <f t="shared" si="38"/>
        <v/>
      </c>
      <c r="L691" t="s">
        <v>16</v>
      </c>
      <c r="M691">
        <v>4</v>
      </c>
      <c r="T691">
        <f t="shared" si="39"/>
        <v>20</v>
      </c>
      <c r="U691" t="s">
        <v>2717</v>
      </c>
      <c r="V691" s="4" t="s">
        <v>2718</v>
      </c>
      <c r="W691">
        <v>690</v>
      </c>
      <c r="Y691">
        <f t="shared" si="40"/>
        <v>0</v>
      </c>
      <c r="Z691">
        <f t="shared" si="41"/>
        <v>0</v>
      </c>
    </row>
    <row r="692" spans="1:26" x14ac:dyDescent="0.25">
      <c r="A692" s="4">
        <v>1065</v>
      </c>
      <c r="B692" t="s">
        <v>13</v>
      </c>
      <c r="C692">
        <v>2</v>
      </c>
      <c r="D692">
        <v>1</v>
      </c>
      <c r="E692">
        <v>13</v>
      </c>
      <c r="F692" t="s">
        <v>14</v>
      </c>
      <c r="G692">
        <v>6.2</v>
      </c>
      <c r="I692">
        <v>4</v>
      </c>
      <c r="J692" t="s">
        <v>17</v>
      </c>
      <c r="K692" t="str">
        <f t="shared" si="38"/>
        <v/>
      </c>
      <c r="L692" t="s">
        <v>16</v>
      </c>
      <c r="M692">
        <v>4</v>
      </c>
      <c r="T692">
        <f t="shared" si="39"/>
        <v>20</v>
      </c>
      <c r="U692" t="s">
        <v>2722</v>
      </c>
      <c r="V692" s="4" t="s">
        <v>2718</v>
      </c>
      <c r="W692">
        <v>691</v>
      </c>
      <c r="Y692">
        <f t="shared" si="40"/>
        <v>0</v>
      </c>
      <c r="Z692">
        <f t="shared" si="41"/>
        <v>0</v>
      </c>
    </row>
    <row r="693" spans="1:26" x14ac:dyDescent="0.25">
      <c r="A693" s="4">
        <v>1065</v>
      </c>
      <c r="B693" t="s">
        <v>13</v>
      </c>
      <c r="C693">
        <v>2</v>
      </c>
      <c r="D693">
        <v>1</v>
      </c>
      <c r="E693">
        <v>16</v>
      </c>
      <c r="F693" t="s">
        <v>14</v>
      </c>
      <c r="G693">
        <v>6.2</v>
      </c>
      <c r="I693">
        <v>4</v>
      </c>
      <c r="J693" t="s">
        <v>20</v>
      </c>
      <c r="K693" t="str">
        <f t="shared" si="38"/>
        <v/>
      </c>
      <c r="L693" t="s">
        <v>16</v>
      </c>
      <c r="M693">
        <v>1</v>
      </c>
      <c r="T693">
        <f t="shared" si="39"/>
        <v>20</v>
      </c>
      <c r="U693" t="s">
        <v>2725</v>
      </c>
      <c r="V693" s="4" t="s">
        <v>2718</v>
      </c>
      <c r="W693">
        <v>692</v>
      </c>
      <c r="Y693">
        <f t="shared" si="40"/>
        <v>0</v>
      </c>
      <c r="Z693">
        <f t="shared" si="41"/>
        <v>0</v>
      </c>
    </row>
    <row r="694" spans="1:26" x14ac:dyDescent="0.25">
      <c r="A694" s="4">
        <v>1065</v>
      </c>
      <c r="B694" t="s">
        <v>13</v>
      </c>
      <c r="C694">
        <v>2</v>
      </c>
      <c r="D694">
        <v>1</v>
      </c>
      <c r="E694">
        <v>15</v>
      </c>
      <c r="F694" t="s">
        <v>14</v>
      </c>
      <c r="G694">
        <v>6.2</v>
      </c>
      <c r="I694">
        <v>4</v>
      </c>
      <c r="J694" t="s">
        <v>20</v>
      </c>
      <c r="K694" t="str">
        <f t="shared" si="38"/>
        <v/>
      </c>
      <c r="L694" t="s">
        <v>16</v>
      </c>
      <c r="M694">
        <v>1</v>
      </c>
      <c r="T694">
        <f t="shared" si="39"/>
        <v>20</v>
      </c>
      <c r="U694" t="s">
        <v>2728</v>
      </c>
      <c r="V694" s="4" t="s">
        <v>2729</v>
      </c>
      <c r="W694">
        <v>693</v>
      </c>
      <c r="Y694">
        <f t="shared" si="40"/>
        <v>0</v>
      </c>
      <c r="Z694">
        <f t="shared" si="41"/>
        <v>0</v>
      </c>
    </row>
    <row r="695" spans="1:26" x14ac:dyDescent="0.25">
      <c r="A695" s="4">
        <v>1065</v>
      </c>
      <c r="B695" t="s">
        <v>13</v>
      </c>
      <c r="C695">
        <v>2</v>
      </c>
      <c r="D695">
        <v>1</v>
      </c>
      <c r="E695">
        <v>14</v>
      </c>
      <c r="F695" t="s">
        <v>14</v>
      </c>
      <c r="G695">
        <v>6.2</v>
      </c>
      <c r="I695">
        <v>4</v>
      </c>
      <c r="J695" t="s">
        <v>20</v>
      </c>
      <c r="K695" t="str">
        <f t="shared" si="38"/>
        <v/>
      </c>
      <c r="L695" t="s">
        <v>16</v>
      </c>
      <c r="M695">
        <v>1</v>
      </c>
      <c r="T695">
        <f t="shared" si="39"/>
        <v>20</v>
      </c>
      <c r="U695" t="s">
        <v>2732</v>
      </c>
      <c r="V695" s="4" t="s">
        <v>2729</v>
      </c>
      <c r="W695">
        <v>694</v>
      </c>
      <c r="Y695">
        <f t="shared" si="40"/>
        <v>0</v>
      </c>
      <c r="Z695">
        <f t="shared" si="41"/>
        <v>0</v>
      </c>
    </row>
    <row r="696" spans="1:26" x14ac:dyDescent="0.25">
      <c r="A696" s="4">
        <v>1065</v>
      </c>
      <c r="B696" t="s">
        <v>13</v>
      </c>
      <c r="C696">
        <v>2</v>
      </c>
      <c r="D696">
        <v>1</v>
      </c>
      <c r="E696">
        <v>13</v>
      </c>
      <c r="F696" t="s">
        <v>14</v>
      </c>
      <c r="G696">
        <v>6.2</v>
      </c>
      <c r="I696">
        <v>4</v>
      </c>
      <c r="J696" t="s">
        <v>20</v>
      </c>
      <c r="K696" t="str">
        <f t="shared" si="38"/>
        <v/>
      </c>
      <c r="L696" t="s">
        <v>16</v>
      </c>
      <c r="M696">
        <v>1</v>
      </c>
      <c r="T696">
        <f t="shared" si="39"/>
        <v>20</v>
      </c>
      <c r="U696" t="s">
        <v>2734</v>
      </c>
      <c r="V696" s="4" t="s">
        <v>2729</v>
      </c>
      <c r="W696">
        <v>695</v>
      </c>
      <c r="Y696">
        <f t="shared" si="40"/>
        <v>0</v>
      </c>
      <c r="Z696">
        <f t="shared" si="41"/>
        <v>0</v>
      </c>
    </row>
    <row r="697" spans="1:26" x14ac:dyDescent="0.25">
      <c r="A697" s="4">
        <v>1065</v>
      </c>
      <c r="B697" t="s">
        <v>13</v>
      </c>
      <c r="C697">
        <v>2</v>
      </c>
      <c r="D697">
        <v>1</v>
      </c>
      <c r="E697">
        <v>16</v>
      </c>
      <c r="F697" t="s">
        <v>14</v>
      </c>
      <c r="G697">
        <v>6.2</v>
      </c>
      <c r="I697">
        <v>4</v>
      </c>
      <c r="J697" t="s">
        <v>15</v>
      </c>
      <c r="K697" t="str">
        <f t="shared" si="38"/>
        <v/>
      </c>
      <c r="L697" t="s">
        <v>16</v>
      </c>
      <c r="M697">
        <v>3</v>
      </c>
      <c r="T697">
        <f t="shared" si="39"/>
        <v>20</v>
      </c>
      <c r="U697" t="s">
        <v>2736</v>
      </c>
      <c r="V697" s="4" t="s">
        <v>2737</v>
      </c>
      <c r="W697">
        <v>696</v>
      </c>
      <c r="Y697">
        <f t="shared" si="40"/>
        <v>0</v>
      </c>
      <c r="Z697">
        <f t="shared" si="41"/>
        <v>0</v>
      </c>
    </row>
    <row r="698" spans="1:26" x14ac:dyDescent="0.25">
      <c r="A698" s="4">
        <v>1065</v>
      </c>
      <c r="B698" t="s">
        <v>13</v>
      </c>
      <c r="C698">
        <v>2</v>
      </c>
      <c r="D698">
        <v>1</v>
      </c>
      <c r="E698">
        <v>15</v>
      </c>
      <c r="F698" t="s">
        <v>14</v>
      </c>
      <c r="G698">
        <v>6.2</v>
      </c>
      <c r="I698">
        <v>4</v>
      </c>
      <c r="J698" t="s">
        <v>15</v>
      </c>
      <c r="K698" t="str">
        <f t="shared" si="38"/>
        <v/>
      </c>
      <c r="L698" t="s">
        <v>16</v>
      </c>
      <c r="M698">
        <v>3</v>
      </c>
      <c r="T698">
        <f t="shared" si="39"/>
        <v>20</v>
      </c>
      <c r="U698" t="s">
        <v>2740</v>
      </c>
      <c r="V698" s="4" t="s">
        <v>2737</v>
      </c>
      <c r="W698">
        <v>697</v>
      </c>
      <c r="Y698">
        <f t="shared" si="40"/>
        <v>0</v>
      </c>
      <c r="Z698">
        <f t="shared" si="41"/>
        <v>0</v>
      </c>
    </row>
    <row r="699" spans="1:26" x14ac:dyDescent="0.25">
      <c r="A699" s="4">
        <v>1065</v>
      </c>
      <c r="B699" t="s">
        <v>13</v>
      </c>
      <c r="C699">
        <v>2</v>
      </c>
      <c r="D699">
        <v>1</v>
      </c>
      <c r="E699">
        <v>14</v>
      </c>
      <c r="F699" t="s">
        <v>14</v>
      </c>
      <c r="G699">
        <v>6.2</v>
      </c>
      <c r="I699">
        <v>4</v>
      </c>
      <c r="J699" t="s">
        <v>15</v>
      </c>
      <c r="K699" t="str">
        <f t="shared" si="38"/>
        <v/>
      </c>
      <c r="L699" t="s">
        <v>16</v>
      </c>
      <c r="M699">
        <v>3</v>
      </c>
      <c r="T699">
        <f t="shared" si="39"/>
        <v>20</v>
      </c>
      <c r="U699" t="s">
        <v>2742</v>
      </c>
      <c r="V699" s="4" t="s">
        <v>2737</v>
      </c>
      <c r="W699">
        <v>698</v>
      </c>
      <c r="Y699">
        <f t="shared" si="40"/>
        <v>0</v>
      </c>
      <c r="Z699">
        <f t="shared" si="41"/>
        <v>0</v>
      </c>
    </row>
    <row r="700" spans="1:26" x14ac:dyDescent="0.25">
      <c r="A700" s="4">
        <v>1065</v>
      </c>
      <c r="B700" t="s">
        <v>13</v>
      </c>
      <c r="C700">
        <v>2</v>
      </c>
      <c r="D700">
        <v>1</v>
      </c>
      <c r="E700">
        <v>13</v>
      </c>
      <c r="F700" t="s">
        <v>14</v>
      </c>
      <c r="G700">
        <v>6.2</v>
      </c>
      <c r="I700">
        <v>4</v>
      </c>
      <c r="J700" t="s">
        <v>15</v>
      </c>
      <c r="K700" t="str">
        <f t="shared" si="38"/>
        <v/>
      </c>
      <c r="L700" t="s">
        <v>16</v>
      </c>
      <c r="M700">
        <v>3</v>
      </c>
      <c r="T700">
        <f t="shared" si="39"/>
        <v>20</v>
      </c>
      <c r="U700" t="s">
        <v>2745</v>
      </c>
      <c r="V700" s="4" t="s">
        <v>1835</v>
      </c>
      <c r="W700">
        <v>699</v>
      </c>
      <c r="Y700">
        <f t="shared" si="40"/>
        <v>0</v>
      </c>
      <c r="Z700">
        <f t="shared" si="41"/>
        <v>0</v>
      </c>
    </row>
    <row r="701" spans="1:26" x14ac:dyDescent="0.25">
      <c r="A701" s="4">
        <v>5075</v>
      </c>
      <c r="B701" t="s">
        <v>40</v>
      </c>
      <c r="C701">
        <v>6</v>
      </c>
      <c r="D701">
        <v>1</v>
      </c>
      <c r="E701">
        <v>8</v>
      </c>
      <c r="F701" t="s">
        <v>14</v>
      </c>
      <c r="G701">
        <v>5</v>
      </c>
      <c r="I701">
        <v>4</v>
      </c>
      <c r="J701" t="s">
        <v>21</v>
      </c>
      <c r="K701" t="str">
        <f t="shared" si="38"/>
        <v/>
      </c>
      <c r="L701" t="s">
        <v>16</v>
      </c>
      <c r="M701">
        <v>4</v>
      </c>
      <c r="T701">
        <f t="shared" si="39"/>
        <v>20</v>
      </c>
      <c r="U701" t="s">
        <v>2751</v>
      </c>
      <c r="V701" s="4" t="s">
        <v>1835</v>
      </c>
      <c r="W701">
        <v>700</v>
      </c>
      <c r="Y701">
        <f t="shared" si="40"/>
        <v>0</v>
      </c>
      <c r="Z701">
        <f t="shared" si="41"/>
        <v>0</v>
      </c>
    </row>
    <row r="702" spans="1:26" x14ac:dyDescent="0.25">
      <c r="A702" s="4">
        <v>5075</v>
      </c>
      <c r="B702" t="s">
        <v>40</v>
      </c>
      <c r="C702">
        <v>6</v>
      </c>
      <c r="D702">
        <v>1</v>
      </c>
      <c r="E702">
        <v>7</v>
      </c>
      <c r="F702" t="s">
        <v>14</v>
      </c>
      <c r="G702">
        <v>5</v>
      </c>
      <c r="I702">
        <v>4</v>
      </c>
      <c r="J702" t="s">
        <v>21</v>
      </c>
      <c r="K702" t="str">
        <f t="shared" si="38"/>
        <v/>
      </c>
      <c r="L702" t="s">
        <v>16</v>
      </c>
      <c r="M702">
        <v>4</v>
      </c>
      <c r="T702">
        <f t="shared" si="39"/>
        <v>20</v>
      </c>
      <c r="U702" t="s">
        <v>2753</v>
      </c>
      <c r="V702" s="4" t="s">
        <v>1835</v>
      </c>
      <c r="W702">
        <v>701</v>
      </c>
      <c r="Y702">
        <f t="shared" si="40"/>
        <v>0</v>
      </c>
      <c r="Z702">
        <f t="shared" si="41"/>
        <v>0</v>
      </c>
    </row>
    <row r="703" spans="1:26" x14ac:dyDescent="0.25">
      <c r="A703" s="4">
        <v>5075</v>
      </c>
      <c r="B703" t="s">
        <v>40</v>
      </c>
      <c r="C703">
        <v>6</v>
      </c>
      <c r="D703">
        <v>1</v>
      </c>
      <c r="E703">
        <v>6</v>
      </c>
      <c r="F703" t="s">
        <v>14</v>
      </c>
      <c r="G703">
        <v>5</v>
      </c>
      <c r="I703">
        <v>4</v>
      </c>
      <c r="J703" t="s">
        <v>21</v>
      </c>
      <c r="K703" t="str">
        <f t="shared" si="38"/>
        <v/>
      </c>
      <c r="L703" t="s">
        <v>16</v>
      </c>
      <c r="M703">
        <v>4</v>
      </c>
      <c r="T703">
        <f t="shared" si="39"/>
        <v>20</v>
      </c>
      <c r="U703" t="s">
        <v>2755</v>
      </c>
      <c r="V703" s="4" t="s">
        <v>1835</v>
      </c>
      <c r="W703">
        <v>702</v>
      </c>
      <c r="Y703">
        <f t="shared" si="40"/>
        <v>0</v>
      </c>
      <c r="Z703">
        <f t="shared" si="41"/>
        <v>0</v>
      </c>
    </row>
    <row r="704" spans="1:26" x14ac:dyDescent="0.25">
      <c r="A704" s="4">
        <v>5075</v>
      </c>
      <c r="B704" t="s">
        <v>40</v>
      </c>
      <c r="C704">
        <v>6</v>
      </c>
      <c r="D704">
        <v>1</v>
      </c>
      <c r="E704">
        <v>5</v>
      </c>
      <c r="F704" t="s">
        <v>14</v>
      </c>
      <c r="G704">
        <v>5</v>
      </c>
      <c r="I704">
        <v>4</v>
      </c>
      <c r="J704" t="s">
        <v>21</v>
      </c>
      <c r="K704" t="str">
        <f t="shared" si="38"/>
        <v/>
      </c>
      <c r="L704" t="s">
        <v>16</v>
      </c>
      <c r="M704">
        <v>4</v>
      </c>
      <c r="T704">
        <f t="shared" si="39"/>
        <v>20</v>
      </c>
      <c r="U704" t="s">
        <v>2757</v>
      </c>
      <c r="V704" s="4" t="s">
        <v>1835</v>
      </c>
      <c r="W704">
        <v>703</v>
      </c>
      <c r="Y704">
        <f t="shared" si="40"/>
        <v>0</v>
      </c>
      <c r="Z704">
        <f t="shared" si="41"/>
        <v>0</v>
      </c>
    </row>
    <row r="705" spans="1:26" x14ac:dyDescent="0.25">
      <c r="A705" s="4">
        <v>5075</v>
      </c>
      <c r="B705" t="s">
        <v>40</v>
      </c>
      <c r="C705">
        <v>6</v>
      </c>
      <c r="D705">
        <v>1</v>
      </c>
      <c r="E705">
        <v>12</v>
      </c>
      <c r="F705" t="s">
        <v>14</v>
      </c>
      <c r="G705">
        <v>5.6</v>
      </c>
      <c r="I705">
        <v>4</v>
      </c>
      <c r="J705" t="s">
        <v>21</v>
      </c>
      <c r="K705" t="str">
        <f t="shared" si="38"/>
        <v/>
      </c>
      <c r="L705" t="s">
        <v>16</v>
      </c>
      <c r="M705">
        <v>3</v>
      </c>
      <c r="T705">
        <f t="shared" si="39"/>
        <v>20</v>
      </c>
      <c r="U705" t="s">
        <v>2760</v>
      </c>
      <c r="V705" s="4" t="s">
        <v>1835</v>
      </c>
      <c r="W705">
        <v>704</v>
      </c>
      <c r="Y705">
        <f t="shared" si="40"/>
        <v>0</v>
      </c>
      <c r="Z705">
        <f t="shared" si="41"/>
        <v>0</v>
      </c>
    </row>
    <row r="706" spans="1:26" x14ac:dyDescent="0.25">
      <c r="A706" s="4">
        <v>5075</v>
      </c>
      <c r="B706" t="s">
        <v>40</v>
      </c>
      <c r="C706">
        <v>6</v>
      </c>
      <c r="D706">
        <v>1</v>
      </c>
      <c r="E706">
        <v>11</v>
      </c>
      <c r="F706" t="s">
        <v>14</v>
      </c>
      <c r="G706">
        <v>5.6</v>
      </c>
      <c r="I706">
        <v>4</v>
      </c>
      <c r="J706" t="s">
        <v>21</v>
      </c>
      <c r="K706" t="str">
        <f t="shared" si="38"/>
        <v/>
      </c>
      <c r="L706" t="s">
        <v>16</v>
      </c>
      <c r="M706">
        <v>3</v>
      </c>
      <c r="T706">
        <f t="shared" si="39"/>
        <v>20</v>
      </c>
      <c r="U706" t="s">
        <v>2762</v>
      </c>
      <c r="V706" s="4" t="s">
        <v>1835</v>
      </c>
      <c r="W706">
        <v>705</v>
      </c>
      <c r="Y706">
        <f t="shared" si="40"/>
        <v>0</v>
      </c>
      <c r="Z706">
        <f t="shared" si="41"/>
        <v>0</v>
      </c>
    </row>
    <row r="707" spans="1:26" x14ac:dyDescent="0.25">
      <c r="A707" s="4">
        <v>5075</v>
      </c>
      <c r="B707" t="s">
        <v>40</v>
      </c>
      <c r="C707">
        <v>6</v>
      </c>
      <c r="D707">
        <v>1</v>
      </c>
      <c r="E707">
        <v>10</v>
      </c>
      <c r="F707" t="s">
        <v>14</v>
      </c>
      <c r="G707">
        <v>5.6</v>
      </c>
      <c r="I707">
        <v>4</v>
      </c>
      <c r="J707" t="s">
        <v>21</v>
      </c>
      <c r="K707" t="str">
        <f t="shared" ref="K707:K770" si="42">_xlfn.XLOOKUP(A707,V:V,U:U,"",0)</f>
        <v/>
      </c>
      <c r="L707" t="s">
        <v>16</v>
      </c>
      <c r="M707">
        <v>3</v>
      </c>
      <c r="T707">
        <f t="shared" ref="T707:T770" si="43">LEN(U707)</f>
        <v>20</v>
      </c>
      <c r="U707" t="s">
        <v>2765</v>
      </c>
      <c r="V707" s="4" t="s">
        <v>1835</v>
      </c>
      <c r="W707">
        <v>706</v>
      </c>
      <c r="Y707">
        <f t="shared" ref="Y707:Y770" si="44">LEN(O707)</f>
        <v>0</v>
      </c>
      <c r="Z707">
        <f t="shared" ref="Z707:Z770" si="45">LEN(P707)</f>
        <v>0</v>
      </c>
    </row>
    <row r="708" spans="1:26" x14ac:dyDescent="0.25">
      <c r="A708" s="4">
        <v>5075</v>
      </c>
      <c r="B708" t="s">
        <v>40</v>
      </c>
      <c r="C708">
        <v>6</v>
      </c>
      <c r="D708">
        <v>1</v>
      </c>
      <c r="E708">
        <v>9</v>
      </c>
      <c r="F708" t="s">
        <v>14</v>
      </c>
      <c r="G708">
        <v>5.6</v>
      </c>
      <c r="I708">
        <v>4</v>
      </c>
      <c r="J708" t="s">
        <v>21</v>
      </c>
      <c r="K708" t="str">
        <f t="shared" si="42"/>
        <v/>
      </c>
      <c r="L708" t="s">
        <v>16</v>
      </c>
      <c r="M708">
        <v>3</v>
      </c>
      <c r="T708">
        <f t="shared" si="43"/>
        <v>20</v>
      </c>
      <c r="U708" t="s">
        <v>2767</v>
      </c>
      <c r="V708" s="4" t="s">
        <v>2477</v>
      </c>
      <c r="W708">
        <v>707</v>
      </c>
      <c r="Y708">
        <f t="shared" si="44"/>
        <v>0</v>
      </c>
      <c r="Z708">
        <f t="shared" si="45"/>
        <v>0</v>
      </c>
    </row>
    <row r="709" spans="1:26" x14ac:dyDescent="0.25">
      <c r="A709" s="4">
        <v>5075</v>
      </c>
      <c r="B709" t="s">
        <v>40</v>
      </c>
      <c r="C709">
        <v>6</v>
      </c>
      <c r="D709">
        <v>1</v>
      </c>
      <c r="E709">
        <v>16</v>
      </c>
      <c r="F709" t="s">
        <v>14</v>
      </c>
      <c r="G709">
        <v>6</v>
      </c>
      <c r="I709">
        <v>4</v>
      </c>
      <c r="J709" t="s">
        <v>21</v>
      </c>
      <c r="K709" t="str">
        <f t="shared" si="42"/>
        <v/>
      </c>
      <c r="L709" t="s">
        <v>16</v>
      </c>
      <c r="M709">
        <v>4</v>
      </c>
      <c r="T709">
        <f t="shared" si="43"/>
        <v>20</v>
      </c>
      <c r="U709" t="s">
        <v>2771</v>
      </c>
      <c r="V709" s="4" t="s">
        <v>2477</v>
      </c>
      <c r="W709">
        <v>708</v>
      </c>
      <c r="Y709">
        <f t="shared" si="44"/>
        <v>0</v>
      </c>
      <c r="Z709">
        <f t="shared" si="45"/>
        <v>0</v>
      </c>
    </row>
    <row r="710" spans="1:26" x14ac:dyDescent="0.25">
      <c r="A710" s="4">
        <v>5075</v>
      </c>
      <c r="B710" t="s">
        <v>40</v>
      </c>
      <c r="C710">
        <v>6</v>
      </c>
      <c r="D710">
        <v>1</v>
      </c>
      <c r="E710">
        <v>15</v>
      </c>
      <c r="F710" t="s">
        <v>14</v>
      </c>
      <c r="G710">
        <v>6</v>
      </c>
      <c r="I710">
        <v>4</v>
      </c>
      <c r="J710" t="s">
        <v>21</v>
      </c>
      <c r="K710" t="str">
        <f t="shared" si="42"/>
        <v/>
      </c>
      <c r="L710" t="s">
        <v>16</v>
      </c>
      <c r="M710">
        <v>4</v>
      </c>
      <c r="T710">
        <f t="shared" si="43"/>
        <v>20</v>
      </c>
      <c r="U710" t="s">
        <v>2774</v>
      </c>
      <c r="V710" s="4" t="s">
        <v>482</v>
      </c>
      <c r="W710">
        <v>709</v>
      </c>
      <c r="Y710">
        <f t="shared" si="44"/>
        <v>0</v>
      </c>
      <c r="Z710">
        <f t="shared" si="45"/>
        <v>0</v>
      </c>
    </row>
    <row r="711" spans="1:26" x14ac:dyDescent="0.25">
      <c r="A711" s="4">
        <v>5075</v>
      </c>
      <c r="B711" t="s">
        <v>40</v>
      </c>
      <c r="C711">
        <v>6</v>
      </c>
      <c r="D711">
        <v>1</v>
      </c>
      <c r="E711">
        <v>14</v>
      </c>
      <c r="F711" t="s">
        <v>14</v>
      </c>
      <c r="G711">
        <v>6</v>
      </c>
      <c r="I711">
        <v>4</v>
      </c>
      <c r="J711" t="s">
        <v>21</v>
      </c>
      <c r="K711" t="str">
        <f t="shared" si="42"/>
        <v/>
      </c>
      <c r="L711" t="s">
        <v>16</v>
      </c>
      <c r="M711">
        <v>4</v>
      </c>
      <c r="T711">
        <f t="shared" si="43"/>
        <v>20</v>
      </c>
      <c r="U711" t="s">
        <v>2777</v>
      </c>
      <c r="V711" s="4" t="s">
        <v>482</v>
      </c>
      <c r="W711">
        <v>710</v>
      </c>
      <c r="Y711">
        <f t="shared" si="44"/>
        <v>0</v>
      </c>
      <c r="Z711">
        <f t="shared" si="45"/>
        <v>0</v>
      </c>
    </row>
    <row r="712" spans="1:26" x14ac:dyDescent="0.25">
      <c r="A712" s="4">
        <v>5075</v>
      </c>
      <c r="B712" t="s">
        <v>40</v>
      </c>
      <c r="C712">
        <v>6</v>
      </c>
      <c r="D712">
        <v>1</v>
      </c>
      <c r="E712">
        <v>13</v>
      </c>
      <c r="F712" t="s">
        <v>14</v>
      </c>
      <c r="G712">
        <v>6</v>
      </c>
      <c r="I712">
        <v>4</v>
      </c>
      <c r="J712" t="s">
        <v>21</v>
      </c>
      <c r="K712" t="str">
        <f t="shared" si="42"/>
        <v/>
      </c>
      <c r="L712" t="s">
        <v>16</v>
      </c>
      <c r="M712">
        <v>4</v>
      </c>
      <c r="T712">
        <f t="shared" si="43"/>
        <v>20</v>
      </c>
      <c r="U712" t="s">
        <v>2779</v>
      </c>
      <c r="V712" s="4" t="s">
        <v>2780</v>
      </c>
      <c r="W712">
        <v>711</v>
      </c>
      <c r="Y712">
        <f t="shared" si="44"/>
        <v>0</v>
      </c>
      <c r="Z712">
        <f t="shared" si="45"/>
        <v>0</v>
      </c>
    </row>
    <row r="713" spans="1:26" x14ac:dyDescent="0.25">
      <c r="A713" s="4">
        <v>5044</v>
      </c>
      <c r="B713" t="s">
        <v>40</v>
      </c>
      <c r="C713">
        <v>6</v>
      </c>
      <c r="D713">
        <v>1</v>
      </c>
      <c r="E713">
        <v>8</v>
      </c>
      <c r="F713" t="s">
        <v>14</v>
      </c>
      <c r="G713">
        <v>5.4</v>
      </c>
      <c r="I713">
        <v>4</v>
      </c>
      <c r="J713" t="s">
        <v>15</v>
      </c>
      <c r="K713" t="str">
        <f t="shared" si="42"/>
        <v/>
      </c>
      <c r="L713" t="s">
        <v>16</v>
      </c>
      <c r="M713">
        <v>4</v>
      </c>
      <c r="T713">
        <f t="shared" si="43"/>
        <v>20</v>
      </c>
      <c r="U713" t="s">
        <v>2783</v>
      </c>
      <c r="V713" s="4" t="s">
        <v>2780</v>
      </c>
      <c r="W713">
        <v>712</v>
      </c>
      <c r="Y713">
        <f t="shared" si="44"/>
        <v>0</v>
      </c>
      <c r="Z713">
        <f t="shared" si="45"/>
        <v>0</v>
      </c>
    </row>
    <row r="714" spans="1:26" x14ac:dyDescent="0.25">
      <c r="A714" s="4">
        <v>5044</v>
      </c>
      <c r="B714" t="s">
        <v>40</v>
      </c>
      <c r="C714">
        <v>6</v>
      </c>
      <c r="D714">
        <v>1</v>
      </c>
      <c r="E714">
        <v>7</v>
      </c>
      <c r="F714" t="s">
        <v>14</v>
      </c>
      <c r="G714">
        <v>5.4</v>
      </c>
      <c r="I714">
        <v>4</v>
      </c>
      <c r="J714" t="s">
        <v>15</v>
      </c>
      <c r="K714" t="str">
        <f t="shared" si="42"/>
        <v/>
      </c>
      <c r="L714" t="s">
        <v>16</v>
      </c>
      <c r="M714">
        <v>4</v>
      </c>
      <c r="T714">
        <f t="shared" si="43"/>
        <v>20</v>
      </c>
      <c r="U714" t="s">
        <v>2785</v>
      </c>
      <c r="V714" s="4" t="s">
        <v>2780</v>
      </c>
      <c r="W714">
        <v>713</v>
      </c>
      <c r="Y714">
        <f t="shared" si="44"/>
        <v>0</v>
      </c>
      <c r="Z714">
        <f t="shared" si="45"/>
        <v>0</v>
      </c>
    </row>
    <row r="715" spans="1:26" x14ac:dyDescent="0.25">
      <c r="A715" s="4">
        <v>5044</v>
      </c>
      <c r="B715" t="s">
        <v>40</v>
      </c>
      <c r="C715">
        <v>6</v>
      </c>
      <c r="D715">
        <v>1</v>
      </c>
      <c r="E715">
        <v>6</v>
      </c>
      <c r="F715" t="s">
        <v>14</v>
      </c>
      <c r="G715">
        <v>5.4</v>
      </c>
      <c r="I715">
        <v>4</v>
      </c>
      <c r="J715" t="s">
        <v>15</v>
      </c>
      <c r="K715" t="str">
        <f t="shared" si="42"/>
        <v/>
      </c>
      <c r="L715" t="s">
        <v>16</v>
      </c>
      <c r="M715">
        <v>4</v>
      </c>
      <c r="T715">
        <f t="shared" si="43"/>
        <v>20</v>
      </c>
      <c r="U715" t="s">
        <v>2787</v>
      </c>
      <c r="V715" s="4" t="s">
        <v>2780</v>
      </c>
      <c r="W715">
        <v>714</v>
      </c>
      <c r="Y715">
        <f t="shared" si="44"/>
        <v>0</v>
      </c>
      <c r="Z715">
        <f t="shared" si="45"/>
        <v>0</v>
      </c>
    </row>
    <row r="716" spans="1:26" x14ac:dyDescent="0.25">
      <c r="A716" s="4">
        <v>5044</v>
      </c>
      <c r="B716" t="s">
        <v>40</v>
      </c>
      <c r="C716">
        <v>6</v>
      </c>
      <c r="D716">
        <v>1</v>
      </c>
      <c r="E716">
        <v>5</v>
      </c>
      <c r="F716" t="s">
        <v>14</v>
      </c>
      <c r="G716">
        <v>5.4</v>
      </c>
      <c r="I716">
        <v>4</v>
      </c>
      <c r="J716" t="s">
        <v>15</v>
      </c>
      <c r="K716" t="str">
        <f t="shared" si="42"/>
        <v/>
      </c>
      <c r="L716" t="s">
        <v>16</v>
      </c>
      <c r="M716">
        <v>4</v>
      </c>
      <c r="T716">
        <f t="shared" si="43"/>
        <v>20</v>
      </c>
      <c r="U716" t="s">
        <v>2789</v>
      </c>
      <c r="V716" s="4" t="s">
        <v>1430</v>
      </c>
      <c r="W716">
        <v>715</v>
      </c>
      <c r="Y716">
        <f t="shared" si="44"/>
        <v>0</v>
      </c>
      <c r="Z716">
        <f t="shared" si="45"/>
        <v>0</v>
      </c>
    </row>
    <row r="717" spans="1:26" x14ac:dyDescent="0.25">
      <c r="A717" s="4">
        <v>5044</v>
      </c>
      <c r="B717" t="s">
        <v>40</v>
      </c>
      <c r="C717">
        <v>6</v>
      </c>
      <c r="D717">
        <v>1</v>
      </c>
      <c r="E717">
        <v>8</v>
      </c>
      <c r="F717" t="s">
        <v>14</v>
      </c>
      <c r="G717">
        <v>5.4</v>
      </c>
      <c r="I717">
        <v>4</v>
      </c>
      <c r="J717" t="s">
        <v>18</v>
      </c>
      <c r="K717" t="str">
        <f t="shared" si="42"/>
        <v/>
      </c>
      <c r="L717" t="s">
        <v>16</v>
      </c>
      <c r="M717">
        <v>4</v>
      </c>
      <c r="T717">
        <f t="shared" si="43"/>
        <v>20</v>
      </c>
      <c r="U717" t="s">
        <v>2795</v>
      </c>
      <c r="V717" s="4" t="s">
        <v>1430</v>
      </c>
      <c r="W717">
        <v>716</v>
      </c>
      <c r="Y717">
        <f t="shared" si="44"/>
        <v>0</v>
      </c>
      <c r="Z717">
        <f t="shared" si="45"/>
        <v>0</v>
      </c>
    </row>
    <row r="718" spans="1:26" x14ac:dyDescent="0.25">
      <c r="A718" s="4">
        <v>5044</v>
      </c>
      <c r="B718" t="s">
        <v>40</v>
      </c>
      <c r="C718">
        <v>6</v>
      </c>
      <c r="D718">
        <v>1</v>
      </c>
      <c r="E718">
        <v>7</v>
      </c>
      <c r="F718" t="s">
        <v>14</v>
      </c>
      <c r="G718">
        <v>5.4</v>
      </c>
      <c r="I718">
        <v>4</v>
      </c>
      <c r="J718" t="s">
        <v>18</v>
      </c>
      <c r="K718" t="str">
        <f t="shared" si="42"/>
        <v/>
      </c>
      <c r="L718" t="s">
        <v>16</v>
      </c>
      <c r="M718">
        <v>4</v>
      </c>
      <c r="T718">
        <f t="shared" si="43"/>
        <v>20</v>
      </c>
      <c r="U718" t="s">
        <v>2799</v>
      </c>
      <c r="V718" s="4" t="s">
        <v>1430</v>
      </c>
      <c r="W718">
        <v>717</v>
      </c>
      <c r="Y718">
        <f t="shared" si="44"/>
        <v>0</v>
      </c>
      <c r="Z718">
        <f t="shared" si="45"/>
        <v>0</v>
      </c>
    </row>
    <row r="719" spans="1:26" x14ac:dyDescent="0.25">
      <c r="A719" s="4">
        <v>5044</v>
      </c>
      <c r="B719" t="s">
        <v>40</v>
      </c>
      <c r="C719">
        <v>6</v>
      </c>
      <c r="D719">
        <v>1</v>
      </c>
      <c r="E719">
        <v>6</v>
      </c>
      <c r="F719" t="s">
        <v>14</v>
      </c>
      <c r="G719">
        <v>5.4</v>
      </c>
      <c r="I719">
        <v>4</v>
      </c>
      <c r="J719" t="s">
        <v>18</v>
      </c>
      <c r="K719" t="str">
        <f t="shared" si="42"/>
        <v/>
      </c>
      <c r="L719" t="s">
        <v>16</v>
      </c>
      <c r="M719">
        <v>4</v>
      </c>
      <c r="T719">
        <f t="shared" si="43"/>
        <v>20</v>
      </c>
      <c r="U719" t="s">
        <v>2803</v>
      </c>
      <c r="V719" s="4" t="s">
        <v>1430</v>
      </c>
      <c r="W719">
        <v>718</v>
      </c>
      <c r="Y719">
        <f t="shared" si="44"/>
        <v>0</v>
      </c>
      <c r="Z719">
        <f t="shared" si="45"/>
        <v>0</v>
      </c>
    </row>
    <row r="720" spans="1:26" x14ac:dyDescent="0.25">
      <c r="A720" s="4">
        <v>5044</v>
      </c>
      <c r="B720" t="s">
        <v>40</v>
      </c>
      <c r="C720">
        <v>6</v>
      </c>
      <c r="D720">
        <v>1</v>
      </c>
      <c r="E720">
        <v>5</v>
      </c>
      <c r="F720" t="s">
        <v>14</v>
      </c>
      <c r="G720">
        <v>5.4</v>
      </c>
      <c r="I720">
        <v>4</v>
      </c>
      <c r="J720" t="s">
        <v>18</v>
      </c>
      <c r="K720" t="str">
        <f t="shared" si="42"/>
        <v/>
      </c>
      <c r="L720" t="s">
        <v>16</v>
      </c>
      <c r="M720">
        <v>4</v>
      </c>
      <c r="T720">
        <f t="shared" si="43"/>
        <v>20</v>
      </c>
      <c r="U720" t="s">
        <v>2807</v>
      </c>
      <c r="V720" s="4" t="s">
        <v>1430</v>
      </c>
      <c r="W720">
        <v>719</v>
      </c>
      <c r="Y720">
        <f t="shared" si="44"/>
        <v>0</v>
      </c>
      <c r="Z720">
        <f t="shared" si="45"/>
        <v>0</v>
      </c>
    </row>
    <row r="721" spans="1:26" x14ac:dyDescent="0.25">
      <c r="A721" s="4">
        <v>5044</v>
      </c>
      <c r="B721" t="s">
        <v>40</v>
      </c>
      <c r="C721">
        <v>6</v>
      </c>
      <c r="D721">
        <v>1</v>
      </c>
      <c r="E721">
        <v>12</v>
      </c>
      <c r="F721" t="s">
        <v>14</v>
      </c>
      <c r="G721">
        <v>6</v>
      </c>
      <c r="I721">
        <v>4</v>
      </c>
      <c r="J721" t="s">
        <v>15</v>
      </c>
      <c r="K721" t="str">
        <f t="shared" si="42"/>
        <v/>
      </c>
      <c r="L721" t="s">
        <v>16</v>
      </c>
      <c r="M721">
        <v>2</v>
      </c>
      <c r="T721">
        <f t="shared" si="43"/>
        <v>20</v>
      </c>
      <c r="U721" t="s">
        <v>2811</v>
      </c>
      <c r="V721" s="4" t="s">
        <v>1430</v>
      </c>
      <c r="W721">
        <v>720</v>
      </c>
      <c r="Y721">
        <f t="shared" si="44"/>
        <v>0</v>
      </c>
      <c r="Z721">
        <f t="shared" si="45"/>
        <v>0</v>
      </c>
    </row>
    <row r="722" spans="1:26" x14ac:dyDescent="0.25">
      <c r="A722" s="4">
        <v>5044</v>
      </c>
      <c r="B722" t="s">
        <v>40</v>
      </c>
      <c r="C722">
        <v>6</v>
      </c>
      <c r="D722">
        <v>1</v>
      </c>
      <c r="E722">
        <v>11</v>
      </c>
      <c r="F722" t="s">
        <v>14</v>
      </c>
      <c r="G722">
        <v>6</v>
      </c>
      <c r="I722">
        <v>4</v>
      </c>
      <c r="J722" t="s">
        <v>15</v>
      </c>
      <c r="K722" t="str">
        <f t="shared" si="42"/>
        <v/>
      </c>
      <c r="L722" t="s">
        <v>16</v>
      </c>
      <c r="M722">
        <v>2</v>
      </c>
      <c r="T722">
        <f t="shared" si="43"/>
        <v>20</v>
      </c>
      <c r="U722" t="s">
        <v>2813</v>
      </c>
      <c r="V722" s="4" t="s">
        <v>1430</v>
      </c>
      <c r="W722">
        <v>721</v>
      </c>
      <c r="Y722">
        <f t="shared" si="44"/>
        <v>0</v>
      </c>
      <c r="Z722">
        <f t="shared" si="45"/>
        <v>0</v>
      </c>
    </row>
    <row r="723" spans="1:26" x14ac:dyDescent="0.25">
      <c r="A723" s="4">
        <v>5044</v>
      </c>
      <c r="B723" t="s">
        <v>40</v>
      </c>
      <c r="C723">
        <v>6</v>
      </c>
      <c r="D723">
        <v>1</v>
      </c>
      <c r="E723">
        <v>10</v>
      </c>
      <c r="F723" t="s">
        <v>14</v>
      </c>
      <c r="G723">
        <v>6</v>
      </c>
      <c r="I723">
        <v>4</v>
      </c>
      <c r="J723" t="s">
        <v>15</v>
      </c>
      <c r="K723" t="str">
        <f t="shared" si="42"/>
        <v/>
      </c>
      <c r="L723" t="s">
        <v>16</v>
      </c>
      <c r="M723">
        <v>2</v>
      </c>
      <c r="T723">
        <f t="shared" si="43"/>
        <v>20</v>
      </c>
      <c r="U723" t="s">
        <v>2816</v>
      </c>
      <c r="V723" s="4" t="s">
        <v>1430</v>
      </c>
      <c r="W723">
        <v>722</v>
      </c>
      <c r="Y723">
        <f t="shared" si="44"/>
        <v>0</v>
      </c>
      <c r="Z723">
        <f t="shared" si="45"/>
        <v>0</v>
      </c>
    </row>
    <row r="724" spans="1:26" x14ac:dyDescent="0.25">
      <c r="A724" s="4">
        <v>5044</v>
      </c>
      <c r="B724" t="s">
        <v>40</v>
      </c>
      <c r="C724">
        <v>6</v>
      </c>
      <c r="D724">
        <v>1</v>
      </c>
      <c r="E724">
        <v>9</v>
      </c>
      <c r="F724" t="s">
        <v>14</v>
      </c>
      <c r="G724">
        <v>6</v>
      </c>
      <c r="I724">
        <v>4</v>
      </c>
      <c r="J724" t="s">
        <v>15</v>
      </c>
      <c r="K724" t="str">
        <f t="shared" si="42"/>
        <v/>
      </c>
      <c r="L724" t="s">
        <v>16</v>
      </c>
      <c r="M724">
        <v>2</v>
      </c>
      <c r="T724">
        <f t="shared" si="43"/>
        <v>20</v>
      </c>
      <c r="U724" t="s">
        <v>2818</v>
      </c>
      <c r="V724" s="4" t="s">
        <v>1043</v>
      </c>
      <c r="W724">
        <v>723</v>
      </c>
      <c r="Y724">
        <f t="shared" si="44"/>
        <v>0</v>
      </c>
      <c r="Z724">
        <f t="shared" si="45"/>
        <v>0</v>
      </c>
    </row>
    <row r="725" spans="1:26" x14ac:dyDescent="0.25">
      <c r="A725" s="4">
        <v>5044</v>
      </c>
      <c r="B725" t="s">
        <v>40</v>
      </c>
      <c r="C725">
        <v>6</v>
      </c>
      <c r="D725">
        <v>1</v>
      </c>
      <c r="E725">
        <v>12</v>
      </c>
      <c r="F725" t="s">
        <v>14</v>
      </c>
      <c r="G725">
        <v>6</v>
      </c>
      <c r="I725">
        <v>4</v>
      </c>
      <c r="J725" t="s">
        <v>18</v>
      </c>
      <c r="K725" t="str">
        <f t="shared" si="42"/>
        <v/>
      </c>
      <c r="L725" t="s">
        <v>16</v>
      </c>
      <c r="M725">
        <v>4</v>
      </c>
      <c r="T725">
        <f t="shared" si="43"/>
        <v>20</v>
      </c>
      <c r="U725" t="s">
        <v>2823</v>
      </c>
      <c r="V725" s="4" t="s">
        <v>1043</v>
      </c>
      <c r="W725">
        <v>724</v>
      </c>
      <c r="Y725">
        <f t="shared" si="44"/>
        <v>0</v>
      </c>
      <c r="Z725">
        <f t="shared" si="45"/>
        <v>0</v>
      </c>
    </row>
    <row r="726" spans="1:26" x14ac:dyDescent="0.25">
      <c r="A726" s="4">
        <v>5044</v>
      </c>
      <c r="B726" t="s">
        <v>40</v>
      </c>
      <c r="C726">
        <v>6</v>
      </c>
      <c r="D726">
        <v>1</v>
      </c>
      <c r="E726">
        <v>11</v>
      </c>
      <c r="F726" t="s">
        <v>14</v>
      </c>
      <c r="G726">
        <v>6</v>
      </c>
      <c r="I726">
        <v>4</v>
      </c>
      <c r="J726" t="s">
        <v>18</v>
      </c>
      <c r="K726" t="str">
        <f t="shared" si="42"/>
        <v/>
      </c>
      <c r="L726" t="s">
        <v>16</v>
      </c>
      <c r="M726">
        <v>4</v>
      </c>
      <c r="T726">
        <f t="shared" si="43"/>
        <v>20</v>
      </c>
      <c r="U726" t="s">
        <v>2826</v>
      </c>
      <c r="V726" s="4" t="s">
        <v>1043</v>
      </c>
      <c r="W726">
        <v>725</v>
      </c>
      <c r="Y726">
        <f t="shared" si="44"/>
        <v>0</v>
      </c>
      <c r="Z726">
        <f t="shared" si="45"/>
        <v>0</v>
      </c>
    </row>
    <row r="727" spans="1:26" x14ac:dyDescent="0.25">
      <c r="A727" s="4">
        <v>5044</v>
      </c>
      <c r="B727" t="s">
        <v>40</v>
      </c>
      <c r="C727">
        <v>6</v>
      </c>
      <c r="D727">
        <v>1</v>
      </c>
      <c r="E727">
        <v>10</v>
      </c>
      <c r="F727" t="s">
        <v>14</v>
      </c>
      <c r="G727">
        <v>6</v>
      </c>
      <c r="I727">
        <v>4</v>
      </c>
      <c r="J727" t="s">
        <v>18</v>
      </c>
      <c r="K727" t="str">
        <f t="shared" si="42"/>
        <v/>
      </c>
      <c r="L727" t="s">
        <v>16</v>
      </c>
      <c r="M727">
        <v>4</v>
      </c>
      <c r="T727">
        <f t="shared" si="43"/>
        <v>20</v>
      </c>
      <c r="U727" t="s">
        <v>2829</v>
      </c>
      <c r="V727" s="4" t="s">
        <v>1430</v>
      </c>
      <c r="W727">
        <v>726</v>
      </c>
      <c r="Y727">
        <f t="shared" si="44"/>
        <v>0</v>
      </c>
      <c r="Z727">
        <f t="shared" si="45"/>
        <v>0</v>
      </c>
    </row>
    <row r="728" spans="1:26" x14ac:dyDescent="0.25">
      <c r="A728" s="4">
        <v>5044</v>
      </c>
      <c r="B728" t="s">
        <v>40</v>
      </c>
      <c r="C728">
        <v>6</v>
      </c>
      <c r="D728">
        <v>1</v>
      </c>
      <c r="E728">
        <v>9</v>
      </c>
      <c r="F728" t="s">
        <v>14</v>
      </c>
      <c r="G728">
        <v>6</v>
      </c>
      <c r="I728">
        <v>4</v>
      </c>
      <c r="J728" t="s">
        <v>18</v>
      </c>
      <c r="K728" t="str">
        <f t="shared" si="42"/>
        <v/>
      </c>
      <c r="L728" t="s">
        <v>16</v>
      </c>
      <c r="M728">
        <v>4</v>
      </c>
      <c r="T728">
        <f t="shared" si="43"/>
        <v>20</v>
      </c>
      <c r="U728" t="s">
        <v>2835</v>
      </c>
      <c r="V728" s="4" t="s">
        <v>1430</v>
      </c>
      <c r="W728">
        <v>727</v>
      </c>
      <c r="Y728">
        <f t="shared" si="44"/>
        <v>0</v>
      </c>
      <c r="Z728">
        <f t="shared" si="45"/>
        <v>0</v>
      </c>
    </row>
    <row r="729" spans="1:26" x14ac:dyDescent="0.25">
      <c r="A729" s="4">
        <v>5044</v>
      </c>
      <c r="B729" t="s">
        <v>40</v>
      </c>
      <c r="C729">
        <v>6</v>
      </c>
      <c r="D729">
        <v>1</v>
      </c>
      <c r="E729">
        <v>16</v>
      </c>
      <c r="F729" t="s">
        <v>14</v>
      </c>
      <c r="G729">
        <v>6.75</v>
      </c>
      <c r="I729">
        <v>4</v>
      </c>
      <c r="J729" t="s">
        <v>15</v>
      </c>
      <c r="K729" t="str">
        <f t="shared" si="42"/>
        <v/>
      </c>
      <c r="L729" t="s">
        <v>16</v>
      </c>
      <c r="M729">
        <v>3</v>
      </c>
      <c r="T729">
        <f t="shared" si="43"/>
        <v>20</v>
      </c>
      <c r="U729" t="s">
        <v>2840</v>
      </c>
      <c r="V729" s="4" t="s">
        <v>1430</v>
      </c>
      <c r="W729">
        <v>728</v>
      </c>
      <c r="Y729">
        <f t="shared" si="44"/>
        <v>0</v>
      </c>
      <c r="Z729">
        <f t="shared" si="45"/>
        <v>0</v>
      </c>
    </row>
    <row r="730" spans="1:26" x14ac:dyDescent="0.25">
      <c r="A730" s="4">
        <v>5044</v>
      </c>
      <c r="B730" t="s">
        <v>40</v>
      </c>
      <c r="C730">
        <v>6</v>
      </c>
      <c r="D730">
        <v>1</v>
      </c>
      <c r="E730">
        <v>15</v>
      </c>
      <c r="F730" t="s">
        <v>14</v>
      </c>
      <c r="G730">
        <v>6.75</v>
      </c>
      <c r="I730">
        <v>4</v>
      </c>
      <c r="J730" t="s">
        <v>15</v>
      </c>
      <c r="K730" t="str">
        <f t="shared" si="42"/>
        <v/>
      </c>
      <c r="L730" t="s">
        <v>16</v>
      </c>
      <c r="M730">
        <v>3</v>
      </c>
      <c r="T730">
        <f t="shared" si="43"/>
        <v>20</v>
      </c>
      <c r="U730" t="s">
        <v>2844</v>
      </c>
      <c r="V730" s="4" t="s">
        <v>1055</v>
      </c>
      <c r="W730">
        <v>729</v>
      </c>
      <c r="Y730">
        <f t="shared" si="44"/>
        <v>0</v>
      </c>
      <c r="Z730">
        <f t="shared" si="45"/>
        <v>0</v>
      </c>
    </row>
    <row r="731" spans="1:26" x14ac:dyDescent="0.25">
      <c r="A731" s="4">
        <v>5044</v>
      </c>
      <c r="B731" t="s">
        <v>40</v>
      </c>
      <c r="C731">
        <v>6</v>
      </c>
      <c r="D731">
        <v>1</v>
      </c>
      <c r="E731">
        <v>14</v>
      </c>
      <c r="F731" t="s">
        <v>14</v>
      </c>
      <c r="G731">
        <v>6.75</v>
      </c>
      <c r="I731">
        <v>4</v>
      </c>
      <c r="J731" t="s">
        <v>15</v>
      </c>
      <c r="K731" t="str">
        <f t="shared" si="42"/>
        <v/>
      </c>
      <c r="L731" t="s">
        <v>16</v>
      </c>
      <c r="M731">
        <v>3</v>
      </c>
      <c r="T731">
        <f t="shared" si="43"/>
        <v>20</v>
      </c>
      <c r="U731" t="s">
        <v>2849</v>
      </c>
      <c r="V731" s="4" t="s">
        <v>1055</v>
      </c>
      <c r="W731">
        <v>730</v>
      </c>
      <c r="Y731">
        <f t="shared" si="44"/>
        <v>0</v>
      </c>
      <c r="Z731">
        <f t="shared" si="45"/>
        <v>0</v>
      </c>
    </row>
    <row r="732" spans="1:26" x14ac:dyDescent="0.25">
      <c r="A732" s="4">
        <v>5044</v>
      </c>
      <c r="B732" t="s">
        <v>40</v>
      </c>
      <c r="C732">
        <v>6</v>
      </c>
      <c r="D732">
        <v>1</v>
      </c>
      <c r="E732">
        <v>13</v>
      </c>
      <c r="F732" t="s">
        <v>14</v>
      </c>
      <c r="G732">
        <v>6.75</v>
      </c>
      <c r="I732">
        <v>4</v>
      </c>
      <c r="J732" t="s">
        <v>15</v>
      </c>
      <c r="K732" t="str">
        <f t="shared" si="42"/>
        <v/>
      </c>
      <c r="L732" t="s">
        <v>16</v>
      </c>
      <c r="M732">
        <v>3</v>
      </c>
      <c r="T732">
        <f t="shared" si="43"/>
        <v>20</v>
      </c>
      <c r="U732" t="s">
        <v>2852</v>
      </c>
      <c r="V732" s="4" t="s">
        <v>1055</v>
      </c>
      <c r="W732">
        <v>731</v>
      </c>
      <c r="Y732">
        <f t="shared" si="44"/>
        <v>0</v>
      </c>
      <c r="Z732">
        <f t="shared" si="45"/>
        <v>0</v>
      </c>
    </row>
    <row r="733" spans="1:26" x14ac:dyDescent="0.25">
      <c r="A733" s="4">
        <v>5044</v>
      </c>
      <c r="B733" t="s">
        <v>40</v>
      </c>
      <c r="C733">
        <v>6</v>
      </c>
      <c r="D733">
        <v>1</v>
      </c>
      <c r="E733">
        <v>16</v>
      </c>
      <c r="F733" t="s">
        <v>14</v>
      </c>
      <c r="G733">
        <v>6.75</v>
      </c>
      <c r="I733">
        <v>4</v>
      </c>
      <c r="J733" t="s">
        <v>18</v>
      </c>
      <c r="K733" t="str">
        <f t="shared" si="42"/>
        <v/>
      </c>
      <c r="L733" t="s">
        <v>16</v>
      </c>
      <c r="M733">
        <v>4</v>
      </c>
      <c r="T733">
        <f t="shared" si="43"/>
        <v>20</v>
      </c>
      <c r="U733" t="s">
        <v>2856</v>
      </c>
      <c r="V733" s="4" t="s">
        <v>1438</v>
      </c>
      <c r="W733">
        <v>732</v>
      </c>
      <c r="Y733">
        <f t="shared" si="44"/>
        <v>0</v>
      </c>
      <c r="Z733">
        <f t="shared" si="45"/>
        <v>0</v>
      </c>
    </row>
    <row r="734" spans="1:26" x14ac:dyDescent="0.25">
      <c r="A734" s="4">
        <v>5044</v>
      </c>
      <c r="B734" t="s">
        <v>40</v>
      </c>
      <c r="C734">
        <v>6</v>
      </c>
      <c r="D734">
        <v>1</v>
      </c>
      <c r="E734">
        <v>15</v>
      </c>
      <c r="F734" t="s">
        <v>14</v>
      </c>
      <c r="G734">
        <v>6.75</v>
      </c>
      <c r="I734">
        <v>4</v>
      </c>
      <c r="J734" t="s">
        <v>18</v>
      </c>
      <c r="K734" t="str">
        <f t="shared" si="42"/>
        <v/>
      </c>
      <c r="L734" t="s">
        <v>16</v>
      </c>
      <c r="M734">
        <v>4</v>
      </c>
      <c r="T734">
        <f t="shared" si="43"/>
        <v>20</v>
      </c>
      <c r="U734" t="s">
        <v>2861</v>
      </c>
      <c r="V734" s="4" t="s">
        <v>1438</v>
      </c>
      <c r="W734">
        <v>733</v>
      </c>
      <c r="Y734">
        <f t="shared" si="44"/>
        <v>0</v>
      </c>
      <c r="Z734">
        <f t="shared" si="45"/>
        <v>0</v>
      </c>
    </row>
    <row r="735" spans="1:26" x14ac:dyDescent="0.25">
      <c r="A735" s="4">
        <v>5044</v>
      </c>
      <c r="B735" t="s">
        <v>40</v>
      </c>
      <c r="C735">
        <v>6</v>
      </c>
      <c r="D735">
        <v>1</v>
      </c>
      <c r="E735">
        <v>14</v>
      </c>
      <c r="F735" t="s">
        <v>14</v>
      </c>
      <c r="G735">
        <v>6.75</v>
      </c>
      <c r="I735">
        <v>4</v>
      </c>
      <c r="J735" t="s">
        <v>18</v>
      </c>
      <c r="K735" t="str">
        <f t="shared" si="42"/>
        <v/>
      </c>
      <c r="L735" t="s">
        <v>16</v>
      </c>
      <c r="M735">
        <v>4</v>
      </c>
      <c r="T735">
        <f t="shared" si="43"/>
        <v>20</v>
      </c>
      <c r="U735" t="s">
        <v>2865</v>
      </c>
      <c r="V735" s="4" t="s">
        <v>1438</v>
      </c>
      <c r="W735">
        <v>734</v>
      </c>
      <c r="Y735">
        <f t="shared" si="44"/>
        <v>0</v>
      </c>
      <c r="Z735">
        <f t="shared" si="45"/>
        <v>0</v>
      </c>
    </row>
    <row r="736" spans="1:26" x14ac:dyDescent="0.25">
      <c r="A736" s="4">
        <v>5044</v>
      </c>
      <c r="B736" t="s">
        <v>40</v>
      </c>
      <c r="C736">
        <v>6</v>
      </c>
      <c r="D736">
        <v>1</v>
      </c>
      <c r="E736">
        <v>13</v>
      </c>
      <c r="F736" t="s">
        <v>14</v>
      </c>
      <c r="G736">
        <v>6.75</v>
      </c>
      <c r="I736">
        <v>4</v>
      </c>
      <c r="J736" t="s">
        <v>18</v>
      </c>
      <c r="K736" t="str">
        <f t="shared" si="42"/>
        <v/>
      </c>
      <c r="L736" t="s">
        <v>16</v>
      </c>
      <c r="M736">
        <v>4</v>
      </c>
      <c r="T736">
        <f t="shared" si="43"/>
        <v>20</v>
      </c>
      <c r="U736" t="s">
        <v>2868</v>
      </c>
      <c r="V736" s="4" t="s">
        <v>2869</v>
      </c>
      <c r="W736">
        <v>735</v>
      </c>
      <c r="Y736">
        <f t="shared" si="44"/>
        <v>0</v>
      </c>
      <c r="Z736">
        <f t="shared" si="45"/>
        <v>0</v>
      </c>
    </row>
    <row r="737" spans="1:26" x14ac:dyDescent="0.25">
      <c r="A737" s="4">
        <v>5070</v>
      </c>
      <c r="B737" t="s">
        <v>22</v>
      </c>
      <c r="C737">
        <v>6</v>
      </c>
      <c r="D737">
        <v>1</v>
      </c>
      <c r="E737">
        <v>5</v>
      </c>
      <c r="F737" t="s">
        <v>14</v>
      </c>
      <c r="G737">
        <v>5.25</v>
      </c>
      <c r="I737">
        <v>4</v>
      </c>
      <c r="J737" t="s">
        <v>15</v>
      </c>
      <c r="K737" t="str">
        <f t="shared" si="42"/>
        <v/>
      </c>
      <c r="L737" t="s">
        <v>16</v>
      </c>
      <c r="M737">
        <v>4</v>
      </c>
      <c r="T737">
        <f t="shared" si="43"/>
        <v>20</v>
      </c>
      <c r="U737" t="s">
        <v>2875</v>
      </c>
      <c r="V737" s="4" t="s">
        <v>2876</v>
      </c>
      <c r="W737">
        <v>736</v>
      </c>
      <c r="Y737">
        <f t="shared" si="44"/>
        <v>0</v>
      </c>
      <c r="Z737">
        <f t="shared" si="45"/>
        <v>0</v>
      </c>
    </row>
    <row r="738" spans="1:26" x14ac:dyDescent="0.25">
      <c r="A738" s="4">
        <v>5070</v>
      </c>
      <c r="B738" t="s">
        <v>22</v>
      </c>
      <c r="C738">
        <v>6</v>
      </c>
      <c r="D738">
        <v>1</v>
      </c>
      <c r="E738">
        <v>4</v>
      </c>
      <c r="F738" t="s">
        <v>14</v>
      </c>
      <c r="G738">
        <v>5.25</v>
      </c>
      <c r="I738">
        <v>4</v>
      </c>
      <c r="J738" t="s">
        <v>15</v>
      </c>
      <c r="K738" t="str">
        <f t="shared" si="42"/>
        <v/>
      </c>
      <c r="L738" t="s">
        <v>16</v>
      </c>
      <c r="M738">
        <v>4</v>
      </c>
      <c r="T738">
        <f t="shared" si="43"/>
        <v>20</v>
      </c>
      <c r="U738" t="s">
        <v>2878</v>
      </c>
      <c r="V738" s="4" t="s">
        <v>2876</v>
      </c>
      <c r="W738">
        <v>737</v>
      </c>
      <c r="Y738">
        <f t="shared" si="44"/>
        <v>0</v>
      </c>
      <c r="Z738">
        <f t="shared" si="45"/>
        <v>0</v>
      </c>
    </row>
    <row r="739" spans="1:26" x14ac:dyDescent="0.25">
      <c r="A739" s="4">
        <v>5070</v>
      </c>
      <c r="B739" t="s">
        <v>22</v>
      </c>
      <c r="C739">
        <v>6</v>
      </c>
      <c r="D739">
        <v>1</v>
      </c>
      <c r="E739">
        <v>3</v>
      </c>
      <c r="F739" t="s">
        <v>14</v>
      </c>
      <c r="G739">
        <v>5.25</v>
      </c>
      <c r="I739">
        <v>4</v>
      </c>
      <c r="J739" t="s">
        <v>15</v>
      </c>
      <c r="K739" t="str">
        <f t="shared" si="42"/>
        <v/>
      </c>
      <c r="L739" t="s">
        <v>16</v>
      </c>
      <c r="M739">
        <v>4</v>
      </c>
      <c r="T739">
        <f t="shared" si="43"/>
        <v>20</v>
      </c>
      <c r="U739" t="s">
        <v>2880</v>
      </c>
      <c r="V739" s="4" t="s">
        <v>2876</v>
      </c>
      <c r="W739">
        <v>738</v>
      </c>
      <c r="Y739">
        <f t="shared" si="44"/>
        <v>0</v>
      </c>
      <c r="Z739">
        <f t="shared" si="45"/>
        <v>0</v>
      </c>
    </row>
    <row r="740" spans="1:26" x14ac:dyDescent="0.25">
      <c r="A740" s="4">
        <v>5070</v>
      </c>
      <c r="B740" t="s">
        <v>22</v>
      </c>
      <c r="C740">
        <v>6</v>
      </c>
      <c r="D740">
        <v>1</v>
      </c>
      <c r="E740">
        <v>2</v>
      </c>
      <c r="F740" t="s">
        <v>14</v>
      </c>
      <c r="G740">
        <v>5.25</v>
      </c>
      <c r="I740">
        <v>4</v>
      </c>
      <c r="J740" t="s">
        <v>15</v>
      </c>
      <c r="K740" t="str">
        <f t="shared" si="42"/>
        <v/>
      </c>
      <c r="L740" t="s">
        <v>16</v>
      </c>
      <c r="M740">
        <v>4</v>
      </c>
      <c r="T740">
        <f t="shared" si="43"/>
        <v>20</v>
      </c>
      <c r="U740" t="s">
        <v>2882</v>
      </c>
      <c r="V740" s="4" t="s">
        <v>2869</v>
      </c>
      <c r="W740">
        <v>739</v>
      </c>
      <c r="Y740">
        <f t="shared" si="44"/>
        <v>0</v>
      </c>
      <c r="Z740">
        <f t="shared" si="45"/>
        <v>0</v>
      </c>
    </row>
    <row r="741" spans="1:26" x14ac:dyDescent="0.25">
      <c r="A741" s="4">
        <v>5070</v>
      </c>
      <c r="B741" t="s">
        <v>22</v>
      </c>
      <c r="C741">
        <v>6</v>
      </c>
      <c r="D741">
        <v>1</v>
      </c>
      <c r="E741">
        <v>5</v>
      </c>
      <c r="F741" t="s">
        <v>14</v>
      </c>
      <c r="G741">
        <v>5.25</v>
      </c>
      <c r="I741">
        <v>4</v>
      </c>
      <c r="J741" t="s">
        <v>18</v>
      </c>
      <c r="K741" t="str">
        <f t="shared" si="42"/>
        <v/>
      </c>
      <c r="L741" t="s">
        <v>16</v>
      </c>
      <c r="M741">
        <v>5</v>
      </c>
      <c r="T741">
        <f t="shared" si="43"/>
        <v>20</v>
      </c>
      <c r="U741" t="s">
        <v>2886</v>
      </c>
      <c r="V741" s="4" t="s">
        <v>2869</v>
      </c>
      <c r="W741">
        <v>740</v>
      </c>
      <c r="Y741">
        <f t="shared" si="44"/>
        <v>0</v>
      </c>
      <c r="Z741">
        <f t="shared" si="45"/>
        <v>0</v>
      </c>
    </row>
    <row r="742" spans="1:26" x14ac:dyDescent="0.25">
      <c r="A742" s="4">
        <v>5070</v>
      </c>
      <c r="B742" t="s">
        <v>22</v>
      </c>
      <c r="C742">
        <v>6</v>
      </c>
      <c r="D742">
        <v>1</v>
      </c>
      <c r="E742">
        <v>4</v>
      </c>
      <c r="F742" t="s">
        <v>14</v>
      </c>
      <c r="G742">
        <v>5.25</v>
      </c>
      <c r="I742">
        <v>4</v>
      </c>
      <c r="J742" t="s">
        <v>18</v>
      </c>
      <c r="K742" t="str">
        <f t="shared" si="42"/>
        <v/>
      </c>
      <c r="L742" t="s">
        <v>16</v>
      </c>
      <c r="M742">
        <v>5</v>
      </c>
      <c r="T742">
        <f t="shared" si="43"/>
        <v>20</v>
      </c>
      <c r="U742" t="s">
        <v>2889</v>
      </c>
      <c r="V742" s="4" t="s">
        <v>1440</v>
      </c>
      <c r="W742">
        <v>741</v>
      </c>
      <c r="Y742">
        <f t="shared" si="44"/>
        <v>0</v>
      </c>
      <c r="Z742">
        <f t="shared" si="45"/>
        <v>0</v>
      </c>
    </row>
    <row r="743" spans="1:26" x14ac:dyDescent="0.25">
      <c r="A743" s="4">
        <v>5070</v>
      </c>
      <c r="B743" t="s">
        <v>22</v>
      </c>
      <c r="C743">
        <v>6</v>
      </c>
      <c r="D743">
        <v>1</v>
      </c>
      <c r="E743">
        <v>3</v>
      </c>
      <c r="F743" t="s">
        <v>14</v>
      </c>
      <c r="G743">
        <v>5.25</v>
      </c>
      <c r="I743">
        <v>4</v>
      </c>
      <c r="J743" t="s">
        <v>18</v>
      </c>
      <c r="K743" t="str">
        <f t="shared" si="42"/>
        <v/>
      </c>
      <c r="L743" t="s">
        <v>16</v>
      </c>
      <c r="M743">
        <v>5</v>
      </c>
      <c r="T743">
        <f t="shared" si="43"/>
        <v>20</v>
      </c>
      <c r="U743" t="s">
        <v>2893</v>
      </c>
      <c r="V743" s="4" t="s">
        <v>1440</v>
      </c>
      <c r="W743">
        <v>742</v>
      </c>
      <c r="Y743">
        <f t="shared" si="44"/>
        <v>0</v>
      </c>
      <c r="Z743">
        <f t="shared" si="45"/>
        <v>0</v>
      </c>
    </row>
    <row r="744" spans="1:26" x14ac:dyDescent="0.25">
      <c r="A744" s="4">
        <v>5070</v>
      </c>
      <c r="B744" t="s">
        <v>22</v>
      </c>
      <c r="C744">
        <v>6</v>
      </c>
      <c r="D744">
        <v>1</v>
      </c>
      <c r="E744">
        <v>2</v>
      </c>
      <c r="F744" t="s">
        <v>14</v>
      </c>
      <c r="G744">
        <v>5.25</v>
      </c>
      <c r="I744">
        <v>4</v>
      </c>
      <c r="J744" t="s">
        <v>18</v>
      </c>
      <c r="K744" t="str">
        <f t="shared" si="42"/>
        <v/>
      </c>
      <c r="L744" t="s">
        <v>16</v>
      </c>
      <c r="M744">
        <v>5</v>
      </c>
      <c r="T744">
        <f t="shared" si="43"/>
        <v>20</v>
      </c>
      <c r="U744" t="s">
        <v>2895</v>
      </c>
      <c r="V744" s="4" t="s">
        <v>1440</v>
      </c>
      <c r="W744">
        <v>743</v>
      </c>
      <c r="Y744">
        <f t="shared" si="44"/>
        <v>0</v>
      </c>
      <c r="Z744">
        <f t="shared" si="45"/>
        <v>0</v>
      </c>
    </row>
    <row r="745" spans="1:26" x14ac:dyDescent="0.25">
      <c r="A745" s="4">
        <v>5070</v>
      </c>
      <c r="B745" t="s">
        <v>22</v>
      </c>
      <c r="C745">
        <v>6</v>
      </c>
      <c r="D745">
        <v>1</v>
      </c>
      <c r="E745">
        <v>10</v>
      </c>
      <c r="F745" t="s">
        <v>14</v>
      </c>
      <c r="G745">
        <v>5.85</v>
      </c>
      <c r="I745">
        <v>5</v>
      </c>
      <c r="J745" t="s">
        <v>15</v>
      </c>
      <c r="K745" t="str">
        <f t="shared" si="42"/>
        <v/>
      </c>
      <c r="L745" t="s">
        <v>16</v>
      </c>
      <c r="M745">
        <v>3</v>
      </c>
      <c r="T745">
        <f t="shared" si="43"/>
        <v>20</v>
      </c>
      <c r="U745" t="s">
        <v>2897</v>
      </c>
      <c r="V745" s="4" t="s">
        <v>1822</v>
      </c>
      <c r="W745">
        <v>744</v>
      </c>
      <c r="Y745">
        <f t="shared" si="44"/>
        <v>0</v>
      </c>
      <c r="Z745">
        <f t="shared" si="45"/>
        <v>0</v>
      </c>
    </row>
    <row r="746" spans="1:26" x14ac:dyDescent="0.25">
      <c r="A746" s="4">
        <v>5070</v>
      </c>
      <c r="B746" t="s">
        <v>22</v>
      </c>
      <c r="C746">
        <v>6</v>
      </c>
      <c r="D746">
        <v>1</v>
      </c>
      <c r="E746">
        <v>9</v>
      </c>
      <c r="F746" t="s">
        <v>14</v>
      </c>
      <c r="G746">
        <v>5.85</v>
      </c>
      <c r="I746">
        <v>5</v>
      </c>
      <c r="J746" t="s">
        <v>15</v>
      </c>
      <c r="K746" t="str">
        <f t="shared" si="42"/>
        <v/>
      </c>
      <c r="L746" t="s">
        <v>16</v>
      </c>
      <c r="M746">
        <v>3</v>
      </c>
      <c r="T746">
        <f t="shared" si="43"/>
        <v>20</v>
      </c>
      <c r="U746" t="s">
        <v>2902</v>
      </c>
      <c r="V746" s="4" t="s">
        <v>1822</v>
      </c>
      <c r="W746">
        <v>745</v>
      </c>
      <c r="Y746">
        <f t="shared" si="44"/>
        <v>0</v>
      </c>
      <c r="Z746">
        <f t="shared" si="45"/>
        <v>0</v>
      </c>
    </row>
    <row r="747" spans="1:26" x14ac:dyDescent="0.25">
      <c r="A747" s="4">
        <v>5070</v>
      </c>
      <c r="B747" t="s">
        <v>22</v>
      </c>
      <c r="C747">
        <v>6</v>
      </c>
      <c r="D747">
        <v>1</v>
      </c>
      <c r="E747">
        <v>8</v>
      </c>
      <c r="F747" t="s">
        <v>14</v>
      </c>
      <c r="G747">
        <v>5.85</v>
      </c>
      <c r="I747">
        <v>5</v>
      </c>
      <c r="J747" t="s">
        <v>15</v>
      </c>
      <c r="K747" t="str">
        <f t="shared" si="42"/>
        <v/>
      </c>
      <c r="L747" t="s">
        <v>16</v>
      </c>
      <c r="M747">
        <v>3</v>
      </c>
      <c r="T747">
        <f t="shared" si="43"/>
        <v>20</v>
      </c>
      <c r="U747" t="s">
        <v>2905</v>
      </c>
      <c r="V747" s="4" t="s">
        <v>1822</v>
      </c>
      <c r="W747">
        <v>746</v>
      </c>
      <c r="Y747">
        <f t="shared" si="44"/>
        <v>0</v>
      </c>
      <c r="Z747">
        <f t="shared" si="45"/>
        <v>0</v>
      </c>
    </row>
    <row r="748" spans="1:26" x14ac:dyDescent="0.25">
      <c r="A748" s="4">
        <v>5070</v>
      </c>
      <c r="B748" t="s">
        <v>22</v>
      </c>
      <c r="C748">
        <v>6</v>
      </c>
      <c r="D748">
        <v>1</v>
      </c>
      <c r="E748">
        <v>7</v>
      </c>
      <c r="F748" t="s">
        <v>14</v>
      </c>
      <c r="G748">
        <v>5.85</v>
      </c>
      <c r="I748">
        <v>5</v>
      </c>
      <c r="J748" t="s">
        <v>15</v>
      </c>
      <c r="K748" t="str">
        <f t="shared" si="42"/>
        <v/>
      </c>
      <c r="L748" t="s">
        <v>16</v>
      </c>
      <c r="M748">
        <v>3</v>
      </c>
      <c r="T748">
        <f t="shared" si="43"/>
        <v>20</v>
      </c>
      <c r="U748" t="s">
        <v>2908</v>
      </c>
      <c r="V748" s="4" t="s">
        <v>2909</v>
      </c>
      <c r="W748">
        <v>747</v>
      </c>
      <c r="Y748">
        <f t="shared" si="44"/>
        <v>0</v>
      </c>
      <c r="Z748">
        <f t="shared" si="45"/>
        <v>0</v>
      </c>
    </row>
    <row r="749" spans="1:26" x14ac:dyDescent="0.25">
      <c r="A749" s="4">
        <v>5070</v>
      </c>
      <c r="B749" t="s">
        <v>22</v>
      </c>
      <c r="C749">
        <v>6</v>
      </c>
      <c r="D749">
        <v>1</v>
      </c>
      <c r="E749">
        <v>6</v>
      </c>
      <c r="F749" t="s">
        <v>14</v>
      </c>
      <c r="G749">
        <v>5.85</v>
      </c>
      <c r="I749">
        <v>5</v>
      </c>
      <c r="J749" t="s">
        <v>15</v>
      </c>
      <c r="K749" t="str">
        <f t="shared" si="42"/>
        <v/>
      </c>
      <c r="L749" t="s">
        <v>16</v>
      </c>
      <c r="M749">
        <v>3</v>
      </c>
      <c r="T749">
        <f t="shared" si="43"/>
        <v>20</v>
      </c>
      <c r="U749" t="s">
        <v>2913</v>
      </c>
      <c r="V749" s="4" t="s">
        <v>2909</v>
      </c>
      <c r="W749">
        <v>748</v>
      </c>
      <c r="Y749">
        <f t="shared" si="44"/>
        <v>0</v>
      </c>
      <c r="Z749">
        <f t="shared" si="45"/>
        <v>0</v>
      </c>
    </row>
    <row r="750" spans="1:26" x14ac:dyDescent="0.25">
      <c r="A750" s="4">
        <v>5070</v>
      </c>
      <c r="B750" t="s">
        <v>22</v>
      </c>
      <c r="C750">
        <v>6</v>
      </c>
      <c r="D750">
        <v>1</v>
      </c>
      <c r="E750">
        <v>10</v>
      </c>
      <c r="F750" t="s">
        <v>14</v>
      </c>
      <c r="G750">
        <v>5.85</v>
      </c>
      <c r="I750">
        <v>5</v>
      </c>
      <c r="J750" t="s">
        <v>18</v>
      </c>
      <c r="K750" t="str">
        <f t="shared" si="42"/>
        <v/>
      </c>
      <c r="L750" t="s">
        <v>16</v>
      </c>
      <c r="M750">
        <v>3</v>
      </c>
      <c r="T750">
        <f t="shared" si="43"/>
        <v>20</v>
      </c>
      <c r="U750" t="s">
        <v>2915</v>
      </c>
      <c r="V750" s="4" t="s">
        <v>2909</v>
      </c>
      <c r="W750">
        <v>749</v>
      </c>
      <c r="Y750">
        <f t="shared" si="44"/>
        <v>0</v>
      </c>
      <c r="Z750">
        <f t="shared" si="45"/>
        <v>0</v>
      </c>
    </row>
    <row r="751" spans="1:26" x14ac:dyDescent="0.25">
      <c r="A751" s="4">
        <v>5070</v>
      </c>
      <c r="B751" t="s">
        <v>22</v>
      </c>
      <c r="C751">
        <v>6</v>
      </c>
      <c r="D751">
        <v>1</v>
      </c>
      <c r="E751">
        <v>9</v>
      </c>
      <c r="F751" t="s">
        <v>14</v>
      </c>
      <c r="G751">
        <v>5.85</v>
      </c>
      <c r="I751">
        <v>5</v>
      </c>
      <c r="J751" t="s">
        <v>18</v>
      </c>
      <c r="K751" t="str">
        <f t="shared" si="42"/>
        <v/>
      </c>
      <c r="L751" t="s">
        <v>16</v>
      </c>
      <c r="M751">
        <v>3</v>
      </c>
      <c r="T751">
        <f t="shared" si="43"/>
        <v>20</v>
      </c>
      <c r="U751" t="s">
        <v>2917</v>
      </c>
      <c r="V751" s="4" t="s">
        <v>2909</v>
      </c>
      <c r="W751">
        <v>750</v>
      </c>
      <c r="Y751">
        <f t="shared" si="44"/>
        <v>0</v>
      </c>
      <c r="Z751">
        <f t="shared" si="45"/>
        <v>0</v>
      </c>
    </row>
    <row r="752" spans="1:26" x14ac:dyDescent="0.25">
      <c r="A752" s="4">
        <v>5070</v>
      </c>
      <c r="B752" t="s">
        <v>22</v>
      </c>
      <c r="C752">
        <v>6</v>
      </c>
      <c r="D752">
        <v>1</v>
      </c>
      <c r="E752">
        <v>8</v>
      </c>
      <c r="F752" t="s">
        <v>14</v>
      </c>
      <c r="G752">
        <v>5.85</v>
      </c>
      <c r="I752">
        <v>5</v>
      </c>
      <c r="J752" t="s">
        <v>18</v>
      </c>
      <c r="K752" t="str">
        <f t="shared" si="42"/>
        <v/>
      </c>
      <c r="L752" t="s">
        <v>16</v>
      </c>
      <c r="M752">
        <v>3</v>
      </c>
      <c r="T752">
        <f t="shared" si="43"/>
        <v>20</v>
      </c>
      <c r="U752" t="s">
        <v>2920</v>
      </c>
      <c r="V752" s="4" t="s">
        <v>2909</v>
      </c>
      <c r="W752">
        <v>751</v>
      </c>
      <c r="Y752">
        <f t="shared" si="44"/>
        <v>0</v>
      </c>
      <c r="Z752">
        <f t="shared" si="45"/>
        <v>0</v>
      </c>
    </row>
    <row r="753" spans="1:26" x14ac:dyDescent="0.25">
      <c r="A753" s="4">
        <v>5070</v>
      </c>
      <c r="B753" t="s">
        <v>22</v>
      </c>
      <c r="C753">
        <v>6</v>
      </c>
      <c r="D753">
        <v>1</v>
      </c>
      <c r="E753">
        <v>7</v>
      </c>
      <c r="F753" t="s">
        <v>14</v>
      </c>
      <c r="G753">
        <v>5.85</v>
      </c>
      <c r="I753">
        <v>5</v>
      </c>
      <c r="J753" t="s">
        <v>18</v>
      </c>
      <c r="K753" t="str">
        <f t="shared" si="42"/>
        <v/>
      </c>
      <c r="L753" t="s">
        <v>16</v>
      </c>
      <c r="M753">
        <v>3</v>
      </c>
      <c r="T753">
        <f t="shared" si="43"/>
        <v>20</v>
      </c>
      <c r="U753" t="s">
        <v>2922</v>
      </c>
      <c r="V753" s="4" t="s">
        <v>2909</v>
      </c>
      <c r="W753">
        <v>752</v>
      </c>
      <c r="Y753">
        <f t="shared" si="44"/>
        <v>0</v>
      </c>
      <c r="Z753">
        <f t="shared" si="45"/>
        <v>0</v>
      </c>
    </row>
    <row r="754" spans="1:26" x14ac:dyDescent="0.25">
      <c r="A754" s="4">
        <v>5070</v>
      </c>
      <c r="B754" t="s">
        <v>22</v>
      </c>
      <c r="C754">
        <v>6</v>
      </c>
      <c r="D754">
        <v>1</v>
      </c>
      <c r="E754">
        <v>6</v>
      </c>
      <c r="F754" t="s">
        <v>14</v>
      </c>
      <c r="G754">
        <v>5.85</v>
      </c>
      <c r="I754">
        <v>5</v>
      </c>
      <c r="J754" t="s">
        <v>18</v>
      </c>
      <c r="K754" t="str">
        <f t="shared" si="42"/>
        <v/>
      </c>
      <c r="L754" t="s">
        <v>16</v>
      </c>
      <c r="M754">
        <v>3</v>
      </c>
      <c r="T754">
        <f t="shared" si="43"/>
        <v>20</v>
      </c>
      <c r="U754" t="s">
        <v>2925</v>
      </c>
      <c r="V754" s="4" t="s">
        <v>2909</v>
      </c>
      <c r="W754">
        <v>753</v>
      </c>
      <c r="Y754">
        <f t="shared" si="44"/>
        <v>0</v>
      </c>
      <c r="Z754">
        <f t="shared" si="45"/>
        <v>0</v>
      </c>
    </row>
    <row r="755" spans="1:26" x14ac:dyDescent="0.25">
      <c r="A755" s="4">
        <v>4013</v>
      </c>
      <c r="B755" t="s">
        <v>36</v>
      </c>
      <c r="C755">
        <v>1</v>
      </c>
      <c r="D755">
        <v>1</v>
      </c>
      <c r="E755">
        <v>2</v>
      </c>
      <c r="F755" t="s">
        <v>14</v>
      </c>
      <c r="G755">
        <v>10</v>
      </c>
      <c r="I755">
        <v>4</v>
      </c>
      <c r="J755" t="s">
        <v>33</v>
      </c>
      <c r="K755" t="str">
        <f t="shared" si="42"/>
        <v/>
      </c>
      <c r="L755" t="s">
        <v>16</v>
      </c>
      <c r="M755">
        <v>2</v>
      </c>
      <c r="T755">
        <f t="shared" si="43"/>
        <v>20</v>
      </c>
      <c r="U755" t="s">
        <v>2928</v>
      </c>
      <c r="V755" s="4" t="s">
        <v>2909</v>
      </c>
      <c r="W755">
        <v>754</v>
      </c>
      <c r="Y755">
        <f t="shared" si="44"/>
        <v>0</v>
      </c>
      <c r="Z755">
        <f t="shared" si="45"/>
        <v>0</v>
      </c>
    </row>
    <row r="756" spans="1:26" x14ac:dyDescent="0.25">
      <c r="A756" s="4">
        <v>4013</v>
      </c>
      <c r="B756" t="s">
        <v>36</v>
      </c>
      <c r="C756">
        <v>1</v>
      </c>
      <c r="D756">
        <v>1</v>
      </c>
      <c r="E756">
        <v>3</v>
      </c>
      <c r="F756" t="s">
        <v>14</v>
      </c>
      <c r="G756">
        <v>10</v>
      </c>
      <c r="I756">
        <v>4</v>
      </c>
      <c r="J756" t="s">
        <v>33</v>
      </c>
      <c r="K756" t="str">
        <f t="shared" si="42"/>
        <v/>
      </c>
      <c r="L756" t="s">
        <v>16</v>
      </c>
      <c r="M756">
        <v>2</v>
      </c>
      <c r="T756">
        <f t="shared" si="43"/>
        <v>20</v>
      </c>
      <c r="U756" t="s">
        <v>2931</v>
      </c>
      <c r="V756" s="4" t="s">
        <v>2909</v>
      </c>
      <c r="W756">
        <v>755</v>
      </c>
      <c r="Y756">
        <f t="shared" si="44"/>
        <v>0</v>
      </c>
      <c r="Z756">
        <f t="shared" si="45"/>
        <v>0</v>
      </c>
    </row>
    <row r="757" spans="1:26" x14ac:dyDescent="0.25">
      <c r="A757" s="4">
        <v>4013</v>
      </c>
      <c r="B757" t="s">
        <v>36</v>
      </c>
      <c r="C757">
        <v>1</v>
      </c>
      <c r="D757">
        <v>1</v>
      </c>
      <c r="E757">
        <v>4</v>
      </c>
      <c r="F757" t="s">
        <v>14</v>
      </c>
      <c r="G757">
        <v>10</v>
      </c>
      <c r="I757">
        <v>4</v>
      </c>
      <c r="J757" t="s">
        <v>33</v>
      </c>
      <c r="K757" t="str">
        <f t="shared" si="42"/>
        <v/>
      </c>
      <c r="L757" t="s">
        <v>16</v>
      </c>
      <c r="M757">
        <v>2</v>
      </c>
      <c r="T757">
        <f t="shared" si="43"/>
        <v>20</v>
      </c>
      <c r="U757" t="s">
        <v>2933</v>
      </c>
      <c r="V757" s="4" t="s">
        <v>2909</v>
      </c>
      <c r="W757">
        <v>756</v>
      </c>
      <c r="Y757">
        <f t="shared" si="44"/>
        <v>0</v>
      </c>
      <c r="Z757">
        <f t="shared" si="45"/>
        <v>0</v>
      </c>
    </row>
    <row r="758" spans="1:26" x14ac:dyDescent="0.25">
      <c r="A758" s="4">
        <v>4013</v>
      </c>
      <c r="B758" t="s">
        <v>36</v>
      </c>
      <c r="C758">
        <v>1</v>
      </c>
      <c r="D758">
        <v>1</v>
      </c>
      <c r="E758">
        <v>5</v>
      </c>
      <c r="F758" t="s">
        <v>14</v>
      </c>
      <c r="G758">
        <v>10</v>
      </c>
      <c r="I758">
        <v>4</v>
      </c>
      <c r="J758" t="s">
        <v>33</v>
      </c>
      <c r="K758" t="str">
        <f t="shared" si="42"/>
        <v/>
      </c>
      <c r="L758" t="s">
        <v>16</v>
      </c>
      <c r="M758">
        <v>2</v>
      </c>
      <c r="T758">
        <f t="shared" si="43"/>
        <v>20</v>
      </c>
      <c r="U758" t="s">
        <v>2936</v>
      </c>
      <c r="V758" s="4" t="s">
        <v>2909</v>
      </c>
      <c r="W758">
        <v>757</v>
      </c>
      <c r="Y758">
        <f t="shared" si="44"/>
        <v>0</v>
      </c>
      <c r="Z758">
        <f t="shared" si="45"/>
        <v>0</v>
      </c>
    </row>
    <row r="759" spans="1:26" x14ac:dyDescent="0.25">
      <c r="A759" s="4">
        <v>4013</v>
      </c>
      <c r="B759" t="s">
        <v>36</v>
      </c>
      <c r="C759">
        <v>1</v>
      </c>
      <c r="D759">
        <v>1</v>
      </c>
      <c r="E759">
        <v>2</v>
      </c>
      <c r="F759" t="s">
        <v>14</v>
      </c>
      <c r="G759">
        <v>10</v>
      </c>
      <c r="I759">
        <v>4</v>
      </c>
      <c r="J759" t="s">
        <v>29</v>
      </c>
      <c r="K759" t="str">
        <f t="shared" si="42"/>
        <v/>
      </c>
      <c r="L759" t="s">
        <v>16</v>
      </c>
      <c r="M759">
        <v>2</v>
      </c>
      <c r="T759">
        <f t="shared" si="43"/>
        <v>20</v>
      </c>
      <c r="U759" t="s">
        <v>2938</v>
      </c>
      <c r="V759" s="4" t="s">
        <v>2909</v>
      </c>
      <c r="W759">
        <v>758</v>
      </c>
      <c r="Y759">
        <f t="shared" si="44"/>
        <v>0</v>
      </c>
      <c r="Z759">
        <f t="shared" si="45"/>
        <v>0</v>
      </c>
    </row>
    <row r="760" spans="1:26" x14ac:dyDescent="0.25">
      <c r="A760" s="4">
        <v>4013</v>
      </c>
      <c r="B760" t="s">
        <v>36</v>
      </c>
      <c r="C760">
        <v>1</v>
      </c>
      <c r="D760">
        <v>1</v>
      </c>
      <c r="E760">
        <v>3</v>
      </c>
      <c r="F760" t="s">
        <v>14</v>
      </c>
      <c r="G760">
        <v>10</v>
      </c>
      <c r="I760">
        <v>4</v>
      </c>
      <c r="J760" t="s">
        <v>29</v>
      </c>
      <c r="K760" t="str">
        <f t="shared" si="42"/>
        <v/>
      </c>
      <c r="L760" t="s">
        <v>16</v>
      </c>
      <c r="M760">
        <v>2</v>
      </c>
      <c r="T760">
        <f t="shared" si="43"/>
        <v>20</v>
      </c>
      <c r="U760" t="s">
        <v>2940</v>
      </c>
      <c r="V760" s="4" t="s">
        <v>566</v>
      </c>
      <c r="W760">
        <v>759</v>
      </c>
      <c r="Y760">
        <f t="shared" si="44"/>
        <v>0</v>
      </c>
      <c r="Z760">
        <f t="shared" si="45"/>
        <v>0</v>
      </c>
    </row>
    <row r="761" spans="1:26" x14ac:dyDescent="0.25">
      <c r="A761" s="4">
        <v>4013</v>
      </c>
      <c r="B761" t="s">
        <v>36</v>
      </c>
      <c r="C761">
        <v>1</v>
      </c>
      <c r="D761">
        <v>1</v>
      </c>
      <c r="E761">
        <v>4</v>
      </c>
      <c r="F761" t="s">
        <v>14</v>
      </c>
      <c r="G761">
        <v>10</v>
      </c>
      <c r="I761">
        <v>4</v>
      </c>
      <c r="J761" t="s">
        <v>29</v>
      </c>
      <c r="K761" t="str">
        <f t="shared" si="42"/>
        <v/>
      </c>
      <c r="L761" t="s">
        <v>16</v>
      </c>
      <c r="M761">
        <v>2</v>
      </c>
      <c r="T761">
        <f t="shared" si="43"/>
        <v>20</v>
      </c>
      <c r="U761" t="s">
        <v>2946</v>
      </c>
      <c r="V761" s="4" t="s">
        <v>566</v>
      </c>
      <c r="W761">
        <v>760</v>
      </c>
      <c r="Y761">
        <f t="shared" si="44"/>
        <v>0</v>
      </c>
      <c r="Z761">
        <f t="shared" si="45"/>
        <v>0</v>
      </c>
    </row>
    <row r="762" spans="1:26" x14ac:dyDescent="0.25">
      <c r="A762" s="4">
        <v>4013</v>
      </c>
      <c r="B762" t="s">
        <v>36</v>
      </c>
      <c r="C762">
        <v>1</v>
      </c>
      <c r="D762">
        <v>1</v>
      </c>
      <c r="E762">
        <v>5</v>
      </c>
      <c r="F762" t="s">
        <v>14</v>
      </c>
      <c r="G762">
        <v>10</v>
      </c>
      <c r="I762">
        <v>4</v>
      </c>
      <c r="J762" t="s">
        <v>29</v>
      </c>
      <c r="K762" t="str">
        <f t="shared" si="42"/>
        <v/>
      </c>
      <c r="L762" t="s">
        <v>16</v>
      </c>
      <c r="M762">
        <v>2</v>
      </c>
      <c r="T762">
        <f t="shared" si="43"/>
        <v>20</v>
      </c>
      <c r="U762" t="s">
        <v>2949</v>
      </c>
      <c r="V762" s="4" t="s">
        <v>566</v>
      </c>
      <c r="W762">
        <v>761</v>
      </c>
      <c r="Y762">
        <f t="shared" si="44"/>
        <v>0</v>
      </c>
      <c r="Z762">
        <f t="shared" si="45"/>
        <v>0</v>
      </c>
    </row>
    <row r="763" spans="1:26" x14ac:dyDescent="0.25">
      <c r="A763" s="4">
        <v>4013</v>
      </c>
      <c r="B763" t="s">
        <v>36</v>
      </c>
      <c r="C763">
        <v>1</v>
      </c>
      <c r="D763">
        <v>1</v>
      </c>
      <c r="E763">
        <v>2</v>
      </c>
      <c r="F763" t="s">
        <v>14</v>
      </c>
      <c r="G763">
        <v>10</v>
      </c>
      <c r="I763">
        <v>4</v>
      </c>
      <c r="J763" t="s">
        <v>39</v>
      </c>
      <c r="K763" t="str">
        <f t="shared" si="42"/>
        <v/>
      </c>
      <c r="L763" t="s">
        <v>16</v>
      </c>
      <c r="M763">
        <v>2</v>
      </c>
      <c r="T763">
        <f t="shared" si="43"/>
        <v>20</v>
      </c>
      <c r="U763" t="s">
        <v>2952</v>
      </c>
      <c r="V763" s="4" t="s">
        <v>566</v>
      </c>
      <c r="W763">
        <v>762</v>
      </c>
      <c r="Y763">
        <f t="shared" si="44"/>
        <v>0</v>
      </c>
      <c r="Z763">
        <f t="shared" si="45"/>
        <v>0</v>
      </c>
    </row>
    <row r="764" spans="1:26" x14ac:dyDescent="0.25">
      <c r="A764" s="4">
        <v>4013</v>
      </c>
      <c r="B764" t="s">
        <v>36</v>
      </c>
      <c r="C764">
        <v>1</v>
      </c>
      <c r="D764">
        <v>1</v>
      </c>
      <c r="E764">
        <v>3</v>
      </c>
      <c r="F764" t="s">
        <v>14</v>
      </c>
      <c r="G764">
        <v>10</v>
      </c>
      <c r="I764">
        <v>4</v>
      </c>
      <c r="J764" t="s">
        <v>39</v>
      </c>
      <c r="K764" t="str">
        <f t="shared" si="42"/>
        <v/>
      </c>
      <c r="L764" t="s">
        <v>16</v>
      </c>
      <c r="M764">
        <v>2</v>
      </c>
      <c r="T764">
        <f t="shared" si="43"/>
        <v>20</v>
      </c>
      <c r="U764" t="s">
        <v>2954</v>
      </c>
      <c r="V764" s="4" t="s">
        <v>560</v>
      </c>
      <c r="W764">
        <v>763</v>
      </c>
      <c r="Y764">
        <f t="shared" si="44"/>
        <v>0</v>
      </c>
      <c r="Z764">
        <f t="shared" si="45"/>
        <v>0</v>
      </c>
    </row>
    <row r="765" spans="1:26" x14ac:dyDescent="0.25">
      <c r="A765" s="4">
        <v>4013</v>
      </c>
      <c r="B765" t="s">
        <v>36</v>
      </c>
      <c r="C765">
        <v>1</v>
      </c>
      <c r="D765">
        <v>1</v>
      </c>
      <c r="E765">
        <v>4</v>
      </c>
      <c r="F765" t="s">
        <v>14</v>
      </c>
      <c r="G765">
        <v>10</v>
      </c>
      <c r="I765">
        <v>4</v>
      </c>
      <c r="J765" t="s">
        <v>39</v>
      </c>
      <c r="K765" t="str">
        <f t="shared" si="42"/>
        <v/>
      </c>
      <c r="L765" t="s">
        <v>16</v>
      </c>
      <c r="M765">
        <v>2</v>
      </c>
      <c r="T765">
        <f t="shared" si="43"/>
        <v>20</v>
      </c>
      <c r="U765" t="s">
        <v>2958</v>
      </c>
      <c r="V765" s="4" t="s">
        <v>560</v>
      </c>
      <c r="W765">
        <v>764</v>
      </c>
      <c r="Y765">
        <f t="shared" si="44"/>
        <v>0</v>
      </c>
      <c r="Z765">
        <f t="shared" si="45"/>
        <v>0</v>
      </c>
    </row>
    <row r="766" spans="1:26" x14ac:dyDescent="0.25">
      <c r="A766" s="4">
        <v>4013</v>
      </c>
      <c r="B766" t="s">
        <v>36</v>
      </c>
      <c r="C766">
        <v>1</v>
      </c>
      <c r="D766">
        <v>1</v>
      </c>
      <c r="E766">
        <v>5</v>
      </c>
      <c r="F766" t="s">
        <v>14</v>
      </c>
      <c r="G766">
        <v>10</v>
      </c>
      <c r="I766">
        <v>4</v>
      </c>
      <c r="J766" t="s">
        <v>39</v>
      </c>
      <c r="K766" t="str">
        <f t="shared" si="42"/>
        <v/>
      </c>
      <c r="L766" t="s">
        <v>16</v>
      </c>
      <c r="M766">
        <v>2</v>
      </c>
      <c r="T766">
        <f t="shared" si="43"/>
        <v>20</v>
      </c>
      <c r="U766" t="s">
        <v>2961</v>
      </c>
      <c r="V766" s="4" t="s">
        <v>560</v>
      </c>
      <c r="W766">
        <v>765</v>
      </c>
      <c r="Y766">
        <f t="shared" si="44"/>
        <v>0</v>
      </c>
      <c r="Z766">
        <f t="shared" si="45"/>
        <v>0</v>
      </c>
    </row>
    <row r="767" spans="1:26" x14ac:dyDescent="0.25">
      <c r="A767" s="4">
        <v>1070</v>
      </c>
      <c r="B767" t="s">
        <v>41</v>
      </c>
      <c r="C767">
        <v>2</v>
      </c>
      <c r="D767">
        <v>1</v>
      </c>
      <c r="E767">
        <v>5</v>
      </c>
      <c r="F767" t="s">
        <v>14</v>
      </c>
      <c r="G767">
        <v>5.15</v>
      </c>
      <c r="I767">
        <v>4</v>
      </c>
      <c r="J767" t="s">
        <v>15</v>
      </c>
      <c r="K767" t="str">
        <f t="shared" si="42"/>
        <v/>
      </c>
      <c r="L767" t="s">
        <v>16</v>
      </c>
      <c r="M767">
        <v>5</v>
      </c>
      <c r="T767">
        <f t="shared" si="43"/>
        <v>20</v>
      </c>
      <c r="U767" t="s">
        <v>2965</v>
      </c>
      <c r="V767" s="4" t="s">
        <v>560</v>
      </c>
      <c r="W767">
        <v>766</v>
      </c>
      <c r="Y767">
        <f t="shared" si="44"/>
        <v>0</v>
      </c>
      <c r="Z767">
        <f t="shared" si="45"/>
        <v>0</v>
      </c>
    </row>
    <row r="768" spans="1:26" x14ac:dyDescent="0.25">
      <c r="A768" s="4">
        <v>1070</v>
      </c>
      <c r="B768" t="s">
        <v>41</v>
      </c>
      <c r="C768">
        <v>2</v>
      </c>
      <c r="D768">
        <v>1</v>
      </c>
      <c r="E768">
        <v>4</v>
      </c>
      <c r="F768" t="s">
        <v>14</v>
      </c>
      <c r="G768">
        <v>5.15</v>
      </c>
      <c r="I768">
        <v>4</v>
      </c>
      <c r="J768" t="s">
        <v>15</v>
      </c>
      <c r="K768" t="str">
        <f t="shared" si="42"/>
        <v/>
      </c>
      <c r="L768" t="s">
        <v>16</v>
      </c>
      <c r="M768">
        <v>5</v>
      </c>
      <c r="T768">
        <f t="shared" si="43"/>
        <v>20</v>
      </c>
      <c r="U768" t="s">
        <v>2968</v>
      </c>
      <c r="V768" s="4" t="s">
        <v>557</v>
      </c>
      <c r="W768">
        <v>767</v>
      </c>
      <c r="Y768">
        <f t="shared" si="44"/>
        <v>0</v>
      </c>
      <c r="Z768">
        <f t="shared" si="45"/>
        <v>0</v>
      </c>
    </row>
    <row r="769" spans="1:26" x14ac:dyDescent="0.25">
      <c r="A769" s="4">
        <v>1070</v>
      </c>
      <c r="B769" t="s">
        <v>41</v>
      </c>
      <c r="C769">
        <v>2</v>
      </c>
      <c r="D769">
        <v>1</v>
      </c>
      <c r="E769">
        <v>3</v>
      </c>
      <c r="F769" t="s">
        <v>14</v>
      </c>
      <c r="G769">
        <v>5.15</v>
      </c>
      <c r="I769">
        <v>4</v>
      </c>
      <c r="J769" t="s">
        <v>15</v>
      </c>
      <c r="K769" t="str">
        <f t="shared" si="42"/>
        <v/>
      </c>
      <c r="L769" t="s">
        <v>16</v>
      </c>
      <c r="M769">
        <v>5</v>
      </c>
      <c r="T769">
        <f t="shared" si="43"/>
        <v>20</v>
      </c>
      <c r="U769" t="s">
        <v>2971</v>
      </c>
      <c r="V769" s="4" t="s">
        <v>557</v>
      </c>
      <c r="W769">
        <v>768</v>
      </c>
      <c r="Y769">
        <f t="shared" si="44"/>
        <v>0</v>
      </c>
      <c r="Z769">
        <f t="shared" si="45"/>
        <v>0</v>
      </c>
    </row>
    <row r="770" spans="1:26" x14ac:dyDescent="0.25">
      <c r="A770" s="4">
        <v>1070</v>
      </c>
      <c r="B770" t="s">
        <v>41</v>
      </c>
      <c r="C770">
        <v>2</v>
      </c>
      <c r="D770">
        <v>1</v>
      </c>
      <c r="E770">
        <v>2</v>
      </c>
      <c r="F770" t="s">
        <v>14</v>
      </c>
      <c r="G770">
        <v>5.15</v>
      </c>
      <c r="I770">
        <v>4</v>
      </c>
      <c r="J770" t="s">
        <v>15</v>
      </c>
      <c r="K770" t="str">
        <f t="shared" si="42"/>
        <v/>
      </c>
      <c r="L770" t="s">
        <v>16</v>
      </c>
      <c r="M770">
        <v>5</v>
      </c>
      <c r="T770">
        <f t="shared" si="43"/>
        <v>20</v>
      </c>
      <c r="U770" t="s">
        <v>2973</v>
      </c>
      <c r="V770" s="4" t="s">
        <v>557</v>
      </c>
      <c r="W770">
        <v>769</v>
      </c>
      <c r="Y770">
        <f t="shared" si="44"/>
        <v>0</v>
      </c>
      <c r="Z770">
        <f t="shared" si="45"/>
        <v>0</v>
      </c>
    </row>
    <row r="771" spans="1:26" x14ac:dyDescent="0.25">
      <c r="A771" s="4">
        <v>1070</v>
      </c>
      <c r="B771" t="s">
        <v>41</v>
      </c>
      <c r="C771">
        <v>2</v>
      </c>
      <c r="D771">
        <v>1</v>
      </c>
      <c r="E771">
        <v>5</v>
      </c>
      <c r="F771" t="s">
        <v>14</v>
      </c>
      <c r="G771">
        <v>5.15</v>
      </c>
      <c r="I771">
        <v>4</v>
      </c>
      <c r="J771" t="s">
        <v>18</v>
      </c>
      <c r="K771" t="str">
        <f t="shared" ref="K771:K834" si="46">_xlfn.XLOOKUP(A771,V:V,U:U,"",0)</f>
        <v/>
      </c>
      <c r="L771" t="s">
        <v>16</v>
      </c>
      <c r="M771">
        <v>12</v>
      </c>
      <c r="T771">
        <f t="shared" ref="T771:T834" si="47">LEN(U771)</f>
        <v>20</v>
      </c>
      <c r="U771" t="s">
        <v>2975</v>
      </c>
      <c r="V771" s="4" t="s">
        <v>557</v>
      </c>
      <c r="W771">
        <v>770</v>
      </c>
      <c r="Y771">
        <f t="shared" ref="Y771:Y834" si="48">LEN(O771)</f>
        <v>0</v>
      </c>
      <c r="Z771">
        <f t="shared" ref="Z771:Z834" si="49">LEN(P771)</f>
        <v>0</v>
      </c>
    </row>
    <row r="772" spans="1:26" x14ac:dyDescent="0.25">
      <c r="A772" s="4">
        <v>1070</v>
      </c>
      <c r="B772" t="s">
        <v>41</v>
      </c>
      <c r="C772">
        <v>2</v>
      </c>
      <c r="D772">
        <v>1</v>
      </c>
      <c r="E772">
        <v>4</v>
      </c>
      <c r="F772" t="s">
        <v>14</v>
      </c>
      <c r="G772">
        <v>5.15</v>
      </c>
      <c r="I772">
        <v>4</v>
      </c>
      <c r="J772" t="s">
        <v>18</v>
      </c>
      <c r="K772" t="str">
        <f t="shared" si="46"/>
        <v/>
      </c>
      <c r="L772" t="s">
        <v>16</v>
      </c>
      <c r="M772">
        <v>12</v>
      </c>
      <c r="T772">
        <f t="shared" si="47"/>
        <v>20</v>
      </c>
      <c r="U772" t="s">
        <v>2977</v>
      </c>
      <c r="V772" s="4" t="s">
        <v>563</v>
      </c>
      <c r="W772">
        <v>771</v>
      </c>
      <c r="Y772">
        <f t="shared" si="48"/>
        <v>0</v>
      </c>
      <c r="Z772">
        <f t="shared" si="49"/>
        <v>0</v>
      </c>
    </row>
    <row r="773" spans="1:26" x14ac:dyDescent="0.25">
      <c r="A773" s="4">
        <v>1070</v>
      </c>
      <c r="B773" t="s">
        <v>41</v>
      </c>
      <c r="C773">
        <v>2</v>
      </c>
      <c r="D773">
        <v>1</v>
      </c>
      <c r="E773">
        <v>3</v>
      </c>
      <c r="F773" t="s">
        <v>14</v>
      </c>
      <c r="G773">
        <v>5.15</v>
      </c>
      <c r="I773">
        <v>4</v>
      </c>
      <c r="J773" t="s">
        <v>18</v>
      </c>
      <c r="K773" t="str">
        <f t="shared" si="46"/>
        <v/>
      </c>
      <c r="L773" t="s">
        <v>16</v>
      </c>
      <c r="M773">
        <v>12</v>
      </c>
      <c r="T773">
        <f t="shared" si="47"/>
        <v>20</v>
      </c>
      <c r="U773" t="s">
        <v>2980</v>
      </c>
      <c r="V773" s="4" t="s">
        <v>563</v>
      </c>
      <c r="W773">
        <v>772</v>
      </c>
      <c r="Y773">
        <f t="shared" si="48"/>
        <v>0</v>
      </c>
      <c r="Z773">
        <f t="shared" si="49"/>
        <v>0</v>
      </c>
    </row>
    <row r="774" spans="1:26" x14ac:dyDescent="0.25">
      <c r="A774" s="4">
        <v>1070</v>
      </c>
      <c r="B774" t="s">
        <v>41</v>
      </c>
      <c r="C774">
        <v>2</v>
      </c>
      <c r="D774">
        <v>1</v>
      </c>
      <c r="E774">
        <v>2</v>
      </c>
      <c r="F774" t="s">
        <v>14</v>
      </c>
      <c r="G774">
        <v>5.15</v>
      </c>
      <c r="I774">
        <v>4</v>
      </c>
      <c r="J774" t="s">
        <v>18</v>
      </c>
      <c r="K774" t="str">
        <f t="shared" si="46"/>
        <v/>
      </c>
      <c r="L774" t="s">
        <v>16</v>
      </c>
      <c r="M774">
        <v>12</v>
      </c>
      <c r="T774">
        <f t="shared" si="47"/>
        <v>20</v>
      </c>
      <c r="U774" t="s">
        <v>2982</v>
      </c>
      <c r="V774" s="4" t="s">
        <v>563</v>
      </c>
      <c r="W774">
        <v>773</v>
      </c>
      <c r="Y774">
        <f t="shared" si="48"/>
        <v>0</v>
      </c>
      <c r="Z774">
        <f t="shared" si="49"/>
        <v>0</v>
      </c>
    </row>
    <row r="775" spans="1:26" x14ac:dyDescent="0.25">
      <c r="A775" s="4">
        <v>1070</v>
      </c>
      <c r="B775" t="s">
        <v>41</v>
      </c>
      <c r="C775">
        <v>2</v>
      </c>
      <c r="D775">
        <v>1</v>
      </c>
      <c r="E775">
        <v>10</v>
      </c>
      <c r="F775" t="s">
        <v>14</v>
      </c>
      <c r="G775">
        <v>5.9</v>
      </c>
      <c r="I775">
        <v>5</v>
      </c>
      <c r="J775" t="s">
        <v>15</v>
      </c>
      <c r="K775" t="str">
        <f t="shared" si="46"/>
        <v/>
      </c>
      <c r="L775" t="s">
        <v>16</v>
      </c>
      <c r="M775">
        <v>4</v>
      </c>
      <c r="T775">
        <f t="shared" si="47"/>
        <v>20</v>
      </c>
      <c r="U775" t="s">
        <v>2985</v>
      </c>
      <c r="V775" s="4" t="s">
        <v>574</v>
      </c>
      <c r="W775">
        <v>774</v>
      </c>
      <c r="Y775">
        <f t="shared" si="48"/>
        <v>0</v>
      </c>
      <c r="Z775">
        <f t="shared" si="49"/>
        <v>0</v>
      </c>
    </row>
    <row r="776" spans="1:26" x14ac:dyDescent="0.25">
      <c r="A776" s="4">
        <v>1070</v>
      </c>
      <c r="B776" t="s">
        <v>41</v>
      </c>
      <c r="C776">
        <v>2</v>
      </c>
      <c r="D776">
        <v>1</v>
      </c>
      <c r="E776">
        <v>9</v>
      </c>
      <c r="F776" t="s">
        <v>14</v>
      </c>
      <c r="G776">
        <v>5.9</v>
      </c>
      <c r="I776">
        <v>5</v>
      </c>
      <c r="J776" t="s">
        <v>15</v>
      </c>
      <c r="K776" t="str">
        <f t="shared" si="46"/>
        <v/>
      </c>
      <c r="L776" t="s">
        <v>16</v>
      </c>
      <c r="M776">
        <v>4</v>
      </c>
      <c r="T776">
        <f t="shared" si="47"/>
        <v>20</v>
      </c>
      <c r="U776" t="s">
        <v>2988</v>
      </c>
      <c r="V776" s="4" t="s">
        <v>574</v>
      </c>
      <c r="W776">
        <v>775</v>
      </c>
      <c r="Y776">
        <f t="shared" si="48"/>
        <v>0</v>
      </c>
      <c r="Z776">
        <f t="shared" si="49"/>
        <v>0</v>
      </c>
    </row>
    <row r="777" spans="1:26" x14ac:dyDescent="0.25">
      <c r="A777" s="4">
        <v>1070</v>
      </c>
      <c r="B777" t="s">
        <v>41</v>
      </c>
      <c r="C777">
        <v>2</v>
      </c>
      <c r="D777">
        <v>1</v>
      </c>
      <c r="E777">
        <v>8</v>
      </c>
      <c r="F777" t="s">
        <v>14</v>
      </c>
      <c r="G777">
        <v>5.9</v>
      </c>
      <c r="I777">
        <v>5</v>
      </c>
      <c r="J777" t="s">
        <v>15</v>
      </c>
      <c r="K777" t="str">
        <f t="shared" si="46"/>
        <v/>
      </c>
      <c r="L777" t="s">
        <v>16</v>
      </c>
      <c r="M777">
        <v>4</v>
      </c>
      <c r="T777">
        <f t="shared" si="47"/>
        <v>20</v>
      </c>
      <c r="U777" t="s">
        <v>2990</v>
      </c>
      <c r="V777" s="4" t="s">
        <v>560</v>
      </c>
      <c r="W777">
        <v>776</v>
      </c>
      <c r="Y777">
        <f t="shared" si="48"/>
        <v>0</v>
      </c>
      <c r="Z777">
        <f t="shared" si="49"/>
        <v>0</v>
      </c>
    </row>
    <row r="778" spans="1:26" x14ac:dyDescent="0.25">
      <c r="A778" s="4">
        <v>1070</v>
      </c>
      <c r="B778" t="s">
        <v>41</v>
      </c>
      <c r="C778">
        <v>2</v>
      </c>
      <c r="D778">
        <v>1</v>
      </c>
      <c r="E778">
        <v>7</v>
      </c>
      <c r="F778" t="s">
        <v>14</v>
      </c>
      <c r="G778">
        <v>5.9</v>
      </c>
      <c r="I778">
        <v>5</v>
      </c>
      <c r="J778" t="s">
        <v>15</v>
      </c>
      <c r="K778" t="str">
        <f t="shared" si="46"/>
        <v/>
      </c>
      <c r="L778" t="s">
        <v>16</v>
      </c>
      <c r="M778">
        <v>4</v>
      </c>
      <c r="T778">
        <f t="shared" si="47"/>
        <v>20</v>
      </c>
      <c r="U778" t="s">
        <v>2992</v>
      </c>
      <c r="V778" s="4" t="s">
        <v>2993</v>
      </c>
      <c r="W778">
        <v>777</v>
      </c>
      <c r="Y778">
        <f t="shared" si="48"/>
        <v>0</v>
      </c>
      <c r="Z778">
        <f t="shared" si="49"/>
        <v>0</v>
      </c>
    </row>
    <row r="779" spans="1:26" x14ac:dyDescent="0.25">
      <c r="A779" s="4">
        <v>1070</v>
      </c>
      <c r="B779" t="s">
        <v>41</v>
      </c>
      <c r="C779">
        <v>2</v>
      </c>
      <c r="D779">
        <v>1</v>
      </c>
      <c r="E779">
        <v>6</v>
      </c>
      <c r="F779" t="s">
        <v>14</v>
      </c>
      <c r="G779">
        <v>5.9</v>
      </c>
      <c r="I779">
        <v>5</v>
      </c>
      <c r="J779" t="s">
        <v>15</v>
      </c>
      <c r="K779" t="str">
        <f t="shared" si="46"/>
        <v/>
      </c>
      <c r="L779" t="s">
        <v>16</v>
      </c>
      <c r="M779">
        <v>4</v>
      </c>
      <c r="T779">
        <f t="shared" si="47"/>
        <v>20</v>
      </c>
      <c r="U779" t="s">
        <v>2997</v>
      </c>
      <c r="V779" s="4" t="s">
        <v>2993</v>
      </c>
      <c r="W779">
        <v>778</v>
      </c>
      <c r="Y779">
        <f t="shared" si="48"/>
        <v>0</v>
      </c>
      <c r="Z779">
        <f t="shared" si="49"/>
        <v>0</v>
      </c>
    </row>
    <row r="780" spans="1:26" x14ac:dyDescent="0.25">
      <c r="A780" s="4">
        <v>1070</v>
      </c>
      <c r="B780" t="s">
        <v>41</v>
      </c>
      <c r="C780">
        <v>2</v>
      </c>
      <c r="D780">
        <v>1</v>
      </c>
      <c r="E780">
        <v>10</v>
      </c>
      <c r="F780" t="s">
        <v>14</v>
      </c>
      <c r="G780">
        <v>5.9</v>
      </c>
      <c r="I780">
        <v>5</v>
      </c>
      <c r="J780" t="s">
        <v>18</v>
      </c>
      <c r="K780" t="str">
        <f t="shared" si="46"/>
        <v/>
      </c>
      <c r="L780" t="s">
        <v>16</v>
      </c>
      <c r="M780">
        <v>1</v>
      </c>
      <c r="T780">
        <f t="shared" si="47"/>
        <v>20</v>
      </c>
      <c r="U780" t="s">
        <v>3000</v>
      </c>
      <c r="V780" s="4" t="s">
        <v>2993</v>
      </c>
      <c r="W780">
        <v>779</v>
      </c>
      <c r="Y780">
        <f t="shared" si="48"/>
        <v>0</v>
      </c>
      <c r="Z780">
        <f t="shared" si="49"/>
        <v>0</v>
      </c>
    </row>
    <row r="781" spans="1:26" x14ac:dyDescent="0.25">
      <c r="A781" s="4">
        <v>1070</v>
      </c>
      <c r="B781" t="s">
        <v>41</v>
      </c>
      <c r="C781">
        <v>2</v>
      </c>
      <c r="D781">
        <v>1</v>
      </c>
      <c r="E781">
        <v>9</v>
      </c>
      <c r="F781" t="s">
        <v>14</v>
      </c>
      <c r="G781">
        <v>5.9</v>
      </c>
      <c r="I781">
        <v>5</v>
      </c>
      <c r="J781" t="s">
        <v>18</v>
      </c>
      <c r="K781" t="str">
        <f t="shared" si="46"/>
        <v/>
      </c>
      <c r="L781" t="s">
        <v>16</v>
      </c>
      <c r="M781">
        <v>1</v>
      </c>
      <c r="T781">
        <f t="shared" si="47"/>
        <v>20</v>
      </c>
      <c r="U781" t="s">
        <v>3003</v>
      </c>
      <c r="V781" s="4" t="s">
        <v>2993</v>
      </c>
      <c r="W781">
        <v>780</v>
      </c>
      <c r="Y781">
        <f t="shared" si="48"/>
        <v>0</v>
      </c>
      <c r="Z781">
        <f t="shared" si="49"/>
        <v>0</v>
      </c>
    </row>
    <row r="782" spans="1:26" x14ac:dyDescent="0.25">
      <c r="A782" s="4">
        <v>1070</v>
      </c>
      <c r="B782" t="s">
        <v>41</v>
      </c>
      <c r="C782">
        <v>2</v>
      </c>
      <c r="D782">
        <v>1</v>
      </c>
      <c r="E782">
        <v>8</v>
      </c>
      <c r="F782" t="s">
        <v>14</v>
      </c>
      <c r="G782">
        <v>5.9</v>
      </c>
      <c r="I782">
        <v>5</v>
      </c>
      <c r="J782" t="s">
        <v>18</v>
      </c>
      <c r="K782" t="str">
        <f t="shared" si="46"/>
        <v/>
      </c>
      <c r="L782" t="s">
        <v>16</v>
      </c>
      <c r="M782">
        <v>1</v>
      </c>
      <c r="T782">
        <f t="shared" si="47"/>
        <v>20</v>
      </c>
      <c r="U782" t="s">
        <v>3006</v>
      </c>
      <c r="V782" s="4" t="s">
        <v>3007</v>
      </c>
      <c r="W782">
        <v>781</v>
      </c>
      <c r="Y782">
        <f t="shared" si="48"/>
        <v>0</v>
      </c>
      <c r="Z782">
        <f t="shared" si="49"/>
        <v>0</v>
      </c>
    </row>
    <row r="783" spans="1:26" x14ac:dyDescent="0.25">
      <c r="A783" s="4">
        <v>1070</v>
      </c>
      <c r="B783" t="s">
        <v>41</v>
      </c>
      <c r="C783">
        <v>2</v>
      </c>
      <c r="D783">
        <v>1</v>
      </c>
      <c r="E783">
        <v>7</v>
      </c>
      <c r="F783" t="s">
        <v>14</v>
      </c>
      <c r="G783">
        <v>5.9</v>
      </c>
      <c r="I783">
        <v>5</v>
      </c>
      <c r="J783" t="s">
        <v>18</v>
      </c>
      <c r="K783" t="str">
        <f t="shared" si="46"/>
        <v/>
      </c>
      <c r="L783" t="s">
        <v>16</v>
      </c>
      <c r="M783">
        <v>1</v>
      </c>
      <c r="T783">
        <f t="shared" si="47"/>
        <v>20</v>
      </c>
      <c r="U783" t="s">
        <v>3011</v>
      </c>
      <c r="V783" s="4" t="s">
        <v>3007</v>
      </c>
      <c r="W783">
        <v>782</v>
      </c>
      <c r="Y783">
        <f t="shared" si="48"/>
        <v>0</v>
      </c>
      <c r="Z783">
        <f t="shared" si="49"/>
        <v>0</v>
      </c>
    </row>
    <row r="784" spans="1:26" x14ac:dyDescent="0.25">
      <c r="A784" s="4">
        <v>1070</v>
      </c>
      <c r="B784" t="s">
        <v>41</v>
      </c>
      <c r="C784">
        <v>2</v>
      </c>
      <c r="D784">
        <v>1</v>
      </c>
      <c r="E784">
        <v>6</v>
      </c>
      <c r="F784" t="s">
        <v>14</v>
      </c>
      <c r="G784">
        <v>5.9</v>
      </c>
      <c r="I784">
        <v>5</v>
      </c>
      <c r="J784" t="s">
        <v>18</v>
      </c>
      <c r="K784" t="str">
        <f t="shared" si="46"/>
        <v/>
      </c>
      <c r="L784" t="s">
        <v>16</v>
      </c>
      <c r="M784">
        <v>1</v>
      </c>
      <c r="T784">
        <f t="shared" si="47"/>
        <v>20</v>
      </c>
      <c r="U784" t="s">
        <v>3015</v>
      </c>
      <c r="V784" s="4" t="s">
        <v>3007</v>
      </c>
      <c r="W784">
        <v>783</v>
      </c>
      <c r="Y784">
        <f t="shared" si="48"/>
        <v>0</v>
      </c>
      <c r="Z784">
        <f t="shared" si="49"/>
        <v>0</v>
      </c>
    </row>
    <row r="785" spans="1:26" x14ac:dyDescent="0.25">
      <c r="A785" s="4">
        <v>1070</v>
      </c>
      <c r="B785" t="s">
        <v>41</v>
      </c>
      <c r="C785">
        <v>2</v>
      </c>
      <c r="D785">
        <v>1</v>
      </c>
      <c r="E785">
        <v>15</v>
      </c>
      <c r="F785" t="s">
        <v>14</v>
      </c>
      <c r="G785">
        <v>6.9</v>
      </c>
      <c r="I785">
        <v>5</v>
      </c>
      <c r="J785" t="s">
        <v>15</v>
      </c>
      <c r="K785" t="str">
        <f t="shared" si="46"/>
        <v/>
      </c>
      <c r="L785" t="s">
        <v>16</v>
      </c>
      <c r="M785">
        <v>7</v>
      </c>
      <c r="T785">
        <f t="shared" si="47"/>
        <v>20</v>
      </c>
      <c r="U785" t="s">
        <v>3017</v>
      </c>
      <c r="V785" s="4" t="s">
        <v>3007</v>
      </c>
      <c r="W785">
        <v>784</v>
      </c>
      <c r="Y785">
        <f t="shared" si="48"/>
        <v>0</v>
      </c>
      <c r="Z785">
        <f t="shared" si="49"/>
        <v>0</v>
      </c>
    </row>
    <row r="786" spans="1:26" x14ac:dyDescent="0.25">
      <c r="A786" s="4">
        <v>1070</v>
      </c>
      <c r="B786" t="s">
        <v>41</v>
      </c>
      <c r="C786">
        <v>2</v>
      </c>
      <c r="D786">
        <v>1</v>
      </c>
      <c r="E786">
        <v>14</v>
      </c>
      <c r="F786" t="s">
        <v>14</v>
      </c>
      <c r="G786">
        <v>6.9</v>
      </c>
      <c r="I786">
        <v>5</v>
      </c>
      <c r="J786" t="s">
        <v>15</v>
      </c>
      <c r="K786" t="str">
        <f t="shared" si="46"/>
        <v/>
      </c>
      <c r="L786" t="s">
        <v>16</v>
      </c>
      <c r="M786">
        <v>7</v>
      </c>
      <c r="T786">
        <f t="shared" si="47"/>
        <v>20</v>
      </c>
      <c r="U786" t="s">
        <v>3020</v>
      </c>
      <c r="V786" s="4" t="s">
        <v>2718</v>
      </c>
      <c r="W786">
        <v>785</v>
      </c>
      <c r="Y786">
        <f t="shared" si="48"/>
        <v>0</v>
      </c>
      <c r="Z786">
        <f t="shared" si="49"/>
        <v>0</v>
      </c>
    </row>
    <row r="787" spans="1:26" x14ac:dyDescent="0.25">
      <c r="A787" s="4">
        <v>1070</v>
      </c>
      <c r="B787" t="s">
        <v>41</v>
      </c>
      <c r="C787">
        <v>2</v>
      </c>
      <c r="D787">
        <v>1</v>
      </c>
      <c r="E787">
        <v>13</v>
      </c>
      <c r="F787" t="s">
        <v>14</v>
      </c>
      <c r="G787">
        <v>6.9</v>
      </c>
      <c r="I787">
        <v>5</v>
      </c>
      <c r="J787" t="s">
        <v>15</v>
      </c>
      <c r="K787" t="str">
        <f t="shared" si="46"/>
        <v/>
      </c>
      <c r="L787" t="s">
        <v>16</v>
      </c>
      <c r="M787">
        <v>7</v>
      </c>
      <c r="T787">
        <f t="shared" si="47"/>
        <v>20</v>
      </c>
      <c r="U787" t="s">
        <v>3023</v>
      </c>
      <c r="V787" s="4" t="s">
        <v>3024</v>
      </c>
      <c r="W787">
        <v>786</v>
      </c>
      <c r="Y787">
        <f t="shared" si="48"/>
        <v>0</v>
      </c>
      <c r="Z787">
        <f t="shared" si="49"/>
        <v>0</v>
      </c>
    </row>
    <row r="788" spans="1:26" x14ac:dyDescent="0.25">
      <c r="A788" s="4">
        <v>1070</v>
      </c>
      <c r="B788" t="s">
        <v>41</v>
      </c>
      <c r="C788">
        <v>2</v>
      </c>
      <c r="D788">
        <v>1</v>
      </c>
      <c r="E788">
        <v>12</v>
      </c>
      <c r="F788" t="s">
        <v>14</v>
      </c>
      <c r="G788">
        <v>6.9</v>
      </c>
      <c r="I788">
        <v>5</v>
      </c>
      <c r="J788" t="s">
        <v>15</v>
      </c>
      <c r="K788" t="str">
        <f t="shared" si="46"/>
        <v/>
      </c>
      <c r="L788" t="s">
        <v>16</v>
      </c>
      <c r="M788">
        <v>7</v>
      </c>
      <c r="T788">
        <f t="shared" si="47"/>
        <v>20</v>
      </c>
      <c r="U788" t="s">
        <v>3031</v>
      </c>
      <c r="V788" s="4" t="s">
        <v>3024</v>
      </c>
      <c r="W788">
        <v>787</v>
      </c>
      <c r="Y788">
        <f t="shared" si="48"/>
        <v>0</v>
      </c>
      <c r="Z788">
        <f t="shared" si="49"/>
        <v>0</v>
      </c>
    </row>
    <row r="789" spans="1:26" x14ac:dyDescent="0.25">
      <c r="A789" s="4">
        <v>1070</v>
      </c>
      <c r="B789" t="s">
        <v>41</v>
      </c>
      <c r="C789">
        <v>2</v>
      </c>
      <c r="D789">
        <v>1</v>
      </c>
      <c r="E789">
        <v>11</v>
      </c>
      <c r="F789" t="s">
        <v>14</v>
      </c>
      <c r="G789">
        <v>6.9</v>
      </c>
      <c r="I789">
        <v>5</v>
      </c>
      <c r="J789" t="s">
        <v>15</v>
      </c>
      <c r="K789" t="str">
        <f t="shared" si="46"/>
        <v/>
      </c>
      <c r="L789" t="s">
        <v>16</v>
      </c>
      <c r="M789">
        <v>7</v>
      </c>
      <c r="T789">
        <f t="shared" si="47"/>
        <v>20</v>
      </c>
      <c r="U789" t="s">
        <v>3034</v>
      </c>
      <c r="V789" s="4" t="s">
        <v>3024</v>
      </c>
      <c r="W789">
        <v>788</v>
      </c>
      <c r="Y789">
        <f t="shared" si="48"/>
        <v>0</v>
      </c>
      <c r="Z789">
        <f t="shared" si="49"/>
        <v>0</v>
      </c>
    </row>
    <row r="790" spans="1:26" x14ac:dyDescent="0.25">
      <c r="A790" s="4">
        <v>1070</v>
      </c>
      <c r="B790" t="s">
        <v>41</v>
      </c>
      <c r="C790">
        <v>2</v>
      </c>
      <c r="D790">
        <v>1</v>
      </c>
      <c r="E790">
        <v>15</v>
      </c>
      <c r="F790" t="s">
        <v>14</v>
      </c>
      <c r="G790">
        <v>6.9</v>
      </c>
      <c r="I790">
        <v>5</v>
      </c>
      <c r="J790" t="s">
        <v>18</v>
      </c>
      <c r="K790" t="str">
        <f t="shared" si="46"/>
        <v/>
      </c>
      <c r="L790" t="s">
        <v>16</v>
      </c>
      <c r="M790">
        <v>5</v>
      </c>
      <c r="T790">
        <f t="shared" si="47"/>
        <v>20</v>
      </c>
      <c r="U790" t="s">
        <v>3038</v>
      </c>
      <c r="V790" s="4" t="s">
        <v>3024</v>
      </c>
      <c r="W790">
        <v>789</v>
      </c>
      <c r="Y790">
        <f t="shared" si="48"/>
        <v>0</v>
      </c>
      <c r="Z790">
        <f t="shared" si="49"/>
        <v>0</v>
      </c>
    </row>
    <row r="791" spans="1:26" x14ac:dyDescent="0.25">
      <c r="A791" s="4">
        <v>1070</v>
      </c>
      <c r="B791" t="s">
        <v>41</v>
      </c>
      <c r="C791">
        <v>2</v>
      </c>
      <c r="D791">
        <v>1</v>
      </c>
      <c r="E791">
        <v>14</v>
      </c>
      <c r="F791" t="s">
        <v>14</v>
      </c>
      <c r="G791">
        <v>6.9</v>
      </c>
      <c r="I791">
        <v>5</v>
      </c>
      <c r="J791" t="s">
        <v>18</v>
      </c>
      <c r="K791" t="str">
        <f t="shared" si="46"/>
        <v/>
      </c>
      <c r="L791" t="s">
        <v>16</v>
      </c>
      <c r="M791">
        <v>5</v>
      </c>
      <c r="T791">
        <f t="shared" si="47"/>
        <v>20</v>
      </c>
      <c r="U791" t="s">
        <v>3045</v>
      </c>
      <c r="V791" s="4" t="s">
        <v>3024</v>
      </c>
      <c r="W791">
        <v>790</v>
      </c>
      <c r="Y791">
        <f t="shared" si="48"/>
        <v>0</v>
      </c>
      <c r="Z791">
        <f t="shared" si="49"/>
        <v>0</v>
      </c>
    </row>
    <row r="792" spans="1:26" x14ac:dyDescent="0.25">
      <c r="A792" s="4">
        <v>1070</v>
      </c>
      <c r="B792" t="s">
        <v>41</v>
      </c>
      <c r="C792">
        <v>2</v>
      </c>
      <c r="D792">
        <v>1</v>
      </c>
      <c r="E792">
        <v>13</v>
      </c>
      <c r="F792" t="s">
        <v>14</v>
      </c>
      <c r="G792">
        <v>6.9</v>
      </c>
      <c r="I792">
        <v>5</v>
      </c>
      <c r="J792" t="s">
        <v>18</v>
      </c>
      <c r="K792" t="str">
        <f t="shared" si="46"/>
        <v/>
      </c>
      <c r="L792" t="s">
        <v>16</v>
      </c>
      <c r="M792">
        <v>5</v>
      </c>
      <c r="T792">
        <f t="shared" si="47"/>
        <v>20</v>
      </c>
      <c r="U792" t="s">
        <v>3048</v>
      </c>
      <c r="V792" s="4" t="s">
        <v>3024</v>
      </c>
      <c r="W792">
        <v>791</v>
      </c>
      <c r="Y792">
        <f t="shared" si="48"/>
        <v>0</v>
      </c>
      <c r="Z792">
        <f t="shared" si="49"/>
        <v>0</v>
      </c>
    </row>
    <row r="793" spans="1:26" x14ac:dyDescent="0.25">
      <c r="A793" s="4">
        <v>1070</v>
      </c>
      <c r="B793" t="s">
        <v>41</v>
      </c>
      <c r="C793">
        <v>2</v>
      </c>
      <c r="D793">
        <v>1</v>
      </c>
      <c r="E793">
        <v>12</v>
      </c>
      <c r="F793" t="s">
        <v>14</v>
      </c>
      <c r="G793">
        <v>6.9</v>
      </c>
      <c r="I793">
        <v>5</v>
      </c>
      <c r="J793" t="s">
        <v>18</v>
      </c>
      <c r="K793" t="str">
        <f t="shared" si="46"/>
        <v/>
      </c>
      <c r="L793" t="s">
        <v>16</v>
      </c>
      <c r="M793">
        <v>5</v>
      </c>
      <c r="T793">
        <f t="shared" si="47"/>
        <v>20</v>
      </c>
      <c r="U793" t="s">
        <v>3051</v>
      </c>
      <c r="V793" s="4" t="s">
        <v>3024</v>
      </c>
      <c r="W793">
        <v>792</v>
      </c>
      <c r="Y793">
        <f t="shared" si="48"/>
        <v>0</v>
      </c>
      <c r="Z793">
        <f t="shared" si="49"/>
        <v>0</v>
      </c>
    </row>
    <row r="794" spans="1:26" x14ac:dyDescent="0.25">
      <c r="A794" s="4">
        <v>1070</v>
      </c>
      <c r="B794" t="s">
        <v>41</v>
      </c>
      <c r="C794">
        <v>2</v>
      </c>
      <c r="D794">
        <v>1</v>
      </c>
      <c r="E794">
        <v>11</v>
      </c>
      <c r="F794" t="s">
        <v>14</v>
      </c>
      <c r="G794">
        <v>6.9</v>
      </c>
      <c r="I794">
        <v>5</v>
      </c>
      <c r="J794" t="s">
        <v>18</v>
      </c>
      <c r="K794" t="str">
        <f t="shared" si="46"/>
        <v/>
      </c>
      <c r="L794" t="s">
        <v>16</v>
      </c>
      <c r="M794">
        <v>5</v>
      </c>
      <c r="T794">
        <f t="shared" si="47"/>
        <v>20</v>
      </c>
      <c r="U794" t="s">
        <v>3056</v>
      </c>
      <c r="V794" s="4" t="s">
        <v>3024</v>
      </c>
      <c r="W794">
        <v>793</v>
      </c>
      <c r="Y794">
        <f t="shared" si="48"/>
        <v>0</v>
      </c>
      <c r="Z794">
        <f t="shared" si="49"/>
        <v>0</v>
      </c>
    </row>
    <row r="795" spans="1:26" x14ac:dyDescent="0.25">
      <c r="A795" s="4">
        <v>5052</v>
      </c>
      <c r="B795" t="s">
        <v>40</v>
      </c>
      <c r="C795">
        <v>6</v>
      </c>
      <c r="D795">
        <v>1</v>
      </c>
      <c r="E795">
        <v>8</v>
      </c>
      <c r="F795" t="s">
        <v>14</v>
      </c>
      <c r="G795">
        <v>6</v>
      </c>
      <c r="I795">
        <v>4</v>
      </c>
      <c r="J795" t="s">
        <v>15</v>
      </c>
      <c r="K795" t="str">
        <f t="shared" si="46"/>
        <v/>
      </c>
      <c r="L795" t="s">
        <v>16</v>
      </c>
      <c r="M795">
        <v>4</v>
      </c>
      <c r="T795">
        <f t="shared" si="47"/>
        <v>20</v>
      </c>
      <c r="U795" t="s">
        <v>3059</v>
      </c>
      <c r="V795" s="4" t="s">
        <v>3024</v>
      </c>
      <c r="W795">
        <v>794</v>
      </c>
      <c r="Y795">
        <f t="shared" si="48"/>
        <v>0</v>
      </c>
      <c r="Z795">
        <f t="shared" si="49"/>
        <v>0</v>
      </c>
    </row>
    <row r="796" spans="1:26" x14ac:dyDescent="0.25">
      <c r="A796" s="4">
        <v>5052</v>
      </c>
      <c r="B796" t="s">
        <v>40</v>
      </c>
      <c r="C796">
        <v>6</v>
      </c>
      <c r="D796">
        <v>1</v>
      </c>
      <c r="E796">
        <v>7</v>
      </c>
      <c r="F796" t="s">
        <v>14</v>
      </c>
      <c r="G796">
        <v>6</v>
      </c>
      <c r="I796">
        <v>4</v>
      </c>
      <c r="J796" t="s">
        <v>15</v>
      </c>
      <c r="K796" t="str">
        <f t="shared" si="46"/>
        <v/>
      </c>
      <c r="L796" t="s">
        <v>16</v>
      </c>
      <c r="M796">
        <v>4</v>
      </c>
      <c r="T796">
        <f t="shared" si="47"/>
        <v>20</v>
      </c>
      <c r="U796" t="s">
        <v>3061</v>
      </c>
      <c r="V796" s="4" t="s">
        <v>3062</v>
      </c>
      <c r="W796">
        <v>795</v>
      </c>
      <c r="Y796">
        <f t="shared" si="48"/>
        <v>0</v>
      </c>
      <c r="Z796">
        <f t="shared" si="49"/>
        <v>0</v>
      </c>
    </row>
    <row r="797" spans="1:26" x14ac:dyDescent="0.25">
      <c r="A797" s="4">
        <v>5052</v>
      </c>
      <c r="B797" t="s">
        <v>40</v>
      </c>
      <c r="C797">
        <v>6</v>
      </c>
      <c r="D797">
        <v>1</v>
      </c>
      <c r="E797">
        <v>6</v>
      </c>
      <c r="F797" t="s">
        <v>14</v>
      </c>
      <c r="G797">
        <v>6</v>
      </c>
      <c r="I797">
        <v>4</v>
      </c>
      <c r="J797" t="s">
        <v>15</v>
      </c>
      <c r="K797" t="str">
        <f t="shared" si="46"/>
        <v/>
      </c>
      <c r="L797" t="s">
        <v>16</v>
      </c>
      <c r="M797">
        <v>4</v>
      </c>
      <c r="T797">
        <f t="shared" si="47"/>
        <v>20</v>
      </c>
      <c r="U797" t="s">
        <v>3067</v>
      </c>
      <c r="V797" s="4" t="s">
        <v>3062</v>
      </c>
      <c r="W797">
        <v>796</v>
      </c>
      <c r="Y797">
        <f t="shared" si="48"/>
        <v>0</v>
      </c>
      <c r="Z797">
        <f t="shared" si="49"/>
        <v>0</v>
      </c>
    </row>
    <row r="798" spans="1:26" x14ac:dyDescent="0.25">
      <c r="A798" s="4">
        <v>5052</v>
      </c>
      <c r="B798" t="s">
        <v>40</v>
      </c>
      <c r="C798">
        <v>6</v>
      </c>
      <c r="D798">
        <v>1</v>
      </c>
      <c r="E798">
        <v>5</v>
      </c>
      <c r="F798" t="s">
        <v>14</v>
      </c>
      <c r="G798">
        <v>6</v>
      </c>
      <c r="I798">
        <v>4</v>
      </c>
      <c r="J798" t="s">
        <v>15</v>
      </c>
      <c r="K798" t="str">
        <f t="shared" si="46"/>
        <v/>
      </c>
      <c r="L798" t="s">
        <v>16</v>
      </c>
      <c r="M798">
        <v>4</v>
      </c>
      <c r="T798">
        <f t="shared" si="47"/>
        <v>20</v>
      </c>
      <c r="U798" t="s">
        <v>3070</v>
      </c>
      <c r="V798" s="4" t="s">
        <v>3062</v>
      </c>
      <c r="W798">
        <v>797</v>
      </c>
      <c r="Y798">
        <f t="shared" si="48"/>
        <v>0</v>
      </c>
      <c r="Z798">
        <f t="shared" si="49"/>
        <v>0</v>
      </c>
    </row>
    <row r="799" spans="1:26" x14ac:dyDescent="0.25">
      <c r="A799" s="4">
        <v>5052</v>
      </c>
      <c r="B799" t="s">
        <v>40</v>
      </c>
      <c r="C799">
        <v>6</v>
      </c>
      <c r="D799">
        <v>1</v>
      </c>
      <c r="E799">
        <v>8</v>
      </c>
      <c r="F799" t="s">
        <v>14</v>
      </c>
      <c r="G799">
        <v>6</v>
      </c>
      <c r="I799">
        <v>4</v>
      </c>
      <c r="J799" t="s">
        <v>18</v>
      </c>
      <c r="K799" t="str">
        <f t="shared" si="46"/>
        <v/>
      </c>
      <c r="L799" t="s">
        <v>16</v>
      </c>
      <c r="M799">
        <v>5</v>
      </c>
      <c r="T799">
        <f t="shared" si="47"/>
        <v>20</v>
      </c>
      <c r="U799" t="s">
        <v>3072</v>
      </c>
      <c r="V799" s="4" t="s">
        <v>2018</v>
      </c>
      <c r="W799">
        <v>798</v>
      </c>
      <c r="Y799">
        <f t="shared" si="48"/>
        <v>0</v>
      </c>
      <c r="Z799">
        <f t="shared" si="49"/>
        <v>0</v>
      </c>
    </row>
    <row r="800" spans="1:26" x14ac:dyDescent="0.25">
      <c r="A800" s="4">
        <v>5052</v>
      </c>
      <c r="B800" t="s">
        <v>40</v>
      </c>
      <c r="C800">
        <v>6</v>
      </c>
      <c r="D800">
        <v>1</v>
      </c>
      <c r="E800">
        <v>7</v>
      </c>
      <c r="F800" t="s">
        <v>14</v>
      </c>
      <c r="G800">
        <v>6</v>
      </c>
      <c r="I800">
        <v>4</v>
      </c>
      <c r="J800" t="s">
        <v>18</v>
      </c>
      <c r="K800" t="str">
        <f t="shared" si="46"/>
        <v/>
      </c>
      <c r="L800" t="s">
        <v>16</v>
      </c>
      <c r="M800">
        <v>5</v>
      </c>
      <c r="T800">
        <f t="shared" si="47"/>
        <v>20</v>
      </c>
      <c r="U800" t="s">
        <v>3077</v>
      </c>
      <c r="V800" s="4" t="s">
        <v>2018</v>
      </c>
      <c r="W800">
        <v>799</v>
      </c>
      <c r="Y800">
        <f t="shared" si="48"/>
        <v>0</v>
      </c>
      <c r="Z800">
        <f t="shared" si="49"/>
        <v>0</v>
      </c>
    </row>
    <row r="801" spans="1:26" x14ac:dyDescent="0.25">
      <c r="A801" s="4">
        <v>5052</v>
      </c>
      <c r="B801" t="s">
        <v>40</v>
      </c>
      <c r="C801">
        <v>6</v>
      </c>
      <c r="D801">
        <v>1</v>
      </c>
      <c r="E801">
        <v>6</v>
      </c>
      <c r="F801" t="s">
        <v>14</v>
      </c>
      <c r="G801">
        <v>6</v>
      </c>
      <c r="I801">
        <v>4</v>
      </c>
      <c r="J801" t="s">
        <v>18</v>
      </c>
      <c r="K801" t="str">
        <f t="shared" si="46"/>
        <v/>
      </c>
      <c r="L801" t="s">
        <v>16</v>
      </c>
      <c r="M801">
        <v>5</v>
      </c>
      <c r="T801">
        <f t="shared" si="47"/>
        <v>20</v>
      </c>
      <c r="U801" t="s">
        <v>3079</v>
      </c>
      <c r="V801" s="4" t="s">
        <v>2018</v>
      </c>
      <c r="W801">
        <v>800</v>
      </c>
      <c r="Y801">
        <f t="shared" si="48"/>
        <v>0</v>
      </c>
      <c r="Z801">
        <f t="shared" si="49"/>
        <v>0</v>
      </c>
    </row>
    <row r="802" spans="1:26" x14ac:dyDescent="0.25">
      <c r="A802" s="4">
        <v>5052</v>
      </c>
      <c r="B802" t="s">
        <v>40</v>
      </c>
      <c r="C802">
        <v>6</v>
      </c>
      <c r="D802">
        <v>1</v>
      </c>
      <c r="E802">
        <v>5</v>
      </c>
      <c r="F802" t="s">
        <v>14</v>
      </c>
      <c r="G802">
        <v>6</v>
      </c>
      <c r="I802">
        <v>4</v>
      </c>
      <c r="J802" t="s">
        <v>18</v>
      </c>
      <c r="K802" t="str">
        <f t="shared" si="46"/>
        <v/>
      </c>
      <c r="L802" t="s">
        <v>16</v>
      </c>
      <c r="M802">
        <v>5</v>
      </c>
      <c r="T802">
        <f t="shared" si="47"/>
        <v>20</v>
      </c>
      <c r="U802" t="s">
        <v>3082</v>
      </c>
      <c r="V802" s="4" t="s">
        <v>2018</v>
      </c>
      <c r="W802">
        <v>801</v>
      </c>
      <c r="Y802">
        <f t="shared" si="48"/>
        <v>0</v>
      </c>
      <c r="Z802">
        <f t="shared" si="49"/>
        <v>0</v>
      </c>
    </row>
    <row r="803" spans="1:26" x14ac:dyDescent="0.25">
      <c r="A803" s="4">
        <v>5052</v>
      </c>
      <c r="B803" t="s">
        <v>40</v>
      </c>
      <c r="C803">
        <v>6</v>
      </c>
      <c r="D803">
        <v>1</v>
      </c>
      <c r="E803">
        <v>12</v>
      </c>
      <c r="F803" t="s">
        <v>14</v>
      </c>
      <c r="G803">
        <v>6.7</v>
      </c>
      <c r="I803">
        <v>4</v>
      </c>
      <c r="J803" t="s">
        <v>15</v>
      </c>
      <c r="K803" t="str">
        <f t="shared" si="46"/>
        <v/>
      </c>
      <c r="L803" t="s">
        <v>16</v>
      </c>
      <c r="M803">
        <v>4</v>
      </c>
      <c r="T803">
        <f t="shared" si="47"/>
        <v>20</v>
      </c>
      <c r="U803" t="s">
        <v>3084</v>
      </c>
      <c r="V803" s="4" t="s">
        <v>3085</v>
      </c>
      <c r="W803">
        <v>802</v>
      </c>
      <c r="Y803">
        <f t="shared" si="48"/>
        <v>0</v>
      </c>
      <c r="Z803">
        <f t="shared" si="49"/>
        <v>0</v>
      </c>
    </row>
    <row r="804" spans="1:26" x14ac:dyDescent="0.25">
      <c r="A804" s="4">
        <v>5052</v>
      </c>
      <c r="B804" t="s">
        <v>40</v>
      </c>
      <c r="C804">
        <v>6</v>
      </c>
      <c r="D804">
        <v>1</v>
      </c>
      <c r="E804">
        <v>11</v>
      </c>
      <c r="F804" t="s">
        <v>14</v>
      </c>
      <c r="G804">
        <v>6.7</v>
      </c>
      <c r="I804">
        <v>4</v>
      </c>
      <c r="J804" t="s">
        <v>15</v>
      </c>
      <c r="K804" t="str">
        <f t="shared" si="46"/>
        <v/>
      </c>
      <c r="L804" t="s">
        <v>16</v>
      </c>
      <c r="M804">
        <v>4</v>
      </c>
      <c r="T804">
        <f t="shared" si="47"/>
        <v>20</v>
      </c>
      <c r="U804" t="s">
        <v>3089</v>
      </c>
      <c r="V804" s="4" t="s">
        <v>3085</v>
      </c>
      <c r="W804">
        <v>803</v>
      </c>
      <c r="Y804">
        <f t="shared" si="48"/>
        <v>0</v>
      </c>
      <c r="Z804">
        <f t="shared" si="49"/>
        <v>0</v>
      </c>
    </row>
    <row r="805" spans="1:26" x14ac:dyDescent="0.25">
      <c r="A805" s="4">
        <v>5052</v>
      </c>
      <c r="B805" t="s">
        <v>40</v>
      </c>
      <c r="C805">
        <v>6</v>
      </c>
      <c r="D805">
        <v>1</v>
      </c>
      <c r="E805">
        <v>10</v>
      </c>
      <c r="F805" t="s">
        <v>14</v>
      </c>
      <c r="G805">
        <v>6.7</v>
      </c>
      <c r="I805">
        <v>4</v>
      </c>
      <c r="J805" t="s">
        <v>15</v>
      </c>
      <c r="K805" t="str">
        <f t="shared" si="46"/>
        <v/>
      </c>
      <c r="L805" t="s">
        <v>16</v>
      </c>
      <c r="M805">
        <v>4</v>
      </c>
      <c r="T805">
        <f t="shared" si="47"/>
        <v>20</v>
      </c>
      <c r="U805" t="s">
        <v>3092</v>
      </c>
      <c r="V805" s="4" t="s">
        <v>3085</v>
      </c>
      <c r="W805">
        <v>804</v>
      </c>
      <c r="Y805">
        <f t="shared" si="48"/>
        <v>0</v>
      </c>
      <c r="Z805">
        <f t="shared" si="49"/>
        <v>0</v>
      </c>
    </row>
    <row r="806" spans="1:26" x14ac:dyDescent="0.25">
      <c r="A806" s="4">
        <v>5052</v>
      </c>
      <c r="B806" t="s">
        <v>40</v>
      </c>
      <c r="C806">
        <v>6</v>
      </c>
      <c r="D806">
        <v>1</v>
      </c>
      <c r="E806">
        <v>9</v>
      </c>
      <c r="F806" t="s">
        <v>14</v>
      </c>
      <c r="G806">
        <v>6.7</v>
      </c>
      <c r="I806">
        <v>4</v>
      </c>
      <c r="J806" t="s">
        <v>15</v>
      </c>
      <c r="K806" t="str">
        <f t="shared" si="46"/>
        <v/>
      </c>
      <c r="L806" t="s">
        <v>16</v>
      </c>
      <c r="M806">
        <v>4</v>
      </c>
      <c r="T806">
        <f t="shared" si="47"/>
        <v>20</v>
      </c>
      <c r="U806" t="s">
        <v>3094</v>
      </c>
      <c r="V806" s="4" t="s">
        <v>2016</v>
      </c>
      <c r="W806">
        <v>805</v>
      </c>
      <c r="Y806">
        <f t="shared" si="48"/>
        <v>0</v>
      </c>
      <c r="Z806">
        <f t="shared" si="49"/>
        <v>0</v>
      </c>
    </row>
    <row r="807" spans="1:26" x14ac:dyDescent="0.25">
      <c r="A807" s="4">
        <v>5052</v>
      </c>
      <c r="B807" t="s">
        <v>40</v>
      </c>
      <c r="C807">
        <v>6</v>
      </c>
      <c r="D807">
        <v>1</v>
      </c>
      <c r="E807">
        <v>12</v>
      </c>
      <c r="F807" t="s">
        <v>14</v>
      </c>
      <c r="G807">
        <v>6.7</v>
      </c>
      <c r="I807">
        <v>4</v>
      </c>
      <c r="J807" t="s">
        <v>18</v>
      </c>
      <c r="K807" t="str">
        <f t="shared" si="46"/>
        <v/>
      </c>
      <c r="L807" t="s">
        <v>16</v>
      </c>
      <c r="M807">
        <v>4</v>
      </c>
      <c r="T807">
        <f t="shared" si="47"/>
        <v>20</v>
      </c>
      <c r="U807" t="s">
        <v>3100</v>
      </c>
      <c r="V807" s="4" t="s">
        <v>2016</v>
      </c>
      <c r="W807">
        <v>806</v>
      </c>
      <c r="Y807">
        <f t="shared" si="48"/>
        <v>0</v>
      </c>
      <c r="Z807">
        <f t="shared" si="49"/>
        <v>0</v>
      </c>
    </row>
    <row r="808" spans="1:26" x14ac:dyDescent="0.25">
      <c r="A808" s="4">
        <v>5052</v>
      </c>
      <c r="B808" t="s">
        <v>40</v>
      </c>
      <c r="C808">
        <v>6</v>
      </c>
      <c r="D808">
        <v>1</v>
      </c>
      <c r="E808">
        <v>11</v>
      </c>
      <c r="F808" t="s">
        <v>14</v>
      </c>
      <c r="G808">
        <v>6.7</v>
      </c>
      <c r="I808">
        <v>4</v>
      </c>
      <c r="J808" t="s">
        <v>18</v>
      </c>
      <c r="K808" t="str">
        <f t="shared" si="46"/>
        <v/>
      </c>
      <c r="L808" t="s">
        <v>16</v>
      </c>
      <c r="M808">
        <v>4</v>
      </c>
      <c r="T808">
        <f t="shared" si="47"/>
        <v>20</v>
      </c>
      <c r="U808" t="s">
        <v>3102</v>
      </c>
      <c r="V808" s="4" t="s">
        <v>2016</v>
      </c>
      <c r="W808">
        <v>807</v>
      </c>
      <c r="Y808">
        <f t="shared" si="48"/>
        <v>0</v>
      </c>
      <c r="Z808">
        <f t="shared" si="49"/>
        <v>0</v>
      </c>
    </row>
    <row r="809" spans="1:26" x14ac:dyDescent="0.25">
      <c r="A809" s="4">
        <v>5052</v>
      </c>
      <c r="B809" t="s">
        <v>40</v>
      </c>
      <c r="C809">
        <v>6</v>
      </c>
      <c r="D809">
        <v>1</v>
      </c>
      <c r="E809">
        <v>10</v>
      </c>
      <c r="F809" t="s">
        <v>14</v>
      </c>
      <c r="G809">
        <v>6.7</v>
      </c>
      <c r="I809">
        <v>4</v>
      </c>
      <c r="J809" t="s">
        <v>18</v>
      </c>
      <c r="K809" t="str">
        <f t="shared" si="46"/>
        <v/>
      </c>
      <c r="L809" t="s">
        <v>16</v>
      </c>
      <c r="M809">
        <v>4</v>
      </c>
      <c r="T809">
        <f t="shared" si="47"/>
        <v>20</v>
      </c>
      <c r="U809" t="s">
        <v>3105</v>
      </c>
      <c r="V809" s="4" t="s">
        <v>2016</v>
      </c>
      <c r="W809">
        <v>808</v>
      </c>
      <c r="Y809">
        <f t="shared" si="48"/>
        <v>0</v>
      </c>
      <c r="Z809">
        <f t="shared" si="49"/>
        <v>0</v>
      </c>
    </row>
    <row r="810" spans="1:26" x14ac:dyDescent="0.25">
      <c r="A810" s="4">
        <v>5052</v>
      </c>
      <c r="B810" t="s">
        <v>40</v>
      </c>
      <c r="C810">
        <v>6</v>
      </c>
      <c r="D810">
        <v>1</v>
      </c>
      <c r="E810">
        <v>9</v>
      </c>
      <c r="F810" t="s">
        <v>14</v>
      </c>
      <c r="G810">
        <v>6.7</v>
      </c>
      <c r="I810">
        <v>4</v>
      </c>
      <c r="J810" t="s">
        <v>18</v>
      </c>
      <c r="K810" t="str">
        <f t="shared" si="46"/>
        <v/>
      </c>
      <c r="L810" t="s">
        <v>16</v>
      </c>
      <c r="M810">
        <v>4</v>
      </c>
      <c r="T810">
        <f t="shared" si="47"/>
        <v>20</v>
      </c>
      <c r="U810" t="s">
        <v>3107</v>
      </c>
      <c r="V810" s="4" t="s">
        <v>1066</v>
      </c>
      <c r="W810">
        <v>809</v>
      </c>
      <c r="Y810">
        <f t="shared" si="48"/>
        <v>0</v>
      </c>
      <c r="Z810">
        <f t="shared" si="49"/>
        <v>0</v>
      </c>
    </row>
    <row r="811" spans="1:26" x14ac:dyDescent="0.25">
      <c r="A811" s="4">
        <v>5069</v>
      </c>
      <c r="B811" t="s">
        <v>41</v>
      </c>
      <c r="C811">
        <v>6</v>
      </c>
      <c r="D811">
        <v>1</v>
      </c>
      <c r="E811">
        <v>5</v>
      </c>
      <c r="F811" t="s">
        <v>14</v>
      </c>
      <c r="G811">
        <v>5.15</v>
      </c>
      <c r="I811">
        <v>4</v>
      </c>
      <c r="J811" t="s">
        <v>20</v>
      </c>
      <c r="K811" t="str">
        <f t="shared" si="46"/>
        <v/>
      </c>
      <c r="L811" t="s">
        <v>16</v>
      </c>
      <c r="M811">
        <v>3</v>
      </c>
      <c r="T811">
        <f t="shared" si="47"/>
        <v>20</v>
      </c>
      <c r="U811" t="s">
        <v>3110</v>
      </c>
      <c r="V811" s="4" t="s">
        <v>1066</v>
      </c>
      <c r="W811">
        <v>810</v>
      </c>
      <c r="Y811">
        <f t="shared" si="48"/>
        <v>0</v>
      </c>
      <c r="Z811">
        <f t="shared" si="49"/>
        <v>0</v>
      </c>
    </row>
    <row r="812" spans="1:26" x14ac:dyDescent="0.25">
      <c r="A812" s="4">
        <v>5069</v>
      </c>
      <c r="B812" t="s">
        <v>41</v>
      </c>
      <c r="C812">
        <v>6</v>
      </c>
      <c r="D812">
        <v>1</v>
      </c>
      <c r="E812">
        <v>4</v>
      </c>
      <c r="F812" t="s">
        <v>14</v>
      </c>
      <c r="G812">
        <v>5.15</v>
      </c>
      <c r="I812">
        <v>4</v>
      </c>
      <c r="J812" t="s">
        <v>20</v>
      </c>
      <c r="K812" t="str">
        <f t="shared" si="46"/>
        <v/>
      </c>
      <c r="L812" t="s">
        <v>16</v>
      </c>
      <c r="M812">
        <v>3</v>
      </c>
      <c r="T812">
        <f t="shared" si="47"/>
        <v>20</v>
      </c>
      <c r="U812" t="s">
        <v>3112</v>
      </c>
      <c r="V812" s="4" t="s">
        <v>1066</v>
      </c>
      <c r="W812">
        <v>811</v>
      </c>
      <c r="Y812">
        <f t="shared" si="48"/>
        <v>0</v>
      </c>
      <c r="Z812">
        <f t="shared" si="49"/>
        <v>0</v>
      </c>
    </row>
    <row r="813" spans="1:26" x14ac:dyDescent="0.25">
      <c r="A813" s="4">
        <v>5069</v>
      </c>
      <c r="B813" t="s">
        <v>41</v>
      </c>
      <c r="C813">
        <v>6</v>
      </c>
      <c r="D813">
        <v>1</v>
      </c>
      <c r="E813">
        <v>3</v>
      </c>
      <c r="F813" t="s">
        <v>14</v>
      </c>
      <c r="G813">
        <v>5.15</v>
      </c>
      <c r="I813">
        <v>4</v>
      </c>
      <c r="J813" t="s">
        <v>20</v>
      </c>
      <c r="K813" t="str">
        <f t="shared" si="46"/>
        <v/>
      </c>
      <c r="L813" t="s">
        <v>16</v>
      </c>
      <c r="M813">
        <v>3</v>
      </c>
      <c r="T813">
        <f t="shared" si="47"/>
        <v>20</v>
      </c>
      <c r="U813" t="s">
        <v>3114</v>
      </c>
      <c r="V813" s="4" t="s">
        <v>1036</v>
      </c>
      <c r="W813">
        <v>812</v>
      </c>
      <c r="Y813">
        <f t="shared" si="48"/>
        <v>0</v>
      </c>
      <c r="Z813">
        <f t="shared" si="49"/>
        <v>0</v>
      </c>
    </row>
    <row r="814" spans="1:26" x14ac:dyDescent="0.25">
      <c r="A814" s="4">
        <v>5069</v>
      </c>
      <c r="B814" t="s">
        <v>41</v>
      </c>
      <c r="C814">
        <v>6</v>
      </c>
      <c r="D814">
        <v>1</v>
      </c>
      <c r="E814">
        <v>2</v>
      </c>
      <c r="F814" t="s">
        <v>14</v>
      </c>
      <c r="G814">
        <v>5.15</v>
      </c>
      <c r="I814">
        <v>4</v>
      </c>
      <c r="J814" t="s">
        <v>20</v>
      </c>
      <c r="K814" t="str">
        <f t="shared" si="46"/>
        <v/>
      </c>
      <c r="L814" t="s">
        <v>16</v>
      </c>
      <c r="M814">
        <v>3</v>
      </c>
      <c r="T814">
        <f t="shared" si="47"/>
        <v>20</v>
      </c>
      <c r="U814" t="s">
        <v>3120</v>
      </c>
      <c r="V814" s="4" t="s">
        <v>1036</v>
      </c>
      <c r="W814">
        <v>813</v>
      </c>
      <c r="Y814">
        <f t="shared" si="48"/>
        <v>0</v>
      </c>
      <c r="Z814">
        <f t="shared" si="49"/>
        <v>0</v>
      </c>
    </row>
    <row r="815" spans="1:26" x14ac:dyDescent="0.25">
      <c r="A815" s="4">
        <v>5069</v>
      </c>
      <c r="B815" t="s">
        <v>41</v>
      </c>
      <c r="C815">
        <v>6</v>
      </c>
      <c r="D815">
        <v>1</v>
      </c>
      <c r="E815">
        <v>5</v>
      </c>
      <c r="F815" t="s">
        <v>14</v>
      </c>
      <c r="G815">
        <v>5.15</v>
      </c>
      <c r="I815">
        <v>4</v>
      </c>
      <c r="J815" t="s">
        <v>15</v>
      </c>
      <c r="K815" t="str">
        <f t="shared" si="46"/>
        <v/>
      </c>
      <c r="L815" t="s">
        <v>16</v>
      </c>
      <c r="M815">
        <v>3</v>
      </c>
      <c r="T815">
        <f t="shared" si="47"/>
        <v>20</v>
      </c>
      <c r="U815" t="s">
        <v>3122</v>
      </c>
      <c r="V815" s="4" t="s">
        <v>1036</v>
      </c>
      <c r="W815">
        <v>814</v>
      </c>
      <c r="Y815">
        <f t="shared" si="48"/>
        <v>0</v>
      </c>
      <c r="Z815">
        <f t="shared" si="49"/>
        <v>0</v>
      </c>
    </row>
    <row r="816" spans="1:26" x14ac:dyDescent="0.25">
      <c r="A816" s="4">
        <v>5069</v>
      </c>
      <c r="B816" t="s">
        <v>41</v>
      </c>
      <c r="C816">
        <v>6</v>
      </c>
      <c r="D816">
        <v>1</v>
      </c>
      <c r="E816">
        <v>4</v>
      </c>
      <c r="F816" t="s">
        <v>14</v>
      </c>
      <c r="G816">
        <v>5.15</v>
      </c>
      <c r="I816">
        <v>4</v>
      </c>
      <c r="J816" t="s">
        <v>15</v>
      </c>
      <c r="K816" t="str">
        <f t="shared" si="46"/>
        <v/>
      </c>
      <c r="L816" t="s">
        <v>16</v>
      </c>
      <c r="M816">
        <v>3</v>
      </c>
      <c r="T816">
        <f t="shared" si="47"/>
        <v>20</v>
      </c>
      <c r="U816" t="s">
        <v>3124</v>
      </c>
      <c r="V816" s="4" t="s">
        <v>1036</v>
      </c>
      <c r="W816">
        <v>815</v>
      </c>
      <c r="Y816">
        <f t="shared" si="48"/>
        <v>0</v>
      </c>
      <c r="Z816">
        <f t="shared" si="49"/>
        <v>0</v>
      </c>
    </row>
    <row r="817" spans="1:26" x14ac:dyDescent="0.25">
      <c r="A817" s="4">
        <v>5069</v>
      </c>
      <c r="B817" t="s">
        <v>41</v>
      </c>
      <c r="C817">
        <v>6</v>
      </c>
      <c r="D817">
        <v>1</v>
      </c>
      <c r="E817">
        <v>3</v>
      </c>
      <c r="F817" t="s">
        <v>14</v>
      </c>
      <c r="G817">
        <v>5.15</v>
      </c>
      <c r="I817">
        <v>4</v>
      </c>
      <c r="J817" t="s">
        <v>15</v>
      </c>
      <c r="K817" t="str">
        <f t="shared" si="46"/>
        <v/>
      </c>
      <c r="L817" t="s">
        <v>16</v>
      </c>
      <c r="M817">
        <v>3</v>
      </c>
      <c r="T817">
        <f t="shared" si="47"/>
        <v>20</v>
      </c>
      <c r="U817" t="s">
        <v>3126</v>
      </c>
      <c r="V817" s="4" t="s">
        <v>1425</v>
      </c>
      <c r="W817">
        <v>816</v>
      </c>
      <c r="Y817">
        <f t="shared" si="48"/>
        <v>0</v>
      </c>
      <c r="Z817">
        <f t="shared" si="49"/>
        <v>0</v>
      </c>
    </row>
    <row r="818" spans="1:26" x14ac:dyDescent="0.25">
      <c r="A818" s="4">
        <v>5069</v>
      </c>
      <c r="B818" t="s">
        <v>41</v>
      </c>
      <c r="C818">
        <v>6</v>
      </c>
      <c r="D818">
        <v>1</v>
      </c>
      <c r="E818">
        <v>2</v>
      </c>
      <c r="F818" t="s">
        <v>14</v>
      </c>
      <c r="G818">
        <v>5.15</v>
      </c>
      <c r="I818">
        <v>4</v>
      </c>
      <c r="J818" t="s">
        <v>15</v>
      </c>
      <c r="K818" t="str">
        <f t="shared" si="46"/>
        <v/>
      </c>
      <c r="L818" t="s">
        <v>16</v>
      </c>
      <c r="M818">
        <v>3</v>
      </c>
      <c r="T818">
        <f t="shared" si="47"/>
        <v>20</v>
      </c>
      <c r="U818" t="s">
        <v>3132</v>
      </c>
      <c r="V818" s="4" t="s">
        <v>1425</v>
      </c>
      <c r="W818">
        <v>817</v>
      </c>
      <c r="Y818">
        <f t="shared" si="48"/>
        <v>0</v>
      </c>
      <c r="Z818">
        <f t="shared" si="49"/>
        <v>0</v>
      </c>
    </row>
    <row r="819" spans="1:26" x14ac:dyDescent="0.25">
      <c r="A819" s="4">
        <v>5069</v>
      </c>
      <c r="B819" t="s">
        <v>41</v>
      </c>
      <c r="C819">
        <v>6</v>
      </c>
      <c r="D819">
        <v>1</v>
      </c>
      <c r="E819">
        <v>10</v>
      </c>
      <c r="F819" t="s">
        <v>14</v>
      </c>
      <c r="G819">
        <v>5.7</v>
      </c>
      <c r="I819">
        <v>5</v>
      </c>
      <c r="J819" t="s">
        <v>15</v>
      </c>
      <c r="K819" t="str">
        <f t="shared" si="46"/>
        <v/>
      </c>
      <c r="L819" t="s">
        <v>16</v>
      </c>
      <c r="M819">
        <v>3</v>
      </c>
      <c r="T819">
        <f t="shared" si="47"/>
        <v>20</v>
      </c>
      <c r="U819" t="s">
        <v>3135</v>
      </c>
      <c r="V819" s="4" t="s">
        <v>1425</v>
      </c>
      <c r="W819">
        <v>818</v>
      </c>
      <c r="Y819">
        <f t="shared" si="48"/>
        <v>0</v>
      </c>
      <c r="Z819">
        <f t="shared" si="49"/>
        <v>0</v>
      </c>
    </row>
    <row r="820" spans="1:26" x14ac:dyDescent="0.25">
      <c r="A820" s="4">
        <v>5069</v>
      </c>
      <c r="B820" t="s">
        <v>41</v>
      </c>
      <c r="C820">
        <v>6</v>
      </c>
      <c r="D820">
        <v>1</v>
      </c>
      <c r="E820">
        <v>9</v>
      </c>
      <c r="F820" t="s">
        <v>14</v>
      </c>
      <c r="G820">
        <v>5.7</v>
      </c>
      <c r="I820">
        <v>5</v>
      </c>
      <c r="J820" t="s">
        <v>15</v>
      </c>
      <c r="K820" t="str">
        <f t="shared" si="46"/>
        <v/>
      </c>
      <c r="L820" t="s">
        <v>16</v>
      </c>
      <c r="M820">
        <v>3</v>
      </c>
      <c r="T820">
        <f t="shared" si="47"/>
        <v>20</v>
      </c>
      <c r="U820" t="s">
        <v>3138</v>
      </c>
      <c r="V820" s="4" t="s">
        <v>1425</v>
      </c>
      <c r="W820">
        <v>819</v>
      </c>
      <c r="Y820">
        <f t="shared" si="48"/>
        <v>0</v>
      </c>
      <c r="Z820">
        <f t="shared" si="49"/>
        <v>0</v>
      </c>
    </row>
    <row r="821" spans="1:26" x14ac:dyDescent="0.25">
      <c r="A821" s="4">
        <v>5069</v>
      </c>
      <c r="B821" t="s">
        <v>41</v>
      </c>
      <c r="C821">
        <v>6</v>
      </c>
      <c r="D821">
        <v>1</v>
      </c>
      <c r="E821">
        <v>8</v>
      </c>
      <c r="F821" t="s">
        <v>14</v>
      </c>
      <c r="G821">
        <v>5.7</v>
      </c>
      <c r="I821">
        <v>5</v>
      </c>
      <c r="J821" t="s">
        <v>15</v>
      </c>
      <c r="K821" t="str">
        <f t="shared" si="46"/>
        <v/>
      </c>
      <c r="L821" t="s">
        <v>16</v>
      </c>
      <c r="M821">
        <v>3</v>
      </c>
      <c r="T821">
        <f t="shared" si="47"/>
        <v>20</v>
      </c>
      <c r="U821" t="s">
        <v>3142</v>
      </c>
      <c r="V821" s="4" t="s">
        <v>1802</v>
      </c>
      <c r="W821">
        <v>820</v>
      </c>
      <c r="Y821">
        <f t="shared" si="48"/>
        <v>0</v>
      </c>
      <c r="Z821">
        <f t="shared" si="49"/>
        <v>0</v>
      </c>
    </row>
    <row r="822" spans="1:26" x14ac:dyDescent="0.25">
      <c r="A822" s="4">
        <v>5069</v>
      </c>
      <c r="B822" t="s">
        <v>41</v>
      </c>
      <c r="C822">
        <v>6</v>
      </c>
      <c r="D822">
        <v>1</v>
      </c>
      <c r="E822">
        <v>7</v>
      </c>
      <c r="F822" t="s">
        <v>14</v>
      </c>
      <c r="G822">
        <v>5.7</v>
      </c>
      <c r="I822">
        <v>5</v>
      </c>
      <c r="J822" t="s">
        <v>15</v>
      </c>
      <c r="K822" t="str">
        <f t="shared" si="46"/>
        <v/>
      </c>
      <c r="L822" t="s">
        <v>16</v>
      </c>
      <c r="M822">
        <v>3</v>
      </c>
      <c r="T822">
        <f t="shared" si="47"/>
        <v>20</v>
      </c>
      <c r="U822" t="s">
        <v>3146</v>
      </c>
      <c r="V822" s="4" t="s">
        <v>1802</v>
      </c>
      <c r="W822">
        <v>821</v>
      </c>
      <c r="Y822">
        <f t="shared" si="48"/>
        <v>0</v>
      </c>
      <c r="Z822">
        <f t="shared" si="49"/>
        <v>0</v>
      </c>
    </row>
    <row r="823" spans="1:26" x14ac:dyDescent="0.25">
      <c r="A823" s="4">
        <v>5069</v>
      </c>
      <c r="B823" t="s">
        <v>41</v>
      </c>
      <c r="C823">
        <v>6</v>
      </c>
      <c r="D823">
        <v>1</v>
      </c>
      <c r="E823">
        <v>6</v>
      </c>
      <c r="F823" t="s">
        <v>14</v>
      </c>
      <c r="G823">
        <v>5.7</v>
      </c>
      <c r="I823">
        <v>5</v>
      </c>
      <c r="J823" t="s">
        <v>15</v>
      </c>
      <c r="K823" t="str">
        <f t="shared" si="46"/>
        <v/>
      </c>
      <c r="L823" t="s">
        <v>16</v>
      </c>
      <c r="M823">
        <v>3</v>
      </c>
      <c r="T823">
        <f t="shared" si="47"/>
        <v>20</v>
      </c>
      <c r="U823" t="s">
        <v>3148</v>
      </c>
      <c r="V823" s="4" t="s">
        <v>1802</v>
      </c>
      <c r="W823">
        <v>822</v>
      </c>
      <c r="Y823">
        <f t="shared" si="48"/>
        <v>0</v>
      </c>
      <c r="Z823">
        <f t="shared" si="49"/>
        <v>0</v>
      </c>
    </row>
    <row r="824" spans="1:26" x14ac:dyDescent="0.25">
      <c r="A824" s="4">
        <v>5069</v>
      </c>
      <c r="B824" t="s">
        <v>41</v>
      </c>
      <c r="C824">
        <v>6</v>
      </c>
      <c r="D824">
        <v>1</v>
      </c>
      <c r="E824">
        <v>15</v>
      </c>
      <c r="F824" t="s">
        <v>14</v>
      </c>
      <c r="G824">
        <v>6.5</v>
      </c>
      <c r="I824">
        <v>5</v>
      </c>
      <c r="J824" t="s">
        <v>15</v>
      </c>
      <c r="K824" t="str">
        <f t="shared" si="46"/>
        <v/>
      </c>
      <c r="L824" t="s">
        <v>16</v>
      </c>
      <c r="M824">
        <v>2</v>
      </c>
      <c r="T824">
        <f t="shared" si="47"/>
        <v>20</v>
      </c>
      <c r="U824" t="s">
        <v>3150</v>
      </c>
      <c r="V824" s="4" t="s">
        <v>1802</v>
      </c>
      <c r="W824">
        <v>823</v>
      </c>
      <c r="Y824">
        <f t="shared" si="48"/>
        <v>0</v>
      </c>
      <c r="Z824">
        <f t="shared" si="49"/>
        <v>0</v>
      </c>
    </row>
    <row r="825" spans="1:26" x14ac:dyDescent="0.25">
      <c r="A825" s="4">
        <v>5069</v>
      </c>
      <c r="B825" t="s">
        <v>41</v>
      </c>
      <c r="C825">
        <v>6</v>
      </c>
      <c r="D825">
        <v>1</v>
      </c>
      <c r="E825">
        <v>14</v>
      </c>
      <c r="F825" t="s">
        <v>14</v>
      </c>
      <c r="G825">
        <v>6.5</v>
      </c>
      <c r="I825">
        <v>5</v>
      </c>
      <c r="J825" t="s">
        <v>15</v>
      </c>
      <c r="K825" t="str">
        <f t="shared" si="46"/>
        <v/>
      </c>
      <c r="L825" t="s">
        <v>16</v>
      </c>
      <c r="M825">
        <v>2</v>
      </c>
      <c r="T825">
        <f t="shared" si="47"/>
        <v>20</v>
      </c>
      <c r="U825" t="s">
        <v>3153</v>
      </c>
      <c r="V825" s="4" t="s">
        <v>579</v>
      </c>
      <c r="W825">
        <v>824</v>
      </c>
      <c r="Y825">
        <f t="shared" si="48"/>
        <v>0</v>
      </c>
      <c r="Z825">
        <f t="shared" si="49"/>
        <v>0</v>
      </c>
    </row>
    <row r="826" spans="1:26" x14ac:dyDescent="0.25">
      <c r="A826" s="4">
        <v>5069</v>
      </c>
      <c r="B826" t="s">
        <v>41</v>
      </c>
      <c r="C826">
        <v>6</v>
      </c>
      <c r="D826">
        <v>1</v>
      </c>
      <c r="E826">
        <v>13</v>
      </c>
      <c r="F826" t="s">
        <v>14</v>
      </c>
      <c r="G826">
        <v>6.5</v>
      </c>
      <c r="I826">
        <v>5</v>
      </c>
      <c r="J826" t="s">
        <v>15</v>
      </c>
      <c r="K826" t="str">
        <f t="shared" si="46"/>
        <v/>
      </c>
      <c r="L826" t="s">
        <v>16</v>
      </c>
      <c r="M826">
        <v>2</v>
      </c>
      <c r="T826">
        <f t="shared" si="47"/>
        <v>20</v>
      </c>
      <c r="U826" t="s">
        <v>3160</v>
      </c>
      <c r="V826" s="4" t="s">
        <v>579</v>
      </c>
      <c r="W826">
        <v>825</v>
      </c>
      <c r="Y826">
        <f t="shared" si="48"/>
        <v>0</v>
      </c>
      <c r="Z826">
        <f t="shared" si="49"/>
        <v>0</v>
      </c>
    </row>
    <row r="827" spans="1:26" x14ac:dyDescent="0.25">
      <c r="A827" s="4">
        <v>5069</v>
      </c>
      <c r="B827" t="s">
        <v>41</v>
      </c>
      <c r="C827">
        <v>6</v>
      </c>
      <c r="D827">
        <v>1</v>
      </c>
      <c r="E827">
        <v>12</v>
      </c>
      <c r="F827" t="s">
        <v>14</v>
      </c>
      <c r="G827">
        <v>6.5</v>
      </c>
      <c r="I827">
        <v>5</v>
      </c>
      <c r="J827" t="s">
        <v>15</v>
      </c>
      <c r="K827" t="str">
        <f t="shared" si="46"/>
        <v/>
      </c>
      <c r="L827" t="s">
        <v>16</v>
      </c>
      <c r="M827">
        <v>2</v>
      </c>
      <c r="T827">
        <f t="shared" si="47"/>
        <v>20</v>
      </c>
      <c r="U827" t="s">
        <v>3163</v>
      </c>
      <c r="V827" s="4" t="s">
        <v>579</v>
      </c>
      <c r="W827">
        <v>826</v>
      </c>
      <c r="Y827">
        <f t="shared" si="48"/>
        <v>0</v>
      </c>
      <c r="Z827">
        <f t="shared" si="49"/>
        <v>0</v>
      </c>
    </row>
    <row r="828" spans="1:26" x14ac:dyDescent="0.25">
      <c r="A828" s="4">
        <v>5069</v>
      </c>
      <c r="B828" t="s">
        <v>41</v>
      </c>
      <c r="C828">
        <v>6</v>
      </c>
      <c r="D828">
        <v>1</v>
      </c>
      <c r="E828">
        <v>11</v>
      </c>
      <c r="F828" t="s">
        <v>14</v>
      </c>
      <c r="G828">
        <v>6.5</v>
      </c>
      <c r="I828">
        <v>5</v>
      </c>
      <c r="J828" t="s">
        <v>15</v>
      </c>
      <c r="K828" t="str">
        <f t="shared" si="46"/>
        <v/>
      </c>
      <c r="L828" t="s">
        <v>16</v>
      </c>
      <c r="M828">
        <v>2</v>
      </c>
      <c r="T828">
        <f t="shared" si="47"/>
        <v>20</v>
      </c>
      <c r="U828" t="s">
        <v>3166</v>
      </c>
      <c r="V828" s="4" t="s">
        <v>579</v>
      </c>
      <c r="W828">
        <v>827</v>
      </c>
      <c r="Y828">
        <f t="shared" si="48"/>
        <v>0</v>
      </c>
      <c r="Z828">
        <f t="shared" si="49"/>
        <v>0</v>
      </c>
    </row>
    <row r="829" spans="1:26" x14ac:dyDescent="0.25">
      <c r="A829" s="4">
        <v>1040</v>
      </c>
      <c r="B829" t="s">
        <v>41</v>
      </c>
      <c r="C829">
        <v>2</v>
      </c>
      <c r="D829">
        <v>1</v>
      </c>
      <c r="E829">
        <v>24</v>
      </c>
      <c r="F829" t="s">
        <v>23</v>
      </c>
      <c r="G829">
        <v>4.5999999999999996</v>
      </c>
      <c r="I829">
        <v>4</v>
      </c>
      <c r="J829" t="s">
        <v>24</v>
      </c>
      <c r="K829" t="str">
        <f t="shared" si="46"/>
        <v/>
      </c>
      <c r="L829" t="s">
        <v>16</v>
      </c>
      <c r="M829">
        <v>3</v>
      </c>
      <c r="T829">
        <f t="shared" si="47"/>
        <v>20</v>
      </c>
      <c r="U829" t="s">
        <v>3169</v>
      </c>
      <c r="V829" s="4" t="s">
        <v>569</v>
      </c>
      <c r="W829">
        <v>828</v>
      </c>
      <c r="Y829">
        <f t="shared" si="48"/>
        <v>0</v>
      </c>
      <c r="Z829">
        <f t="shared" si="49"/>
        <v>0</v>
      </c>
    </row>
    <row r="830" spans="1:26" x14ac:dyDescent="0.25">
      <c r="A830" s="4">
        <v>1040</v>
      </c>
      <c r="B830" t="s">
        <v>41</v>
      </c>
      <c r="C830">
        <v>2</v>
      </c>
      <c r="D830">
        <v>1</v>
      </c>
      <c r="E830">
        <v>18</v>
      </c>
      <c r="F830" t="s">
        <v>23</v>
      </c>
      <c r="G830">
        <v>4.5999999999999996</v>
      </c>
      <c r="I830">
        <v>4</v>
      </c>
      <c r="J830" t="s">
        <v>24</v>
      </c>
      <c r="K830" t="str">
        <f t="shared" si="46"/>
        <v/>
      </c>
      <c r="L830" t="s">
        <v>16</v>
      </c>
      <c r="M830">
        <v>3</v>
      </c>
      <c r="T830">
        <f t="shared" si="47"/>
        <v>20</v>
      </c>
      <c r="U830" t="s">
        <v>3173</v>
      </c>
      <c r="V830" s="4" t="s">
        <v>569</v>
      </c>
      <c r="W830">
        <v>829</v>
      </c>
      <c r="Y830">
        <f t="shared" si="48"/>
        <v>0</v>
      </c>
      <c r="Z830">
        <f t="shared" si="49"/>
        <v>0</v>
      </c>
    </row>
    <row r="831" spans="1:26" x14ac:dyDescent="0.25">
      <c r="A831" s="4">
        <v>1040</v>
      </c>
      <c r="B831" t="s">
        <v>41</v>
      </c>
      <c r="C831">
        <v>2</v>
      </c>
      <c r="D831">
        <v>1</v>
      </c>
      <c r="E831">
        <v>12</v>
      </c>
      <c r="F831" t="s">
        <v>23</v>
      </c>
      <c r="G831">
        <v>4.5999999999999996</v>
      </c>
      <c r="I831">
        <v>4</v>
      </c>
      <c r="J831" t="s">
        <v>24</v>
      </c>
      <c r="K831" t="str">
        <f t="shared" si="46"/>
        <v/>
      </c>
      <c r="L831" t="s">
        <v>16</v>
      </c>
      <c r="M831">
        <v>3</v>
      </c>
      <c r="T831">
        <f t="shared" si="47"/>
        <v>20</v>
      </c>
      <c r="U831" t="s">
        <v>3176</v>
      </c>
      <c r="V831" s="4" t="s">
        <v>569</v>
      </c>
      <c r="W831">
        <v>830</v>
      </c>
      <c r="Y831">
        <f t="shared" si="48"/>
        <v>0</v>
      </c>
      <c r="Z831">
        <f t="shared" si="49"/>
        <v>0</v>
      </c>
    </row>
    <row r="832" spans="1:26" x14ac:dyDescent="0.25">
      <c r="A832" s="4">
        <v>1040</v>
      </c>
      <c r="B832" t="s">
        <v>41</v>
      </c>
      <c r="C832">
        <v>2</v>
      </c>
      <c r="D832">
        <v>1</v>
      </c>
      <c r="E832">
        <v>6</v>
      </c>
      <c r="F832" t="s">
        <v>23</v>
      </c>
      <c r="G832">
        <v>4.5999999999999996</v>
      </c>
      <c r="I832">
        <v>4</v>
      </c>
      <c r="J832" t="s">
        <v>24</v>
      </c>
      <c r="K832" t="str">
        <f t="shared" si="46"/>
        <v/>
      </c>
      <c r="L832" t="s">
        <v>16</v>
      </c>
      <c r="M832">
        <v>3</v>
      </c>
      <c r="T832">
        <f t="shared" si="47"/>
        <v>20</v>
      </c>
      <c r="U832" t="s">
        <v>3180</v>
      </c>
      <c r="V832" s="4" t="s">
        <v>569</v>
      </c>
      <c r="W832">
        <v>831</v>
      </c>
      <c r="Y832">
        <f t="shared" si="48"/>
        <v>0</v>
      </c>
      <c r="Z832">
        <f t="shared" si="49"/>
        <v>0</v>
      </c>
    </row>
    <row r="833" spans="1:26" x14ac:dyDescent="0.25">
      <c r="A833" s="4">
        <v>1040</v>
      </c>
      <c r="B833" t="s">
        <v>41</v>
      </c>
      <c r="C833">
        <v>2</v>
      </c>
      <c r="D833">
        <v>1</v>
      </c>
      <c r="E833">
        <v>24</v>
      </c>
      <c r="F833" t="s">
        <v>23</v>
      </c>
      <c r="G833">
        <v>4.5999999999999996</v>
      </c>
      <c r="I833">
        <v>4</v>
      </c>
      <c r="J833" t="s">
        <v>17</v>
      </c>
      <c r="K833" t="str">
        <f t="shared" si="46"/>
        <v/>
      </c>
      <c r="L833" t="s">
        <v>16</v>
      </c>
      <c r="M833">
        <v>3</v>
      </c>
      <c r="T833">
        <f t="shared" si="47"/>
        <v>20</v>
      </c>
      <c r="U833" t="s">
        <v>3182</v>
      </c>
      <c r="V833" s="4" t="s">
        <v>3183</v>
      </c>
      <c r="W833">
        <v>832</v>
      </c>
      <c r="Y833">
        <f t="shared" si="48"/>
        <v>0</v>
      </c>
      <c r="Z833">
        <f t="shared" si="49"/>
        <v>0</v>
      </c>
    </row>
    <row r="834" spans="1:26" x14ac:dyDescent="0.25">
      <c r="A834" s="4">
        <v>1040</v>
      </c>
      <c r="B834" t="s">
        <v>41</v>
      </c>
      <c r="C834">
        <v>2</v>
      </c>
      <c r="D834">
        <v>1</v>
      </c>
      <c r="E834">
        <v>18</v>
      </c>
      <c r="F834" t="s">
        <v>23</v>
      </c>
      <c r="G834">
        <v>4.5999999999999996</v>
      </c>
      <c r="I834">
        <v>4</v>
      </c>
      <c r="J834" t="s">
        <v>17</v>
      </c>
      <c r="K834" t="str">
        <f t="shared" si="46"/>
        <v/>
      </c>
      <c r="L834" t="s">
        <v>16</v>
      </c>
      <c r="M834">
        <v>3</v>
      </c>
      <c r="T834">
        <f t="shared" si="47"/>
        <v>20</v>
      </c>
      <c r="U834" t="s">
        <v>3185</v>
      </c>
      <c r="V834" s="4" t="s">
        <v>3186</v>
      </c>
      <c r="W834">
        <v>833</v>
      </c>
      <c r="Y834">
        <f t="shared" si="48"/>
        <v>0</v>
      </c>
      <c r="Z834">
        <f t="shared" si="49"/>
        <v>0</v>
      </c>
    </row>
    <row r="835" spans="1:26" x14ac:dyDescent="0.25">
      <c r="A835" s="4">
        <v>1040</v>
      </c>
      <c r="B835" t="s">
        <v>41</v>
      </c>
      <c r="C835">
        <v>2</v>
      </c>
      <c r="D835">
        <v>1</v>
      </c>
      <c r="E835">
        <v>12</v>
      </c>
      <c r="F835" t="s">
        <v>23</v>
      </c>
      <c r="G835">
        <v>4.5999999999999996</v>
      </c>
      <c r="I835">
        <v>4</v>
      </c>
      <c r="J835" t="s">
        <v>17</v>
      </c>
      <c r="K835" t="str">
        <f t="shared" ref="K835:K898" si="50">_xlfn.XLOOKUP(A835,V:V,U:U,"",0)</f>
        <v/>
      </c>
      <c r="L835" t="s">
        <v>16</v>
      </c>
      <c r="M835">
        <v>3</v>
      </c>
      <c r="T835">
        <f t="shared" ref="T835:T898" si="51">LEN(U835)</f>
        <v>20</v>
      </c>
      <c r="U835" t="s">
        <v>3189</v>
      </c>
      <c r="V835" s="4" t="s">
        <v>3190</v>
      </c>
      <c r="W835">
        <v>834</v>
      </c>
      <c r="Y835">
        <f t="shared" ref="Y835:Y898" si="52">LEN(O835)</f>
        <v>0</v>
      </c>
      <c r="Z835">
        <f t="shared" ref="Z835:Z898" si="53">LEN(P835)</f>
        <v>0</v>
      </c>
    </row>
    <row r="836" spans="1:26" x14ac:dyDescent="0.25">
      <c r="A836" s="4">
        <v>1040</v>
      </c>
      <c r="B836" t="s">
        <v>41</v>
      </c>
      <c r="C836">
        <v>2</v>
      </c>
      <c r="D836">
        <v>1</v>
      </c>
      <c r="E836">
        <v>6</v>
      </c>
      <c r="F836" t="s">
        <v>23</v>
      </c>
      <c r="G836">
        <v>4.5999999999999996</v>
      </c>
      <c r="I836">
        <v>4</v>
      </c>
      <c r="J836" t="s">
        <v>17</v>
      </c>
      <c r="K836" t="str">
        <f t="shared" si="50"/>
        <v/>
      </c>
      <c r="L836" t="s">
        <v>16</v>
      </c>
      <c r="M836">
        <v>3</v>
      </c>
      <c r="T836">
        <f t="shared" si="51"/>
        <v>20</v>
      </c>
      <c r="U836" t="s">
        <v>3193</v>
      </c>
      <c r="V836" s="4" t="s">
        <v>3194</v>
      </c>
      <c r="W836">
        <v>835</v>
      </c>
      <c r="Y836">
        <f t="shared" si="52"/>
        <v>0</v>
      </c>
      <c r="Z836">
        <f t="shared" si="53"/>
        <v>0</v>
      </c>
    </row>
    <row r="837" spans="1:26" x14ac:dyDescent="0.25">
      <c r="A837" s="4">
        <v>1040</v>
      </c>
      <c r="B837" t="s">
        <v>41</v>
      </c>
      <c r="C837">
        <v>2</v>
      </c>
      <c r="D837">
        <v>1</v>
      </c>
      <c r="E837">
        <v>24</v>
      </c>
      <c r="F837" t="s">
        <v>23</v>
      </c>
      <c r="G837">
        <v>4.5999999999999996</v>
      </c>
      <c r="I837">
        <v>4</v>
      </c>
      <c r="J837" t="s">
        <v>15</v>
      </c>
      <c r="K837" t="str">
        <f t="shared" si="50"/>
        <v/>
      </c>
      <c r="L837" t="s">
        <v>16</v>
      </c>
      <c r="M837">
        <v>3</v>
      </c>
      <c r="T837">
        <f t="shared" si="51"/>
        <v>20</v>
      </c>
      <c r="U837" t="s">
        <v>3198</v>
      </c>
      <c r="V837" s="4" t="s">
        <v>3199</v>
      </c>
      <c r="W837">
        <v>836</v>
      </c>
      <c r="Y837">
        <f t="shared" si="52"/>
        <v>0</v>
      </c>
      <c r="Z837">
        <f t="shared" si="53"/>
        <v>0</v>
      </c>
    </row>
    <row r="838" spans="1:26" x14ac:dyDescent="0.25">
      <c r="A838" s="4">
        <v>1040</v>
      </c>
      <c r="B838" t="s">
        <v>41</v>
      </c>
      <c r="C838">
        <v>2</v>
      </c>
      <c r="D838">
        <v>1</v>
      </c>
      <c r="E838">
        <v>18</v>
      </c>
      <c r="F838" t="s">
        <v>23</v>
      </c>
      <c r="G838">
        <v>4.5999999999999996</v>
      </c>
      <c r="I838">
        <v>4</v>
      </c>
      <c r="J838" t="s">
        <v>15</v>
      </c>
      <c r="K838" t="str">
        <f t="shared" si="50"/>
        <v/>
      </c>
      <c r="L838" t="s">
        <v>16</v>
      </c>
      <c r="M838">
        <v>3</v>
      </c>
      <c r="T838">
        <f t="shared" si="51"/>
        <v>20</v>
      </c>
      <c r="U838" t="s">
        <v>3201</v>
      </c>
      <c r="V838" s="4" t="s">
        <v>3202</v>
      </c>
      <c r="W838">
        <v>837</v>
      </c>
      <c r="Y838">
        <f t="shared" si="52"/>
        <v>0</v>
      </c>
      <c r="Z838">
        <f t="shared" si="53"/>
        <v>0</v>
      </c>
    </row>
    <row r="839" spans="1:26" x14ac:dyDescent="0.25">
      <c r="A839" s="4">
        <v>1040</v>
      </c>
      <c r="B839" t="s">
        <v>41</v>
      </c>
      <c r="C839">
        <v>2</v>
      </c>
      <c r="D839">
        <v>1</v>
      </c>
      <c r="E839">
        <v>12</v>
      </c>
      <c r="F839" t="s">
        <v>23</v>
      </c>
      <c r="G839">
        <v>4.5999999999999996</v>
      </c>
      <c r="I839">
        <v>4</v>
      </c>
      <c r="J839" t="s">
        <v>15</v>
      </c>
      <c r="K839" t="str">
        <f t="shared" si="50"/>
        <v/>
      </c>
      <c r="L839" t="s">
        <v>16</v>
      </c>
      <c r="M839">
        <v>3</v>
      </c>
      <c r="T839">
        <f t="shared" si="51"/>
        <v>20</v>
      </c>
      <c r="U839" t="s">
        <v>3205</v>
      </c>
      <c r="V839" s="4" t="s">
        <v>3206</v>
      </c>
      <c r="W839">
        <v>838</v>
      </c>
      <c r="Y839">
        <f t="shared" si="52"/>
        <v>0</v>
      </c>
      <c r="Z839">
        <f t="shared" si="53"/>
        <v>0</v>
      </c>
    </row>
    <row r="840" spans="1:26" x14ac:dyDescent="0.25">
      <c r="A840" s="4">
        <v>1040</v>
      </c>
      <c r="B840" t="s">
        <v>41</v>
      </c>
      <c r="C840">
        <v>2</v>
      </c>
      <c r="D840">
        <v>1</v>
      </c>
      <c r="E840">
        <v>6</v>
      </c>
      <c r="F840" t="s">
        <v>23</v>
      </c>
      <c r="G840">
        <v>4.5999999999999996</v>
      </c>
      <c r="I840">
        <v>4</v>
      </c>
      <c r="J840" t="s">
        <v>15</v>
      </c>
      <c r="K840" t="str">
        <f t="shared" si="50"/>
        <v/>
      </c>
      <c r="L840" t="s">
        <v>16</v>
      </c>
      <c r="M840">
        <v>3</v>
      </c>
      <c r="T840">
        <f t="shared" si="51"/>
        <v>20</v>
      </c>
      <c r="U840" t="s">
        <v>3209</v>
      </c>
      <c r="V840" s="4" t="s">
        <v>3210</v>
      </c>
      <c r="W840">
        <v>839</v>
      </c>
      <c r="Y840">
        <f t="shared" si="52"/>
        <v>0</v>
      </c>
      <c r="Z840">
        <f t="shared" si="53"/>
        <v>0</v>
      </c>
    </row>
    <row r="841" spans="1:26" x14ac:dyDescent="0.25">
      <c r="A841" s="4">
        <v>1040</v>
      </c>
      <c r="B841" t="s">
        <v>41</v>
      </c>
      <c r="C841">
        <v>2</v>
      </c>
      <c r="D841">
        <v>1</v>
      </c>
      <c r="E841">
        <v>24</v>
      </c>
      <c r="F841" t="s">
        <v>23</v>
      </c>
      <c r="G841">
        <v>4.5999999999999996</v>
      </c>
      <c r="I841">
        <v>4</v>
      </c>
      <c r="J841" t="s">
        <v>18</v>
      </c>
      <c r="K841" t="str">
        <f t="shared" si="50"/>
        <v/>
      </c>
      <c r="L841" t="s">
        <v>16</v>
      </c>
      <c r="M841">
        <v>3</v>
      </c>
      <c r="T841">
        <f t="shared" si="51"/>
        <v>20</v>
      </c>
      <c r="U841" t="s">
        <v>3212</v>
      </c>
      <c r="V841" s="4" t="s">
        <v>1351</v>
      </c>
      <c r="W841">
        <v>840</v>
      </c>
      <c r="Y841">
        <f t="shared" si="52"/>
        <v>0</v>
      </c>
      <c r="Z841">
        <f t="shared" si="53"/>
        <v>0</v>
      </c>
    </row>
    <row r="842" spans="1:26" x14ac:dyDescent="0.25">
      <c r="A842" s="4">
        <v>1040</v>
      </c>
      <c r="B842" t="s">
        <v>41</v>
      </c>
      <c r="C842">
        <v>2</v>
      </c>
      <c r="D842">
        <v>1</v>
      </c>
      <c r="E842">
        <v>18</v>
      </c>
      <c r="F842" t="s">
        <v>23</v>
      </c>
      <c r="G842">
        <v>4.5999999999999996</v>
      </c>
      <c r="I842">
        <v>4</v>
      </c>
      <c r="J842" t="s">
        <v>18</v>
      </c>
      <c r="K842" t="str">
        <f t="shared" si="50"/>
        <v/>
      </c>
      <c r="L842" t="s">
        <v>16</v>
      </c>
      <c r="M842">
        <v>3</v>
      </c>
      <c r="T842">
        <f t="shared" si="51"/>
        <v>20</v>
      </c>
      <c r="U842" t="s">
        <v>3218</v>
      </c>
      <c r="V842" s="4" t="s">
        <v>1351</v>
      </c>
      <c r="W842">
        <v>841</v>
      </c>
      <c r="Y842">
        <f t="shared" si="52"/>
        <v>0</v>
      </c>
      <c r="Z842">
        <f t="shared" si="53"/>
        <v>0</v>
      </c>
    </row>
    <row r="843" spans="1:26" x14ac:dyDescent="0.25">
      <c r="A843" s="4">
        <v>1040</v>
      </c>
      <c r="B843" t="s">
        <v>41</v>
      </c>
      <c r="C843">
        <v>2</v>
      </c>
      <c r="D843">
        <v>1</v>
      </c>
      <c r="E843">
        <v>12</v>
      </c>
      <c r="F843" t="s">
        <v>23</v>
      </c>
      <c r="G843">
        <v>4.5999999999999996</v>
      </c>
      <c r="I843">
        <v>4</v>
      </c>
      <c r="J843" t="s">
        <v>18</v>
      </c>
      <c r="K843" t="str">
        <f t="shared" si="50"/>
        <v/>
      </c>
      <c r="L843" t="s">
        <v>16</v>
      </c>
      <c r="M843">
        <v>3</v>
      </c>
      <c r="T843">
        <f t="shared" si="51"/>
        <v>20</v>
      </c>
      <c r="U843" t="s">
        <v>3222</v>
      </c>
      <c r="V843" s="4" t="s">
        <v>1351</v>
      </c>
      <c r="W843">
        <v>842</v>
      </c>
      <c r="Y843">
        <f t="shared" si="52"/>
        <v>0</v>
      </c>
      <c r="Z843">
        <f t="shared" si="53"/>
        <v>0</v>
      </c>
    </row>
    <row r="844" spans="1:26" x14ac:dyDescent="0.25">
      <c r="A844" s="4">
        <v>1040</v>
      </c>
      <c r="B844" t="s">
        <v>41</v>
      </c>
      <c r="C844">
        <v>2</v>
      </c>
      <c r="D844">
        <v>1</v>
      </c>
      <c r="E844">
        <v>6</v>
      </c>
      <c r="F844" t="s">
        <v>23</v>
      </c>
      <c r="G844">
        <v>4.5999999999999996</v>
      </c>
      <c r="I844">
        <v>4</v>
      </c>
      <c r="J844" t="s">
        <v>18</v>
      </c>
      <c r="K844" t="str">
        <f t="shared" si="50"/>
        <v/>
      </c>
      <c r="L844" t="s">
        <v>16</v>
      </c>
      <c r="M844">
        <v>3</v>
      </c>
      <c r="T844">
        <f t="shared" si="51"/>
        <v>20</v>
      </c>
      <c r="U844" t="s">
        <v>3225</v>
      </c>
      <c r="V844" s="4" t="s">
        <v>1351</v>
      </c>
      <c r="W844">
        <v>843</v>
      </c>
      <c r="Y844">
        <f t="shared" si="52"/>
        <v>0</v>
      </c>
      <c r="Z844">
        <f t="shared" si="53"/>
        <v>0</v>
      </c>
    </row>
    <row r="845" spans="1:26" x14ac:dyDescent="0.25">
      <c r="A845" s="4">
        <v>1040</v>
      </c>
      <c r="B845" t="s">
        <v>41</v>
      </c>
      <c r="C845">
        <v>2</v>
      </c>
      <c r="D845">
        <v>1</v>
      </c>
      <c r="E845">
        <v>5</v>
      </c>
      <c r="F845" t="s">
        <v>14</v>
      </c>
      <c r="G845">
        <v>5.15</v>
      </c>
      <c r="I845">
        <v>4</v>
      </c>
      <c r="J845" t="s">
        <v>24</v>
      </c>
      <c r="K845" t="str">
        <f t="shared" si="50"/>
        <v/>
      </c>
      <c r="L845" t="s">
        <v>16</v>
      </c>
      <c r="M845">
        <v>2</v>
      </c>
      <c r="T845">
        <f t="shared" si="51"/>
        <v>20</v>
      </c>
      <c r="U845" t="s">
        <v>3228</v>
      </c>
      <c r="V845" s="4" t="s">
        <v>1364</v>
      </c>
      <c r="W845">
        <v>844</v>
      </c>
      <c r="Y845">
        <f t="shared" si="52"/>
        <v>0</v>
      </c>
      <c r="Z845">
        <f t="shared" si="53"/>
        <v>0</v>
      </c>
    </row>
    <row r="846" spans="1:26" x14ac:dyDescent="0.25">
      <c r="A846" s="4">
        <v>1040</v>
      </c>
      <c r="B846" t="s">
        <v>41</v>
      </c>
      <c r="C846">
        <v>2</v>
      </c>
      <c r="D846">
        <v>1</v>
      </c>
      <c r="E846">
        <v>4</v>
      </c>
      <c r="F846" t="s">
        <v>14</v>
      </c>
      <c r="G846">
        <v>5.15</v>
      </c>
      <c r="I846">
        <v>4</v>
      </c>
      <c r="J846" t="s">
        <v>24</v>
      </c>
      <c r="K846" t="str">
        <f t="shared" si="50"/>
        <v/>
      </c>
      <c r="L846" t="s">
        <v>16</v>
      </c>
      <c r="M846">
        <v>2</v>
      </c>
      <c r="T846">
        <f t="shared" si="51"/>
        <v>20</v>
      </c>
      <c r="U846" t="s">
        <v>3231</v>
      </c>
      <c r="V846" s="4" t="s">
        <v>1364</v>
      </c>
      <c r="W846">
        <v>845</v>
      </c>
      <c r="Y846">
        <f t="shared" si="52"/>
        <v>0</v>
      </c>
      <c r="Z846">
        <f t="shared" si="53"/>
        <v>0</v>
      </c>
    </row>
    <row r="847" spans="1:26" x14ac:dyDescent="0.25">
      <c r="A847" s="4">
        <v>1040</v>
      </c>
      <c r="B847" t="s">
        <v>41</v>
      </c>
      <c r="C847">
        <v>2</v>
      </c>
      <c r="D847">
        <v>1</v>
      </c>
      <c r="E847">
        <v>3</v>
      </c>
      <c r="F847" t="s">
        <v>14</v>
      </c>
      <c r="G847">
        <v>5.15</v>
      </c>
      <c r="I847">
        <v>4</v>
      </c>
      <c r="J847" t="s">
        <v>24</v>
      </c>
      <c r="K847" t="str">
        <f t="shared" si="50"/>
        <v/>
      </c>
      <c r="L847" t="s">
        <v>16</v>
      </c>
      <c r="M847">
        <v>2</v>
      </c>
      <c r="T847">
        <f t="shared" si="51"/>
        <v>20</v>
      </c>
      <c r="U847" t="s">
        <v>3233</v>
      </c>
      <c r="V847" s="4" t="s">
        <v>1364</v>
      </c>
      <c r="W847">
        <v>846</v>
      </c>
      <c r="Y847">
        <f t="shared" si="52"/>
        <v>0</v>
      </c>
      <c r="Z847">
        <f t="shared" si="53"/>
        <v>0</v>
      </c>
    </row>
    <row r="848" spans="1:26" x14ac:dyDescent="0.25">
      <c r="A848" s="4">
        <v>1040</v>
      </c>
      <c r="B848" t="s">
        <v>41</v>
      </c>
      <c r="C848">
        <v>2</v>
      </c>
      <c r="D848">
        <v>1</v>
      </c>
      <c r="E848">
        <v>2</v>
      </c>
      <c r="F848" t="s">
        <v>14</v>
      </c>
      <c r="G848">
        <v>5.15</v>
      </c>
      <c r="I848">
        <v>4</v>
      </c>
      <c r="J848" t="s">
        <v>24</v>
      </c>
      <c r="K848" t="str">
        <f t="shared" si="50"/>
        <v/>
      </c>
      <c r="L848" t="s">
        <v>16</v>
      </c>
      <c r="M848">
        <v>2</v>
      </c>
      <c r="T848">
        <f t="shared" si="51"/>
        <v>20</v>
      </c>
      <c r="U848" t="s">
        <v>3236</v>
      </c>
      <c r="V848" s="4" t="s">
        <v>1364</v>
      </c>
      <c r="W848">
        <v>847</v>
      </c>
      <c r="Y848">
        <f t="shared" si="52"/>
        <v>0</v>
      </c>
      <c r="Z848">
        <f t="shared" si="53"/>
        <v>0</v>
      </c>
    </row>
    <row r="849" spans="1:26" x14ac:dyDescent="0.25">
      <c r="A849" s="4">
        <v>1040</v>
      </c>
      <c r="B849" t="s">
        <v>41</v>
      </c>
      <c r="C849">
        <v>2</v>
      </c>
      <c r="D849">
        <v>1</v>
      </c>
      <c r="E849">
        <v>5</v>
      </c>
      <c r="F849" t="s">
        <v>14</v>
      </c>
      <c r="G849">
        <v>5.15</v>
      </c>
      <c r="I849">
        <v>4</v>
      </c>
      <c r="J849" t="s">
        <v>17</v>
      </c>
      <c r="K849" t="str">
        <f t="shared" si="50"/>
        <v/>
      </c>
      <c r="L849" t="s">
        <v>16</v>
      </c>
      <c r="M849">
        <v>3</v>
      </c>
      <c r="T849">
        <f t="shared" si="51"/>
        <v>20</v>
      </c>
      <c r="U849" t="s">
        <v>3239</v>
      </c>
      <c r="V849" s="4" t="s">
        <v>1348</v>
      </c>
      <c r="W849">
        <v>848</v>
      </c>
      <c r="Y849">
        <f t="shared" si="52"/>
        <v>0</v>
      </c>
      <c r="Z849">
        <f t="shared" si="53"/>
        <v>0</v>
      </c>
    </row>
    <row r="850" spans="1:26" x14ac:dyDescent="0.25">
      <c r="A850" s="4">
        <v>1040</v>
      </c>
      <c r="B850" t="s">
        <v>41</v>
      </c>
      <c r="C850">
        <v>2</v>
      </c>
      <c r="D850">
        <v>1</v>
      </c>
      <c r="E850">
        <v>4</v>
      </c>
      <c r="F850" t="s">
        <v>14</v>
      </c>
      <c r="G850">
        <v>5.15</v>
      </c>
      <c r="I850">
        <v>4</v>
      </c>
      <c r="J850" t="s">
        <v>17</v>
      </c>
      <c r="K850" t="str">
        <f t="shared" si="50"/>
        <v/>
      </c>
      <c r="L850" t="s">
        <v>16</v>
      </c>
      <c r="M850">
        <v>3</v>
      </c>
      <c r="T850">
        <f t="shared" si="51"/>
        <v>20</v>
      </c>
      <c r="U850" t="s">
        <v>3243</v>
      </c>
      <c r="V850" s="4" t="s">
        <v>1348</v>
      </c>
      <c r="W850">
        <v>849</v>
      </c>
      <c r="Y850">
        <f t="shared" si="52"/>
        <v>0</v>
      </c>
      <c r="Z850">
        <f t="shared" si="53"/>
        <v>0</v>
      </c>
    </row>
    <row r="851" spans="1:26" x14ac:dyDescent="0.25">
      <c r="A851" s="4">
        <v>1040</v>
      </c>
      <c r="B851" t="s">
        <v>41</v>
      </c>
      <c r="C851">
        <v>2</v>
      </c>
      <c r="D851">
        <v>1</v>
      </c>
      <c r="E851">
        <v>3</v>
      </c>
      <c r="F851" t="s">
        <v>14</v>
      </c>
      <c r="G851">
        <v>5.15</v>
      </c>
      <c r="I851">
        <v>4</v>
      </c>
      <c r="J851" t="s">
        <v>17</v>
      </c>
      <c r="K851" t="str">
        <f t="shared" si="50"/>
        <v/>
      </c>
      <c r="L851" t="s">
        <v>16</v>
      </c>
      <c r="M851">
        <v>3</v>
      </c>
      <c r="T851">
        <f t="shared" si="51"/>
        <v>20</v>
      </c>
      <c r="U851" t="s">
        <v>3246</v>
      </c>
      <c r="V851" s="4" t="s">
        <v>1348</v>
      </c>
      <c r="W851">
        <v>850</v>
      </c>
      <c r="Y851">
        <f t="shared" si="52"/>
        <v>0</v>
      </c>
      <c r="Z851">
        <f t="shared" si="53"/>
        <v>0</v>
      </c>
    </row>
    <row r="852" spans="1:26" x14ac:dyDescent="0.25">
      <c r="A852" s="4">
        <v>1040</v>
      </c>
      <c r="B852" t="s">
        <v>41</v>
      </c>
      <c r="C852">
        <v>2</v>
      </c>
      <c r="D852">
        <v>1</v>
      </c>
      <c r="E852">
        <v>2</v>
      </c>
      <c r="F852" t="s">
        <v>14</v>
      </c>
      <c r="G852">
        <v>5.15</v>
      </c>
      <c r="I852">
        <v>4</v>
      </c>
      <c r="J852" t="s">
        <v>17</v>
      </c>
      <c r="K852" t="str">
        <f t="shared" si="50"/>
        <v/>
      </c>
      <c r="L852" t="s">
        <v>16</v>
      </c>
      <c r="M852">
        <v>3</v>
      </c>
      <c r="T852">
        <f t="shared" si="51"/>
        <v>20</v>
      </c>
      <c r="U852" t="s">
        <v>3249</v>
      </c>
      <c r="V852" s="4" t="s">
        <v>1348</v>
      </c>
      <c r="W852">
        <v>851</v>
      </c>
      <c r="Y852">
        <f t="shared" si="52"/>
        <v>0</v>
      </c>
      <c r="Z852">
        <f t="shared" si="53"/>
        <v>0</v>
      </c>
    </row>
    <row r="853" spans="1:26" x14ac:dyDescent="0.25">
      <c r="A853" s="4">
        <v>1040</v>
      </c>
      <c r="B853" t="s">
        <v>41</v>
      </c>
      <c r="C853">
        <v>2</v>
      </c>
      <c r="D853">
        <v>1</v>
      </c>
      <c r="E853">
        <v>5</v>
      </c>
      <c r="F853" t="s">
        <v>14</v>
      </c>
      <c r="G853">
        <v>5.15</v>
      </c>
      <c r="I853">
        <v>4</v>
      </c>
      <c r="J853" t="s">
        <v>15</v>
      </c>
      <c r="K853" t="str">
        <f t="shared" si="50"/>
        <v/>
      </c>
      <c r="L853" t="s">
        <v>16</v>
      </c>
      <c r="M853">
        <v>3</v>
      </c>
      <c r="T853">
        <f t="shared" si="51"/>
        <v>20</v>
      </c>
      <c r="U853" t="s">
        <v>3252</v>
      </c>
      <c r="V853" s="4" t="s">
        <v>3253</v>
      </c>
      <c r="W853">
        <v>852</v>
      </c>
      <c r="Y853">
        <f t="shared" si="52"/>
        <v>0</v>
      </c>
      <c r="Z853">
        <f t="shared" si="53"/>
        <v>0</v>
      </c>
    </row>
    <row r="854" spans="1:26" x14ac:dyDescent="0.25">
      <c r="A854" s="4">
        <v>1040</v>
      </c>
      <c r="B854" t="s">
        <v>41</v>
      </c>
      <c r="C854">
        <v>2</v>
      </c>
      <c r="D854">
        <v>1</v>
      </c>
      <c r="E854">
        <v>4</v>
      </c>
      <c r="F854" t="s">
        <v>14</v>
      </c>
      <c r="G854">
        <v>5.15</v>
      </c>
      <c r="I854">
        <v>4</v>
      </c>
      <c r="J854" t="s">
        <v>15</v>
      </c>
      <c r="K854" t="str">
        <f t="shared" si="50"/>
        <v/>
      </c>
      <c r="L854" t="s">
        <v>16</v>
      </c>
      <c r="M854">
        <v>3</v>
      </c>
      <c r="T854">
        <f t="shared" si="51"/>
        <v>20</v>
      </c>
      <c r="U854" t="s">
        <v>3257</v>
      </c>
      <c r="V854" s="4" t="s">
        <v>3253</v>
      </c>
      <c r="W854">
        <v>853</v>
      </c>
      <c r="Y854">
        <f t="shared" si="52"/>
        <v>0</v>
      </c>
      <c r="Z854">
        <f t="shared" si="53"/>
        <v>0</v>
      </c>
    </row>
    <row r="855" spans="1:26" x14ac:dyDescent="0.25">
      <c r="A855" s="4">
        <v>1040</v>
      </c>
      <c r="B855" t="s">
        <v>41</v>
      </c>
      <c r="C855">
        <v>2</v>
      </c>
      <c r="D855">
        <v>1</v>
      </c>
      <c r="E855">
        <v>3</v>
      </c>
      <c r="F855" t="s">
        <v>14</v>
      </c>
      <c r="G855">
        <v>5.15</v>
      </c>
      <c r="I855">
        <v>4</v>
      </c>
      <c r="J855" t="s">
        <v>15</v>
      </c>
      <c r="K855" t="str">
        <f t="shared" si="50"/>
        <v/>
      </c>
      <c r="L855" t="s">
        <v>16</v>
      </c>
      <c r="M855">
        <v>3</v>
      </c>
      <c r="T855">
        <f t="shared" si="51"/>
        <v>20</v>
      </c>
      <c r="U855" t="s">
        <v>3259</v>
      </c>
      <c r="V855" s="4" t="s">
        <v>3253</v>
      </c>
      <c r="W855">
        <v>854</v>
      </c>
      <c r="Y855">
        <f t="shared" si="52"/>
        <v>0</v>
      </c>
      <c r="Z855">
        <f t="shared" si="53"/>
        <v>0</v>
      </c>
    </row>
    <row r="856" spans="1:26" x14ac:dyDescent="0.25">
      <c r="A856" s="4">
        <v>1040</v>
      </c>
      <c r="B856" t="s">
        <v>41</v>
      </c>
      <c r="C856">
        <v>2</v>
      </c>
      <c r="D856">
        <v>1</v>
      </c>
      <c r="E856">
        <v>2</v>
      </c>
      <c r="F856" t="s">
        <v>14</v>
      </c>
      <c r="G856">
        <v>5.15</v>
      </c>
      <c r="I856">
        <v>4</v>
      </c>
      <c r="J856" t="s">
        <v>15</v>
      </c>
      <c r="K856" t="str">
        <f t="shared" si="50"/>
        <v/>
      </c>
      <c r="L856" t="s">
        <v>16</v>
      </c>
      <c r="M856">
        <v>3</v>
      </c>
      <c r="T856">
        <f t="shared" si="51"/>
        <v>20</v>
      </c>
      <c r="U856" t="s">
        <v>3262</v>
      </c>
      <c r="V856" s="4" t="s">
        <v>3253</v>
      </c>
      <c r="W856">
        <v>855</v>
      </c>
      <c r="Y856">
        <f t="shared" si="52"/>
        <v>0</v>
      </c>
      <c r="Z856">
        <f t="shared" si="53"/>
        <v>0</v>
      </c>
    </row>
    <row r="857" spans="1:26" x14ac:dyDescent="0.25">
      <c r="A857" s="4">
        <v>1040</v>
      </c>
      <c r="B857" t="s">
        <v>41</v>
      </c>
      <c r="C857">
        <v>2</v>
      </c>
      <c r="D857">
        <v>1</v>
      </c>
      <c r="E857">
        <v>5</v>
      </c>
      <c r="F857" t="s">
        <v>14</v>
      </c>
      <c r="G857">
        <v>5.15</v>
      </c>
      <c r="I857">
        <v>4</v>
      </c>
      <c r="J857" t="s">
        <v>18</v>
      </c>
      <c r="K857" t="str">
        <f t="shared" si="50"/>
        <v/>
      </c>
      <c r="L857" t="s">
        <v>16</v>
      </c>
      <c r="M857">
        <v>3</v>
      </c>
      <c r="T857">
        <f t="shared" si="51"/>
        <v>20</v>
      </c>
      <c r="U857" t="s">
        <v>3265</v>
      </c>
      <c r="V857" s="4" t="s">
        <v>3266</v>
      </c>
      <c r="W857">
        <v>856</v>
      </c>
      <c r="Y857">
        <f t="shared" si="52"/>
        <v>0</v>
      </c>
      <c r="Z857">
        <f t="shared" si="53"/>
        <v>0</v>
      </c>
    </row>
    <row r="858" spans="1:26" x14ac:dyDescent="0.25">
      <c r="A858" s="4">
        <v>1040</v>
      </c>
      <c r="B858" t="s">
        <v>41</v>
      </c>
      <c r="C858">
        <v>2</v>
      </c>
      <c r="D858">
        <v>1</v>
      </c>
      <c r="E858">
        <v>4</v>
      </c>
      <c r="F858" t="s">
        <v>14</v>
      </c>
      <c r="G858">
        <v>5.15</v>
      </c>
      <c r="I858">
        <v>4</v>
      </c>
      <c r="J858" t="s">
        <v>18</v>
      </c>
      <c r="K858" t="str">
        <f t="shared" si="50"/>
        <v/>
      </c>
      <c r="L858" t="s">
        <v>16</v>
      </c>
      <c r="M858">
        <v>3</v>
      </c>
      <c r="T858">
        <f t="shared" si="51"/>
        <v>20</v>
      </c>
      <c r="U858" t="s">
        <v>3270</v>
      </c>
      <c r="V858" s="4" t="s">
        <v>3266</v>
      </c>
      <c r="W858">
        <v>857</v>
      </c>
      <c r="Y858">
        <f t="shared" si="52"/>
        <v>0</v>
      </c>
      <c r="Z858">
        <f t="shared" si="53"/>
        <v>0</v>
      </c>
    </row>
    <row r="859" spans="1:26" x14ac:dyDescent="0.25">
      <c r="A859" s="4">
        <v>1040</v>
      </c>
      <c r="B859" t="s">
        <v>41</v>
      </c>
      <c r="C859">
        <v>2</v>
      </c>
      <c r="D859">
        <v>1</v>
      </c>
      <c r="E859">
        <v>3</v>
      </c>
      <c r="F859" t="s">
        <v>14</v>
      </c>
      <c r="G859">
        <v>5.15</v>
      </c>
      <c r="I859">
        <v>4</v>
      </c>
      <c r="J859" t="s">
        <v>18</v>
      </c>
      <c r="K859" t="str">
        <f t="shared" si="50"/>
        <v/>
      </c>
      <c r="L859" t="s">
        <v>16</v>
      </c>
      <c r="M859">
        <v>3</v>
      </c>
      <c r="T859">
        <f t="shared" si="51"/>
        <v>20</v>
      </c>
      <c r="U859" t="s">
        <v>3273</v>
      </c>
      <c r="V859" s="4" t="s">
        <v>3266</v>
      </c>
      <c r="W859">
        <v>858</v>
      </c>
      <c r="Y859">
        <f t="shared" si="52"/>
        <v>0</v>
      </c>
      <c r="Z859">
        <f t="shared" si="53"/>
        <v>0</v>
      </c>
    </row>
    <row r="860" spans="1:26" x14ac:dyDescent="0.25">
      <c r="A860" s="4">
        <v>1040</v>
      </c>
      <c r="B860" t="s">
        <v>41</v>
      </c>
      <c r="C860">
        <v>2</v>
      </c>
      <c r="D860">
        <v>1</v>
      </c>
      <c r="E860">
        <v>2</v>
      </c>
      <c r="F860" t="s">
        <v>14</v>
      </c>
      <c r="G860">
        <v>5.15</v>
      </c>
      <c r="I860">
        <v>4</v>
      </c>
      <c r="J860" t="s">
        <v>18</v>
      </c>
      <c r="K860" t="str">
        <f t="shared" si="50"/>
        <v/>
      </c>
      <c r="L860" t="s">
        <v>16</v>
      </c>
      <c r="M860">
        <v>3</v>
      </c>
      <c r="T860">
        <f t="shared" si="51"/>
        <v>20</v>
      </c>
      <c r="U860" t="s">
        <v>3276</v>
      </c>
      <c r="V860" s="4" t="s">
        <v>3266</v>
      </c>
      <c r="W860">
        <v>859</v>
      </c>
      <c r="Y860">
        <f t="shared" si="52"/>
        <v>0</v>
      </c>
      <c r="Z860">
        <f t="shared" si="53"/>
        <v>0</v>
      </c>
    </row>
    <row r="861" spans="1:26" x14ac:dyDescent="0.25">
      <c r="A861" s="4">
        <v>1040</v>
      </c>
      <c r="B861" t="s">
        <v>41</v>
      </c>
      <c r="C861">
        <v>2</v>
      </c>
      <c r="D861">
        <v>1</v>
      </c>
      <c r="E861">
        <v>10</v>
      </c>
      <c r="F861" t="s">
        <v>14</v>
      </c>
      <c r="G861">
        <v>6.9</v>
      </c>
      <c r="I861">
        <v>5</v>
      </c>
      <c r="J861" t="s">
        <v>24</v>
      </c>
      <c r="K861" t="str">
        <f t="shared" si="50"/>
        <v/>
      </c>
      <c r="L861" t="s">
        <v>16</v>
      </c>
      <c r="M861">
        <v>3</v>
      </c>
      <c r="T861">
        <f t="shared" si="51"/>
        <v>20</v>
      </c>
      <c r="U861" t="s">
        <v>3279</v>
      </c>
      <c r="V861" s="4" t="s">
        <v>3266</v>
      </c>
      <c r="W861">
        <v>860</v>
      </c>
      <c r="Y861">
        <f t="shared" si="52"/>
        <v>0</v>
      </c>
      <c r="Z861">
        <f t="shared" si="53"/>
        <v>0</v>
      </c>
    </row>
    <row r="862" spans="1:26" x14ac:dyDescent="0.25">
      <c r="A862" s="4">
        <v>1040</v>
      </c>
      <c r="B862" t="s">
        <v>41</v>
      </c>
      <c r="C862">
        <v>2</v>
      </c>
      <c r="D862">
        <v>1</v>
      </c>
      <c r="E862">
        <v>9</v>
      </c>
      <c r="F862" t="s">
        <v>14</v>
      </c>
      <c r="G862">
        <v>6.9</v>
      </c>
      <c r="I862">
        <v>5</v>
      </c>
      <c r="J862" t="s">
        <v>24</v>
      </c>
      <c r="K862" t="str">
        <f t="shared" si="50"/>
        <v/>
      </c>
      <c r="L862" t="s">
        <v>16</v>
      </c>
      <c r="M862">
        <v>3</v>
      </c>
      <c r="T862">
        <f t="shared" si="51"/>
        <v>20</v>
      </c>
      <c r="U862" t="s">
        <v>3282</v>
      </c>
      <c r="V862" s="4" t="s">
        <v>3283</v>
      </c>
      <c r="W862">
        <v>861</v>
      </c>
      <c r="Y862">
        <f t="shared" si="52"/>
        <v>0</v>
      </c>
      <c r="Z862">
        <f t="shared" si="53"/>
        <v>0</v>
      </c>
    </row>
    <row r="863" spans="1:26" x14ac:dyDescent="0.25">
      <c r="A863" s="4">
        <v>1040</v>
      </c>
      <c r="B863" t="s">
        <v>41</v>
      </c>
      <c r="C863">
        <v>2</v>
      </c>
      <c r="D863">
        <v>1</v>
      </c>
      <c r="E863">
        <v>8</v>
      </c>
      <c r="F863" t="s">
        <v>14</v>
      </c>
      <c r="G863">
        <v>6.9</v>
      </c>
      <c r="I863">
        <v>5</v>
      </c>
      <c r="J863" t="s">
        <v>24</v>
      </c>
      <c r="K863" t="str">
        <f t="shared" si="50"/>
        <v/>
      </c>
      <c r="L863" t="s">
        <v>16</v>
      </c>
      <c r="M863">
        <v>3</v>
      </c>
      <c r="T863">
        <f t="shared" si="51"/>
        <v>20</v>
      </c>
      <c r="U863" t="s">
        <v>3288</v>
      </c>
      <c r="V863" s="4" t="s">
        <v>3283</v>
      </c>
      <c r="W863">
        <v>862</v>
      </c>
      <c r="Y863">
        <f t="shared" si="52"/>
        <v>0</v>
      </c>
      <c r="Z863">
        <f t="shared" si="53"/>
        <v>0</v>
      </c>
    </row>
    <row r="864" spans="1:26" x14ac:dyDescent="0.25">
      <c r="A864" s="4">
        <v>1040</v>
      </c>
      <c r="B864" t="s">
        <v>41</v>
      </c>
      <c r="C864">
        <v>2</v>
      </c>
      <c r="D864">
        <v>1</v>
      </c>
      <c r="E864">
        <v>7</v>
      </c>
      <c r="F864" t="s">
        <v>14</v>
      </c>
      <c r="G864">
        <v>6.9</v>
      </c>
      <c r="I864">
        <v>5</v>
      </c>
      <c r="J864" t="s">
        <v>24</v>
      </c>
      <c r="K864" t="str">
        <f t="shared" si="50"/>
        <v/>
      </c>
      <c r="L864" t="s">
        <v>16</v>
      </c>
      <c r="M864">
        <v>3</v>
      </c>
      <c r="T864">
        <f t="shared" si="51"/>
        <v>20</v>
      </c>
      <c r="U864" t="s">
        <v>3291</v>
      </c>
      <c r="V864" s="4" t="s">
        <v>3283</v>
      </c>
      <c r="W864">
        <v>863</v>
      </c>
      <c r="Y864">
        <f t="shared" si="52"/>
        <v>0</v>
      </c>
      <c r="Z864">
        <f t="shared" si="53"/>
        <v>0</v>
      </c>
    </row>
    <row r="865" spans="1:26" x14ac:dyDescent="0.25">
      <c r="A865" s="4">
        <v>1040</v>
      </c>
      <c r="B865" t="s">
        <v>41</v>
      </c>
      <c r="C865">
        <v>2</v>
      </c>
      <c r="D865">
        <v>1</v>
      </c>
      <c r="E865">
        <v>6</v>
      </c>
      <c r="F865" t="s">
        <v>14</v>
      </c>
      <c r="G865">
        <v>6.9</v>
      </c>
      <c r="I865">
        <v>5</v>
      </c>
      <c r="J865" t="s">
        <v>24</v>
      </c>
      <c r="K865" t="str">
        <f t="shared" si="50"/>
        <v/>
      </c>
      <c r="L865" t="s">
        <v>16</v>
      </c>
      <c r="M865">
        <v>3</v>
      </c>
      <c r="T865">
        <f t="shared" si="51"/>
        <v>20</v>
      </c>
      <c r="U865" t="s">
        <v>3296</v>
      </c>
      <c r="V865" s="4" t="s">
        <v>3283</v>
      </c>
      <c r="W865">
        <v>864</v>
      </c>
      <c r="Y865">
        <f t="shared" si="52"/>
        <v>0</v>
      </c>
      <c r="Z865">
        <f t="shared" si="53"/>
        <v>0</v>
      </c>
    </row>
    <row r="866" spans="1:26" x14ac:dyDescent="0.25">
      <c r="A866" s="4">
        <v>1040</v>
      </c>
      <c r="B866" t="s">
        <v>41</v>
      </c>
      <c r="C866">
        <v>2</v>
      </c>
      <c r="D866">
        <v>1</v>
      </c>
      <c r="E866">
        <v>10</v>
      </c>
      <c r="F866" t="s">
        <v>14</v>
      </c>
      <c r="G866">
        <v>6.9</v>
      </c>
      <c r="I866">
        <v>5</v>
      </c>
      <c r="J866" t="s">
        <v>17</v>
      </c>
      <c r="K866" t="str">
        <f t="shared" si="50"/>
        <v/>
      </c>
      <c r="L866" t="s">
        <v>16</v>
      </c>
      <c r="M866">
        <v>3</v>
      </c>
      <c r="T866">
        <f t="shared" si="51"/>
        <v>20</v>
      </c>
      <c r="U866" t="s">
        <v>3299</v>
      </c>
      <c r="V866" s="4" t="s">
        <v>2018</v>
      </c>
      <c r="W866">
        <v>865</v>
      </c>
      <c r="Y866">
        <f t="shared" si="52"/>
        <v>0</v>
      </c>
      <c r="Z866">
        <f t="shared" si="53"/>
        <v>0</v>
      </c>
    </row>
    <row r="867" spans="1:26" x14ac:dyDescent="0.25">
      <c r="A867" s="4">
        <v>1040</v>
      </c>
      <c r="B867" t="s">
        <v>41</v>
      </c>
      <c r="C867">
        <v>2</v>
      </c>
      <c r="D867">
        <v>1</v>
      </c>
      <c r="E867">
        <v>9</v>
      </c>
      <c r="F867" t="s">
        <v>14</v>
      </c>
      <c r="G867">
        <v>6.9</v>
      </c>
      <c r="I867">
        <v>5</v>
      </c>
      <c r="J867" t="s">
        <v>17</v>
      </c>
      <c r="K867" t="str">
        <f t="shared" si="50"/>
        <v/>
      </c>
      <c r="L867" t="s">
        <v>16</v>
      </c>
      <c r="M867">
        <v>3</v>
      </c>
      <c r="T867">
        <f t="shared" si="51"/>
        <v>20</v>
      </c>
      <c r="U867" t="s">
        <v>3303</v>
      </c>
      <c r="V867" s="4" t="s">
        <v>2018</v>
      </c>
      <c r="W867">
        <v>866</v>
      </c>
      <c r="Y867">
        <f t="shared" si="52"/>
        <v>0</v>
      </c>
      <c r="Z867">
        <f t="shared" si="53"/>
        <v>0</v>
      </c>
    </row>
    <row r="868" spans="1:26" x14ac:dyDescent="0.25">
      <c r="A868" s="4">
        <v>1040</v>
      </c>
      <c r="B868" t="s">
        <v>41</v>
      </c>
      <c r="C868">
        <v>2</v>
      </c>
      <c r="D868">
        <v>1</v>
      </c>
      <c r="E868">
        <v>8</v>
      </c>
      <c r="F868" t="s">
        <v>14</v>
      </c>
      <c r="G868">
        <v>6.9</v>
      </c>
      <c r="I868">
        <v>5</v>
      </c>
      <c r="J868" t="s">
        <v>17</v>
      </c>
      <c r="K868" t="str">
        <f t="shared" si="50"/>
        <v/>
      </c>
      <c r="L868" t="s">
        <v>16</v>
      </c>
      <c r="M868">
        <v>3</v>
      </c>
      <c r="T868">
        <f t="shared" si="51"/>
        <v>20</v>
      </c>
      <c r="U868" t="s">
        <v>3305</v>
      </c>
      <c r="V868" s="4" t="s">
        <v>2018</v>
      </c>
      <c r="W868">
        <v>867</v>
      </c>
      <c r="Y868">
        <f t="shared" si="52"/>
        <v>0</v>
      </c>
      <c r="Z868">
        <f t="shared" si="53"/>
        <v>0</v>
      </c>
    </row>
    <row r="869" spans="1:26" x14ac:dyDescent="0.25">
      <c r="A869" s="4">
        <v>1040</v>
      </c>
      <c r="B869" t="s">
        <v>41</v>
      </c>
      <c r="C869">
        <v>2</v>
      </c>
      <c r="D869">
        <v>1</v>
      </c>
      <c r="E869">
        <v>7</v>
      </c>
      <c r="F869" t="s">
        <v>14</v>
      </c>
      <c r="G869">
        <v>6.9</v>
      </c>
      <c r="I869">
        <v>5</v>
      </c>
      <c r="J869" t="s">
        <v>17</v>
      </c>
      <c r="K869" t="str">
        <f t="shared" si="50"/>
        <v/>
      </c>
      <c r="L869" t="s">
        <v>16</v>
      </c>
      <c r="M869">
        <v>3</v>
      </c>
      <c r="T869">
        <f t="shared" si="51"/>
        <v>20</v>
      </c>
      <c r="U869" t="s">
        <v>3308</v>
      </c>
      <c r="V869" s="4" t="s">
        <v>2018</v>
      </c>
      <c r="W869">
        <v>868</v>
      </c>
      <c r="Y869">
        <f t="shared" si="52"/>
        <v>0</v>
      </c>
      <c r="Z869">
        <f t="shared" si="53"/>
        <v>0</v>
      </c>
    </row>
    <row r="870" spans="1:26" x14ac:dyDescent="0.25">
      <c r="A870" s="4">
        <v>1040</v>
      </c>
      <c r="B870" t="s">
        <v>41</v>
      </c>
      <c r="C870">
        <v>2</v>
      </c>
      <c r="D870">
        <v>1</v>
      </c>
      <c r="E870">
        <v>6</v>
      </c>
      <c r="F870" t="s">
        <v>14</v>
      </c>
      <c r="G870">
        <v>6.9</v>
      </c>
      <c r="I870">
        <v>5</v>
      </c>
      <c r="J870" t="s">
        <v>17</v>
      </c>
      <c r="K870" t="str">
        <f t="shared" si="50"/>
        <v/>
      </c>
      <c r="L870" t="s">
        <v>16</v>
      </c>
      <c r="M870">
        <v>3</v>
      </c>
      <c r="T870">
        <f t="shared" si="51"/>
        <v>20</v>
      </c>
      <c r="U870" t="s">
        <v>3310</v>
      </c>
      <c r="V870" s="4" t="s">
        <v>2018</v>
      </c>
      <c r="W870">
        <v>869</v>
      </c>
      <c r="Y870">
        <f t="shared" si="52"/>
        <v>0</v>
      </c>
      <c r="Z870">
        <f t="shared" si="53"/>
        <v>0</v>
      </c>
    </row>
    <row r="871" spans="1:26" x14ac:dyDescent="0.25">
      <c r="A871" s="4">
        <v>1040</v>
      </c>
      <c r="B871" t="s">
        <v>41</v>
      </c>
      <c r="C871">
        <v>2</v>
      </c>
      <c r="D871">
        <v>1</v>
      </c>
      <c r="E871">
        <v>10</v>
      </c>
      <c r="F871" t="s">
        <v>14</v>
      </c>
      <c r="G871">
        <v>6.9</v>
      </c>
      <c r="I871">
        <v>5</v>
      </c>
      <c r="J871" t="s">
        <v>15</v>
      </c>
      <c r="K871" t="str">
        <f t="shared" si="50"/>
        <v/>
      </c>
      <c r="L871" t="s">
        <v>16</v>
      </c>
      <c r="M871">
        <v>2</v>
      </c>
      <c r="T871">
        <f t="shared" si="51"/>
        <v>20</v>
      </c>
      <c r="U871" t="s">
        <v>3313</v>
      </c>
      <c r="V871" s="4" t="s">
        <v>104</v>
      </c>
      <c r="W871">
        <v>870</v>
      </c>
      <c r="Y871">
        <f t="shared" si="52"/>
        <v>0</v>
      </c>
      <c r="Z871">
        <f t="shared" si="53"/>
        <v>0</v>
      </c>
    </row>
    <row r="872" spans="1:26" x14ac:dyDescent="0.25">
      <c r="A872" s="4">
        <v>1040</v>
      </c>
      <c r="B872" t="s">
        <v>41</v>
      </c>
      <c r="C872">
        <v>2</v>
      </c>
      <c r="D872">
        <v>1</v>
      </c>
      <c r="E872">
        <v>9</v>
      </c>
      <c r="F872" t="s">
        <v>14</v>
      </c>
      <c r="G872">
        <v>6.9</v>
      </c>
      <c r="I872">
        <v>5</v>
      </c>
      <c r="J872" t="s">
        <v>15</v>
      </c>
      <c r="K872" t="str">
        <f t="shared" si="50"/>
        <v/>
      </c>
      <c r="L872" t="s">
        <v>16</v>
      </c>
      <c r="M872">
        <v>2</v>
      </c>
      <c r="T872">
        <f t="shared" si="51"/>
        <v>20</v>
      </c>
      <c r="U872" t="s">
        <v>3319</v>
      </c>
      <c r="V872" s="4" t="s">
        <v>3320</v>
      </c>
      <c r="W872">
        <v>871</v>
      </c>
      <c r="Y872">
        <f t="shared" si="52"/>
        <v>0</v>
      </c>
      <c r="Z872">
        <f t="shared" si="53"/>
        <v>0</v>
      </c>
    </row>
    <row r="873" spans="1:26" x14ac:dyDescent="0.25">
      <c r="A873" s="4">
        <v>1040</v>
      </c>
      <c r="B873" t="s">
        <v>41</v>
      </c>
      <c r="C873">
        <v>2</v>
      </c>
      <c r="D873">
        <v>1</v>
      </c>
      <c r="E873">
        <v>8</v>
      </c>
      <c r="F873" t="s">
        <v>14</v>
      </c>
      <c r="G873">
        <v>6.9</v>
      </c>
      <c r="I873">
        <v>5</v>
      </c>
      <c r="J873" t="s">
        <v>15</v>
      </c>
      <c r="K873" t="str">
        <f t="shared" si="50"/>
        <v/>
      </c>
      <c r="L873" t="s">
        <v>16</v>
      </c>
      <c r="M873">
        <v>2</v>
      </c>
      <c r="T873">
        <f t="shared" si="51"/>
        <v>20</v>
      </c>
      <c r="U873" t="s">
        <v>3325</v>
      </c>
      <c r="V873" s="4" t="s">
        <v>156</v>
      </c>
      <c r="W873">
        <v>872</v>
      </c>
      <c r="Y873">
        <f t="shared" si="52"/>
        <v>0</v>
      </c>
      <c r="Z873">
        <f t="shared" si="53"/>
        <v>0</v>
      </c>
    </row>
    <row r="874" spans="1:26" x14ac:dyDescent="0.25">
      <c r="A874" s="4">
        <v>1040</v>
      </c>
      <c r="B874" t="s">
        <v>41</v>
      </c>
      <c r="C874">
        <v>2</v>
      </c>
      <c r="D874">
        <v>1</v>
      </c>
      <c r="E874">
        <v>7</v>
      </c>
      <c r="F874" t="s">
        <v>14</v>
      </c>
      <c r="G874">
        <v>6.9</v>
      </c>
      <c r="I874">
        <v>5</v>
      </c>
      <c r="J874" t="s">
        <v>15</v>
      </c>
      <c r="K874" t="str">
        <f t="shared" si="50"/>
        <v/>
      </c>
      <c r="L874" t="s">
        <v>16</v>
      </c>
      <c r="M874">
        <v>2</v>
      </c>
      <c r="T874">
        <f t="shared" si="51"/>
        <v>20</v>
      </c>
      <c r="U874" t="s">
        <v>3331</v>
      </c>
      <c r="V874" s="4" t="s">
        <v>156</v>
      </c>
      <c r="W874">
        <v>873</v>
      </c>
      <c r="Y874">
        <f t="shared" si="52"/>
        <v>0</v>
      </c>
      <c r="Z874">
        <f t="shared" si="53"/>
        <v>0</v>
      </c>
    </row>
    <row r="875" spans="1:26" x14ac:dyDescent="0.25">
      <c r="A875" s="4">
        <v>1040</v>
      </c>
      <c r="B875" t="s">
        <v>41</v>
      </c>
      <c r="C875">
        <v>2</v>
      </c>
      <c r="D875">
        <v>1</v>
      </c>
      <c r="E875">
        <v>6</v>
      </c>
      <c r="F875" t="s">
        <v>14</v>
      </c>
      <c r="G875">
        <v>6.9</v>
      </c>
      <c r="I875">
        <v>5</v>
      </c>
      <c r="J875" t="s">
        <v>15</v>
      </c>
      <c r="K875" t="str">
        <f t="shared" si="50"/>
        <v/>
      </c>
      <c r="L875" t="s">
        <v>16</v>
      </c>
      <c r="M875">
        <v>2</v>
      </c>
      <c r="T875">
        <f t="shared" si="51"/>
        <v>20</v>
      </c>
      <c r="U875" t="s">
        <v>3335</v>
      </c>
      <c r="V875" s="4" t="s">
        <v>138</v>
      </c>
      <c r="W875">
        <v>874</v>
      </c>
      <c r="Y875">
        <f t="shared" si="52"/>
        <v>0</v>
      </c>
      <c r="Z875">
        <f t="shared" si="53"/>
        <v>0</v>
      </c>
    </row>
    <row r="876" spans="1:26" x14ac:dyDescent="0.25">
      <c r="A876" s="4">
        <v>1040</v>
      </c>
      <c r="B876" t="s">
        <v>41</v>
      </c>
      <c r="C876">
        <v>2</v>
      </c>
      <c r="D876">
        <v>1</v>
      </c>
      <c r="E876">
        <v>10</v>
      </c>
      <c r="F876" t="s">
        <v>14</v>
      </c>
      <c r="G876">
        <v>6.9</v>
      </c>
      <c r="I876">
        <v>5</v>
      </c>
      <c r="J876" t="s">
        <v>18</v>
      </c>
      <c r="K876" t="str">
        <f t="shared" si="50"/>
        <v/>
      </c>
      <c r="L876" t="s">
        <v>16</v>
      </c>
      <c r="M876">
        <v>3</v>
      </c>
      <c r="T876">
        <f t="shared" si="51"/>
        <v>20</v>
      </c>
      <c r="U876" t="s">
        <v>3338</v>
      </c>
      <c r="V876" s="4" t="s">
        <v>138</v>
      </c>
      <c r="W876">
        <v>875</v>
      </c>
      <c r="Y876">
        <f t="shared" si="52"/>
        <v>0</v>
      </c>
      <c r="Z876">
        <f t="shared" si="53"/>
        <v>0</v>
      </c>
    </row>
    <row r="877" spans="1:26" x14ac:dyDescent="0.25">
      <c r="A877" s="4">
        <v>1040</v>
      </c>
      <c r="B877" t="s">
        <v>41</v>
      </c>
      <c r="C877">
        <v>2</v>
      </c>
      <c r="D877">
        <v>1</v>
      </c>
      <c r="E877">
        <v>9</v>
      </c>
      <c r="F877" t="s">
        <v>14</v>
      </c>
      <c r="G877">
        <v>6.9</v>
      </c>
      <c r="I877">
        <v>5</v>
      </c>
      <c r="J877" t="s">
        <v>18</v>
      </c>
      <c r="K877" t="str">
        <f t="shared" si="50"/>
        <v/>
      </c>
      <c r="L877" t="s">
        <v>16</v>
      </c>
      <c r="M877">
        <v>3</v>
      </c>
      <c r="T877">
        <f t="shared" si="51"/>
        <v>20</v>
      </c>
      <c r="U877" t="s">
        <v>3340</v>
      </c>
      <c r="V877" s="4" t="s">
        <v>3341</v>
      </c>
      <c r="W877">
        <v>876</v>
      </c>
      <c r="Y877">
        <f t="shared" si="52"/>
        <v>0</v>
      </c>
      <c r="Z877">
        <f t="shared" si="53"/>
        <v>0</v>
      </c>
    </row>
    <row r="878" spans="1:26" x14ac:dyDescent="0.25">
      <c r="A878" s="4">
        <v>1040</v>
      </c>
      <c r="B878" t="s">
        <v>41</v>
      </c>
      <c r="C878">
        <v>2</v>
      </c>
      <c r="D878">
        <v>1</v>
      </c>
      <c r="E878">
        <v>8</v>
      </c>
      <c r="F878" t="s">
        <v>14</v>
      </c>
      <c r="G878">
        <v>6.9</v>
      </c>
      <c r="I878">
        <v>5</v>
      </c>
      <c r="J878" t="s">
        <v>18</v>
      </c>
      <c r="K878" t="str">
        <f t="shared" si="50"/>
        <v/>
      </c>
      <c r="L878" t="s">
        <v>16</v>
      </c>
      <c r="M878">
        <v>3</v>
      </c>
      <c r="T878">
        <f t="shared" si="51"/>
        <v>20</v>
      </c>
      <c r="U878" t="s">
        <v>3344</v>
      </c>
      <c r="V878" s="4" t="s">
        <v>3341</v>
      </c>
      <c r="W878">
        <v>877</v>
      </c>
      <c r="Y878">
        <f t="shared" si="52"/>
        <v>0</v>
      </c>
      <c r="Z878">
        <f t="shared" si="53"/>
        <v>0</v>
      </c>
    </row>
    <row r="879" spans="1:26" x14ac:dyDescent="0.25">
      <c r="A879" s="4">
        <v>1040</v>
      </c>
      <c r="B879" t="s">
        <v>41</v>
      </c>
      <c r="C879">
        <v>2</v>
      </c>
      <c r="D879">
        <v>1</v>
      </c>
      <c r="E879">
        <v>7</v>
      </c>
      <c r="F879" t="s">
        <v>14</v>
      </c>
      <c r="G879">
        <v>6.9</v>
      </c>
      <c r="I879">
        <v>5</v>
      </c>
      <c r="J879" t="s">
        <v>18</v>
      </c>
      <c r="K879" t="str">
        <f t="shared" si="50"/>
        <v/>
      </c>
      <c r="L879" t="s">
        <v>16</v>
      </c>
      <c r="M879">
        <v>3</v>
      </c>
      <c r="T879">
        <f t="shared" si="51"/>
        <v>20</v>
      </c>
      <c r="U879" t="s">
        <v>3347</v>
      </c>
      <c r="V879" s="4" t="s">
        <v>1069</v>
      </c>
      <c r="W879">
        <v>878</v>
      </c>
      <c r="Y879">
        <f t="shared" si="52"/>
        <v>0</v>
      </c>
      <c r="Z879">
        <f t="shared" si="53"/>
        <v>0</v>
      </c>
    </row>
    <row r="880" spans="1:26" x14ac:dyDescent="0.25">
      <c r="A880" s="4">
        <v>1040</v>
      </c>
      <c r="B880" t="s">
        <v>41</v>
      </c>
      <c r="C880">
        <v>2</v>
      </c>
      <c r="D880">
        <v>1</v>
      </c>
      <c r="E880">
        <v>6</v>
      </c>
      <c r="F880" t="s">
        <v>14</v>
      </c>
      <c r="G880">
        <v>6.9</v>
      </c>
      <c r="I880">
        <v>5</v>
      </c>
      <c r="J880" t="s">
        <v>18</v>
      </c>
      <c r="K880" t="str">
        <f t="shared" si="50"/>
        <v/>
      </c>
      <c r="L880" t="s">
        <v>16</v>
      </c>
      <c r="M880">
        <v>3</v>
      </c>
      <c r="T880">
        <f t="shared" si="51"/>
        <v>20</v>
      </c>
      <c r="U880" t="s">
        <v>3351</v>
      </c>
      <c r="V880" s="4" t="s">
        <v>1069</v>
      </c>
      <c r="W880">
        <v>879</v>
      </c>
      <c r="Y880">
        <f t="shared" si="52"/>
        <v>0</v>
      </c>
      <c r="Z880">
        <f t="shared" si="53"/>
        <v>0</v>
      </c>
    </row>
    <row r="881" spans="1:26" x14ac:dyDescent="0.25">
      <c r="A881" s="4">
        <v>1063</v>
      </c>
      <c r="B881" t="s">
        <v>13</v>
      </c>
      <c r="C881">
        <v>2</v>
      </c>
      <c r="D881">
        <v>1</v>
      </c>
      <c r="E881">
        <v>4</v>
      </c>
      <c r="F881" t="s">
        <v>14</v>
      </c>
      <c r="G881">
        <v>4.43</v>
      </c>
      <c r="I881">
        <v>4</v>
      </c>
      <c r="J881" t="s">
        <v>17</v>
      </c>
      <c r="K881" t="str">
        <f t="shared" si="50"/>
        <v/>
      </c>
      <c r="L881" t="s">
        <v>16</v>
      </c>
      <c r="M881">
        <v>4</v>
      </c>
      <c r="T881">
        <f t="shared" si="51"/>
        <v>20</v>
      </c>
      <c r="U881" t="s">
        <v>3353</v>
      </c>
      <c r="V881" s="4" t="s">
        <v>1069</v>
      </c>
      <c r="W881">
        <v>880</v>
      </c>
      <c r="Y881">
        <f t="shared" si="52"/>
        <v>0</v>
      </c>
      <c r="Z881">
        <f t="shared" si="53"/>
        <v>0</v>
      </c>
    </row>
    <row r="882" spans="1:26" x14ac:dyDescent="0.25">
      <c r="A882" s="4">
        <v>1063</v>
      </c>
      <c r="B882" t="s">
        <v>13</v>
      </c>
      <c r="C882">
        <v>2</v>
      </c>
      <c r="D882">
        <v>1</v>
      </c>
      <c r="E882">
        <v>3</v>
      </c>
      <c r="F882" t="s">
        <v>14</v>
      </c>
      <c r="G882">
        <v>4.43</v>
      </c>
      <c r="I882">
        <v>4</v>
      </c>
      <c r="J882" t="s">
        <v>17</v>
      </c>
      <c r="K882" t="str">
        <f t="shared" si="50"/>
        <v/>
      </c>
      <c r="L882" t="s">
        <v>16</v>
      </c>
      <c r="M882">
        <v>4</v>
      </c>
      <c r="T882">
        <f t="shared" si="51"/>
        <v>20</v>
      </c>
      <c r="U882" t="s">
        <v>3355</v>
      </c>
      <c r="V882" s="4" t="s">
        <v>1446</v>
      </c>
      <c r="W882">
        <v>881</v>
      </c>
      <c r="Y882">
        <f t="shared" si="52"/>
        <v>0</v>
      </c>
      <c r="Z882">
        <f t="shared" si="53"/>
        <v>0</v>
      </c>
    </row>
    <row r="883" spans="1:26" x14ac:dyDescent="0.25">
      <c r="A883" s="4">
        <v>1063</v>
      </c>
      <c r="B883" t="s">
        <v>13</v>
      </c>
      <c r="C883">
        <v>2</v>
      </c>
      <c r="D883">
        <v>1</v>
      </c>
      <c r="E883">
        <v>2</v>
      </c>
      <c r="F883" t="s">
        <v>14</v>
      </c>
      <c r="G883">
        <v>4.43</v>
      </c>
      <c r="I883">
        <v>4</v>
      </c>
      <c r="J883" t="s">
        <v>17</v>
      </c>
      <c r="K883" t="str">
        <f t="shared" si="50"/>
        <v/>
      </c>
      <c r="L883" t="s">
        <v>16</v>
      </c>
      <c r="M883">
        <v>4</v>
      </c>
      <c r="T883">
        <f t="shared" si="51"/>
        <v>20</v>
      </c>
      <c r="U883" t="s">
        <v>3359</v>
      </c>
      <c r="V883" s="4" t="s">
        <v>1446</v>
      </c>
      <c r="W883">
        <v>882</v>
      </c>
      <c r="Y883">
        <f t="shared" si="52"/>
        <v>0</v>
      </c>
      <c r="Z883">
        <f t="shared" si="53"/>
        <v>0</v>
      </c>
    </row>
    <row r="884" spans="1:26" x14ac:dyDescent="0.25">
      <c r="A884" s="4">
        <v>1063</v>
      </c>
      <c r="B884" t="s">
        <v>13</v>
      </c>
      <c r="C884">
        <v>2</v>
      </c>
      <c r="D884">
        <v>1</v>
      </c>
      <c r="E884">
        <v>1</v>
      </c>
      <c r="F884" t="s">
        <v>14</v>
      </c>
      <c r="G884">
        <v>4.43</v>
      </c>
      <c r="I884">
        <v>4</v>
      </c>
      <c r="J884" t="s">
        <v>17</v>
      </c>
      <c r="K884" t="str">
        <f t="shared" si="50"/>
        <v/>
      </c>
      <c r="L884" t="s">
        <v>16</v>
      </c>
      <c r="M884">
        <v>4</v>
      </c>
      <c r="T884">
        <f t="shared" si="51"/>
        <v>20</v>
      </c>
      <c r="U884" t="s">
        <v>3361</v>
      </c>
      <c r="V884" s="4" t="s">
        <v>1446</v>
      </c>
      <c r="W884">
        <v>883</v>
      </c>
      <c r="Y884">
        <f t="shared" si="52"/>
        <v>0</v>
      </c>
      <c r="Z884">
        <f t="shared" si="53"/>
        <v>0</v>
      </c>
    </row>
    <row r="885" spans="1:26" x14ac:dyDescent="0.25">
      <c r="A885" s="4">
        <v>1063</v>
      </c>
      <c r="B885" t="s">
        <v>13</v>
      </c>
      <c r="C885">
        <v>2</v>
      </c>
      <c r="D885">
        <v>1</v>
      </c>
      <c r="E885">
        <v>4</v>
      </c>
      <c r="F885" t="s">
        <v>14</v>
      </c>
      <c r="G885">
        <v>4.43</v>
      </c>
      <c r="I885">
        <v>4</v>
      </c>
      <c r="J885" t="s">
        <v>15</v>
      </c>
      <c r="K885" t="str">
        <f t="shared" si="50"/>
        <v/>
      </c>
      <c r="L885" t="s">
        <v>16</v>
      </c>
      <c r="M885">
        <v>4</v>
      </c>
      <c r="T885">
        <f t="shared" si="51"/>
        <v>20</v>
      </c>
      <c r="U885" t="s">
        <v>3363</v>
      </c>
      <c r="V885" s="4" t="s">
        <v>1833</v>
      </c>
      <c r="W885">
        <v>884</v>
      </c>
      <c r="Y885">
        <f t="shared" si="52"/>
        <v>0</v>
      </c>
      <c r="Z885">
        <f t="shared" si="53"/>
        <v>0</v>
      </c>
    </row>
    <row r="886" spans="1:26" x14ac:dyDescent="0.25">
      <c r="A886" s="4">
        <v>1063</v>
      </c>
      <c r="B886" t="s">
        <v>13</v>
      </c>
      <c r="C886">
        <v>2</v>
      </c>
      <c r="D886">
        <v>1</v>
      </c>
      <c r="E886">
        <v>3</v>
      </c>
      <c r="F886" t="s">
        <v>14</v>
      </c>
      <c r="G886">
        <v>4.43</v>
      </c>
      <c r="I886">
        <v>4</v>
      </c>
      <c r="J886" t="s">
        <v>15</v>
      </c>
      <c r="K886" t="str">
        <f t="shared" si="50"/>
        <v/>
      </c>
      <c r="L886" t="s">
        <v>16</v>
      </c>
      <c r="M886">
        <v>4</v>
      </c>
      <c r="T886">
        <f t="shared" si="51"/>
        <v>20</v>
      </c>
      <c r="U886" t="s">
        <v>3368</v>
      </c>
      <c r="V886" s="4" t="s">
        <v>1833</v>
      </c>
      <c r="W886">
        <v>885</v>
      </c>
      <c r="Y886">
        <f t="shared" si="52"/>
        <v>0</v>
      </c>
      <c r="Z886">
        <f t="shared" si="53"/>
        <v>0</v>
      </c>
    </row>
    <row r="887" spans="1:26" x14ac:dyDescent="0.25">
      <c r="A887" s="4">
        <v>1063</v>
      </c>
      <c r="B887" t="s">
        <v>13</v>
      </c>
      <c r="C887">
        <v>2</v>
      </c>
      <c r="D887">
        <v>1</v>
      </c>
      <c r="E887">
        <v>2</v>
      </c>
      <c r="F887" t="s">
        <v>14</v>
      </c>
      <c r="G887">
        <v>4.43</v>
      </c>
      <c r="I887">
        <v>4</v>
      </c>
      <c r="J887" t="s">
        <v>15</v>
      </c>
      <c r="K887" t="str">
        <f t="shared" si="50"/>
        <v/>
      </c>
      <c r="L887" t="s">
        <v>16</v>
      </c>
      <c r="M887">
        <v>4</v>
      </c>
      <c r="T887">
        <f t="shared" si="51"/>
        <v>20</v>
      </c>
      <c r="U887" t="s">
        <v>3371</v>
      </c>
      <c r="V887" s="4" t="s">
        <v>1833</v>
      </c>
      <c r="W887">
        <v>886</v>
      </c>
      <c r="Y887">
        <f t="shared" si="52"/>
        <v>0</v>
      </c>
      <c r="Z887">
        <f t="shared" si="53"/>
        <v>0</v>
      </c>
    </row>
    <row r="888" spans="1:26" x14ac:dyDescent="0.25">
      <c r="A888" s="4">
        <v>1063</v>
      </c>
      <c r="B888" t="s">
        <v>13</v>
      </c>
      <c r="C888">
        <v>2</v>
      </c>
      <c r="D888">
        <v>1</v>
      </c>
      <c r="E888">
        <v>1</v>
      </c>
      <c r="F888" t="s">
        <v>14</v>
      </c>
      <c r="G888">
        <v>4.43</v>
      </c>
      <c r="I888">
        <v>4</v>
      </c>
      <c r="J888" t="s">
        <v>15</v>
      </c>
      <c r="K888" t="str">
        <f t="shared" si="50"/>
        <v/>
      </c>
      <c r="L888" t="s">
        <v>16</v>
      </c>
      <c r="M888">
        <v>4</v>
      </c>
      <c r="T888">
        <f t="shared" si="51"/>
        <v>20</v>
      </c>
      <c r="U888" t="s">
        <v>3373</v>
      </c>
      <c r="V888" s="4" t="s">
        <v>3374</v>
      </c>
      <c r="W888">
        <v>887</v>
      </c>
      <c r="Y888">
        <f t="shared" si="52"/>
        <v>0</v>
      </c>
      <c r="Z888">
        <f t="shared" si="53"/>
        <v>0</v>
      </c>
    </row>
    <row r="889" spans="1:26" x14ac:dyDescent="0.25">
      <c r="A889" s="4">
        <v>1063</v>
      </c>
      <c r="B889" t="s">
        <v>13</v>
      </c>
      <c r="C889">
        <v>2</v>
      </c>
      <c r="D889">
        <v>1</v>
      </c>
      <c r="E889">
        <v>4</v>
      </c>
      <c r="F889" t="s">
        <v>14</v>
      </c>
      <c r="G889">
        <v>4.43</v>
      </c>
      <c r="I889">
        <v>4</v>
      </c>
      <c r="J889" t="s">
        <v>18</v>
      </c>
      <c r="K889" t="str">
        <f t="shared" si="50"/>
        <v/>
      </c>
      <c r="L889" t="s">
        <v>16</v>
      </c>
      <c r="M889">
        <v>4</v>
      </c>
      <c r="T889">
        <f t="shared" si="51"/>
        <v>20</v>
      </c>
      <c r="U889" t="s">
        <v>3382</v>
      </c>
      <c r="V889" s="4" t="s">
        <v>3374</v>
      </c>
      <c r="W889">
        <v>888</v>
      </c>
      <c r="Y889">
        <f t="shared" si="52"/>
        <v>0</v>
      </c>
      <c r="Z889">
        <f t="shared" si="53"/>
        <v>0</v>
      </c>
    </row>
    <row r="890" spans="1:26" x14ac:dyDescent="0.25">
      <c r="A890" s="4">
        <v>1063</v>
      </c>
      <c r="B890" t="s">
        <v>13</v>
      </c>
      <c r="C890">
        <v>2</v>
      </c>
      <c r="D890">
        <v>1</v>
      </c>
      <c r="E890">
        <v>3</v>
      </c>
      <c r="F890" t="s">
        <v>14</v>
      </c>
      <c r="G890">
        <v>4.43</v>
      </c>
      <c r="I890">
        <v>4</v>
      </c>
      <c r="J890" t="s">
        <v>18</v>
      </c>
      <c r="K890" t="str">
        <f t="shared" si="50"/>
        <v/>
      </c>
      <c r="L890" t="s">
        <v>16</v>
      </c>
      <c r="M890">
        <v>4</v>
      </c>
      <c r="T890">
        <f t="shared" si="51"/>
        <v>20</v>
      </c>
      <c r="U890" t="s">
        <v>3385</v>
      </c>
      <c r="V890" s="4" t="s">
        <v>3374</v>
      </c>
      <c r="W890">
        <v>889</v>
      </c>
      <c r="Y890">
        <f t="shared" si="52"/>
        <v>0</v>
      </c>
      <c r="Z890">
        <f t="shared" si="53"/>
        <v>0</v>
      </c>
    </row>
    <row r="891" spans="1:26" x14ac:dyDescent="0.25">
      <c r="A891" s="4">
        <v>1063</v>
      </c>
      <c r="B891" t="s">
        <v>13</v>
      </c>
      <c r="C891">
        <v>2</v>
      </c>
      <c r="D891">
        <v>1</v>
      </c>
      <c r="E891">
        <v>2</v>
      </c>
      <c r="F891" t="s">
        <v>14</v>
      </c>
      <c r="G891">
        <v>4.43</v>
      </c>
      <c r="I891">
        <v>4</v>
      </c>
      <c r="J891" t="s">
        <v>18</v>
      </c>
      <c r="K891" t="str">
        <f t="shared" si="50"/>
        <v/>
      </c>
      <c r="L891" t="s">
        <v>16</v>
      </c>
      <c r="M891">
        <v>4</v>
      </c>
      <c r="T891">
        <f t="shared" si="51"/>
        <v>20</v>
      </c>
      <c r="U891" t="s">
        <v>3388</v>
      </c>
      <c r="V891" s="4" t="s">
        <v>3374</v>
      </c>
      <c r="W891">
        <v>890</v>
      </c>
      <c r="Y891">
        <f t="shared" si="52"/>
        <v>0</v>
      </c>
      <c r="Z891">
        <f t="shared" si="53"/>
        <v>0</v>
      </c>
    </row>
    <row r="892" spans="1:26" x14ac:dyDescent="0.25">
      <c r="A892" s="4">
        <v>1063</v>
      </c>
      <c r="B892" t="s">
        <v>13</v>
      </c>
      <c r="C892">
        <v>2</v>
      </c>
      <c r="D892">
        <v>1</v>
      </c>
      <c r="E892">
        <v>1</v>
      </c>
      <c r="F892" t="s">
        <v>14</v>
      </c>
      <c r="G892">
        <v>4.43</v>
      </c>
      <c r="I892">
        <v>4</v>
      </c>
      <c r="J892" t="s">
        <v>18</v>
      </c>
      <c r="K892" t="str">
        <f t="shared" si="50"/>
        <v/>
      </c>
      <c r="L892" t="s">
        <v>16</v>
      </c>
      <c r="M892">
        <v>4</v>
      </c>
      <c r="T892">
        <f t="shared" si="51"/>
        <v>20</v>
      </c>
      <c r="U892" t="s">
        <v>3392</v>
      </c>
      <c r="V892" s="4" t="s">
        <v>3393</v>
      </c>
      <c r="W892">
        <v>891</v>
      </c>
      <c r="Y892">
        <f t="shared" si="52"/>
        <v>0</v>
      </c>
      <c r="Z892">
        <f t="shared" si="53"/>
        <v>0</v>
      </c>
    </row>
    <row r="893" spans="1:26" x14ac:dyDescent="0.25">
      <c r="A893" s="4">
        <v>1063</v>
      </c>
      <c r="B893" t="s">
        <v>13</v>
      </c>
      <c r="C893">
        <v>2</v>
      </c>
      <c r="D893">
        <v>1</v>
      </c>
      <c r="E893">
        <v>8</v>
      </c>
      <c r="F893" t="s">
        <v>14</v>
      </c>
      <c r="G893">
        <v>5</v>
      </c>
      <c r="I893">
        <v>4</v>
      </c>
      <c r="J893" t="s">
        <v>17</v>
      </c>
      <c r="K893" t="str">
        <f t="shared" si="50"/>
        <v/>
      </c>
      <c r="L893" t="s">
        <v>16</v>
      </c>
      <c r="M893">
        <v>3</v>
      </c>
      <c r="T893">
        <f t="shared" si="51"/>
        <v>20</v>
      </c>
      <c r="U893" t="s">
        <v>3397</v>
      </c>
      <c r="V893" s="4" t="s">
        <v>3393</v>
      </c>
      <c r="W893">
        <v>892</v>
      </c>
      <c r="Y893">
        <f t="shared" si="52"/>
        <v>0</v>
      </c>
      <c r="Z893">
        <f t="shared" si="53"/>
        <v>0</v>
      </c>
    </row>
    <row r="894" spans="1:26" x14ac:dyDescent="0.25">
      <c r="A894" s="4">
        <v>1063</v>
      </c>
      <c r="B894" t="s">
        <v>13</v>
      </c>
      <c r="C894">
        <v>2</v>
      </c>
      <c r="D894">
        <v>1</v>
      </c>
      <c r="E894">
        <v>7</v>
      </c>
      <c r="F894" t="s">
        <v>14</v>
      </c>
      <c r="G894">
        <v>5</v>
      </c>
      <c r="I894">
        <v>4</v>
      </c>
      <c r="J894" t="s">
        <v>17</v>
      </c>
      <c r="K894" t="str">
        <f t="shared" si="50"/>
        <v/>
      </c>
      <c r="L894" t="s">
        <v>16</v>
      </c>
      <c r="M894">
        <v>3</v>
      </c>
      <c r="T894">
        <f t="shared" si="51"/>
        <v>20</v>
      </c>
      <c r="U894" t="s">
        <v>3400</v>
      </c>
      <c r="V894" s="4" t="s">
        <v>3393</v>
      </c>
      <c r="W894">
        <v>893</v>
      </c>
      <c r="Y894">
        <f t="shared" si="52"/>
        <v>0</v>
      </c>
      <c r="Z894">
        <f t="shared" si="53"/>
        <v>0</v>
      </c>
    </row>
    <row r="895" spans="1:26" x14ac:dyDescent="0.25">
      <c r="A895" s="4">
        <v>1063</v>
      </c>
      <c r="B895" t="s">
        <v>13</v>
      </c>
      <c r="C895">
        <v>2</v>
      </c>
      <c r="D895">
        <v>1</v>
      </c>
      <c r="E895">
        <v>6</v>
      </c>
      <c r="F895" t="s">
        <v>14</v>
      </c>
      <c r="G895">
        <v>5</v>
      </c>
      <c r="I895">
        <v>4</v>
      </c>
      <c r="J895" t="s">
        <v>17</v>
      </c>
      <c r="K895" t="str">
        <f t="shared" si="50"/>
        <v/>
      </c>
      <c r="L895" t="s">
        <v>16</v>
      </c>
      <c r="M895">
        <v>3</v>
      </c>
      <c r="T895">
        <f t="shared" si="51"/>
        <v>20</v>
      </c>
      <c r="U895" t="s">
        <v>3403</v>
      </c>
      <c r="V895" s="4" t="s">
        <v>3404</v>
      </c>
      <c r="W895">
        <v>894</v>
      </c>
      <c r="Y895">
        <f t="shared" si="52"/>
        <v>0</v>
      </c>
      <c r="Z895">
        <f t="shared" si="53"/>
        <v>0</v>
      </c>
    </row>
    <row r="896" spans="1:26" x14ac:dyDescent="0.25">
      <c r="A896" s="4">
        <v>1063</v>
      </c>
      <c r="B896" t="s">
        <v>13</v>
      </c>
      <c r="C896">
        <v>2</v>
      </c>
      <c r="D896">
        <v>1</v>
      </c>
      <c r="E896">
        <v>5</v>
      </c>
      <c r="F896" t="s">
        <v>14</v>
      </c>
      <c r="G896">
        <v>5</v>
      </c>
      <c r="I896">
        <v>4</v>
      </c>
      <c r="J896" t="s">
        <v>17</v>
      </c>
      <c r="K896" t="str">
        <f t="shared" si="50"/>
        <v/>
      </c>
      <c r="L896" t="s">
        <v>16</v>
      </c>
      <c r="M896">
        <v>3</v>
      </c>
      <c r="T896">
        <f t="shared" si="51"/>
        <v>20</v>
      </c>
      <c r="U896" t="s">
        <v>3411</v>
      </c>
      <c r="V896" s="4" t="s">
        <v>3404</v>
      </c>
      <c r="W896">
        <v>895</v>
      </c>
      <c r="Y896">
        <f t="shared" si="52"/>
        <v>0</v>
      </c>
      <c r="Z896">
        <f t="shared" si="53"/>
        <v>0</v>
      </c>
    </row>
    <row r="897" spans="1:26" x14ac:dyDescent="0.25">
      <c r="A897" s="4">
        <v>1063</v>
      </c>
      <c r="B897" t="s">
        <v>13</v>
      </c>
      <c r="C897">
        <v>2</v>
      </c>
      <c r="D897">
        <v>1</v>
      </c>
      <c r="E897">
        <v>8</v>
      </c>
      <c r="F897" t="s">
        <v>14</v>
      </c>
      <c r="G897">
        <v>5</v>
      </c>
      <c r="I897">
        <v>4</v>
      </c>
      <c r="J897" t="s">
        <v>15</v>
      </c>
      <c r="K897" t="str">
        <f t="shared" si="50"/>
        <v/>
      </c>
      <c r="L897" t="s">
        <v>16</v>
      </c>
      <c r="M897">
        <v>3</v>
      </c>
      <c r="T897">
        <f t="shared" si="51"/>
        <v>20</v>
      </c>
      <c r="U897" t="s">
        <v>3415</v>
      </c>
      <c r="V897" s="4" t="s">
        <v>3404</v>
      </c>
      <c r="W897">
        <v>896</v>
      </c>
      <c r="Y897">
        <f t="shared" si="52"/>
        <v>0</v>
      </c>
      <c r="Z897">
        <f t="shared" si="53"/>
        <v>0</v>
      </c>
    </row>
    <row r="898" spans="1:26" x14ac:dyDescent="0.25">
      <c r="A898" s="4">
        <v>1063</v>
      </c>
      <c r="B898" t="s">
        <v>13</v>
      </c>
      <c r="C898">
        <v>2</v>
      </c>
      <c r="D898">
        <v>1</v>
      </c>
      <c r="E898">
        <v>7</v>
      </c>
      <c r="F898" t="s">
        <v>14</v>
      </c>
      <c r="G898">
        <v>5</v>
      </c>
      <c r="I898">
        <v>4</v>
      </c>
      <c r="J898" t="s">
        <v>15</v>
      </c>
      <c r="K898" t="str">
        <f t="shared" si="50"/>
        <v/>
      </c>
      <c r="L898" t="s">
        <v>16</v>
      </c>
      <c r="M898">
        <v>3</v>
      </c>
      <c r="T898">
        <f t="shared" si="51"/>
        <v>20</v>
      </c>
      <c r="U898" t="s">
        <v>3417</v>
      </c>
      <c r="V898" s="4" t="s">
        <v>3404</v>
      </c>
      <c r="W898">
        <v>897</v>
      </c>
      <c r="Y898">
        <f t="shared" si="52"/>
        <v>0</v>
      </c>
      <c r="Z898">
        <f t="shared" si="53"/>
        <v>0</v>
      </c>
    </row>
    <row r="899" spans="1:26" x14ac:dyDescent="0.25">
      <c r="A899" s="4">
        <v>1063</v>
      </c>
      <c r="B899" t="s">
        <v>13</v>
      </c>
      <c r="C899">
        <v>2</v>
      </c>
      <c r="D899">
        <v>1</v>
      </c>
      <c r="E899">
        <v>6</v>
      </c>
      <c r="F899" t="s">
        <v>14</v>
      </c>
      <c r="G899">
        <v>5</v>
      </c>
      <c r="I899">
        <v>4</v>
      </c>
      <c r="J899" t="s">
        <v>15</v>
      </c>
      <c r="K899" t="str">
        <f t="shared" ref="K899:K962" si="54">_xlfn.XLOOKUP(A899,V:V,U:U,"",0)</f>
        <v/>
      </c>
      <c r="L899" t="s">
        <v>16</v>
      </c>
      <c r="M899">
        <v>3</v>
      </c>
      <c r="T899">
        <f t="shared" ref="T899:T962" si="55">LEN(U899)</f>
        <v>20</v>
      </c>
      <c r="U899" t="s">
        <v>3424</v>
      </c>
      <c r="V899" s="4" t="s">
        <v>3404</v>
      </c>
      <c r="W899">
        <v>898</v>
      </c>
      <c r="Y899">
        <f t="shared" ref="Y899:Y962" si="56">LEN(O899)</f>
        <v>0</v>
      </c>
      <c r="Z899">
        <f t="shared" ref="Z899:Z962" si="57">LEN(P899)</f>
        <v>0</v>
      </c>
    </row>
    <row r="900" spans="1:26" x14ac:dyDescent="0.25">
      <c r="A900" s="4">
        <v>1063</v>
      </c>
      <c r="B900" t="s">
        <v>13</v>
      </c>
      <c r="C900">
        <v>2</v>
      </c>
      <c r="D900">
        <v>1</v>
      </c>
      <c r="E900">
        <v>5</v>
      </c>
      <c r="F900" t="s">
        <v>14</v>
      </c>
      <c r="G900">
        <v>5</v>
      </c>
      <c r="I900">
        <v>4</v>
      </c>
      <c r="J900" t="s">
        <v>15</v>
      </c>
      <c r="K900" t="str">
        <f t="shared" si="54"/>
        <v/>
      </c>
      <c r="L900" t="s">
        <v>16</v>
      </c>
      <c r="M900">
        <v>3</v>
      </c>
      <c r="T900">
        <f t="shared" si="55"/>
        <v>20</v>
      </c>
      <c r="U900" t="s">
        <v>3427</v>
      </c>
      <c r="V900" s="4" t="s">
        <v>3404</v>
      </c>
      <c r="W900">
        <v>899</v>
      </c>
      <c r="Y900">
        <f t="shared" si="56"/>
        <v>0</v>
      </c>
      <c r="Z900">
        <f t="shared" si="57"/>
        <v>0</v>
      </c>
    </row>
    <row r="901" spans="1:26" x14ac:dyDescent="0.25">
      <c r="A901" s="4">
        <v>1063</v>
      </c>
      <c r="B901" t="s">
        <v>13</v>
      </c>
      <c r="C901">
        <v>2</v>
      </c>
      <c r="D901">
        <v>1</v>
      </c>
      <c r="E901">
        <v>8</v>
      </c>
      <c r="F901" t="s">
        <v>14</v>
      </c>
      <c r="G901">
        <v>5</v>
      </c>
      <c r="I901">
        <v>4</v>
      </c>
      <c r="J901" t="s">
        <v>18</v>
      </c>
      <c r="K901" t="str">
        <f t="shared" si="54"/>
        <v/>
      </c>
      <c r="L901" t="s">
        <v>16</v>
      </c>
      <c r="M901">
        <v>2</v>
      </c>
      <c r="T901">
        <f t="shared" si="55"/>
        <v>20</v>
      </c>
      <c r="U901" t="s">
        <v>3430</v>
      </c>
      <c r="V901" s="4" t="s">
        <v>3431</v>
      </c>
      <c r="W901">
        <v>900</v>
      </c>
      <c r="Y901">
        <f t="shared" si="56"/>
        <v>0</v>
      </c>
      <c r="Z901">
        <f t="shared" si="57"/>
        <v>0</v>
      </c>
    </row>
    <row r="902" spans="1:26" x14ac:dyDescent="0.25">
      <c r="A902" s="4">
        <v>1063</v>
      </c>
      <c r="B902" t="s">
        <v>13</v>
      </c>
      <c r="C902">
        <v>2</v>
      </c>
      <c r="D902">
        <v>1</v>
      </c>
      <c r="E902">
        <v>7</v>
      </c>
      <c r="F902" t="s">
        <v>14</v>
      </c>
      <c r="G902">
        <v>5</v>
      </c>
      <c r="I902">
        <v>4</v>
      </c>
      <c r="J902" t="s">
        <v>18</v>
      </c>
      <c r="K902" t="str">
        <f t="shared" si="54"/>
        <v/>
      </c>
      <c r="L902" t="s">
        <v>16</v>
      </c>
      <c r="M902">
        <v>2</v>
      </c>
      <c r="T902">
        <f t="shared" si="55"/>
        <v>20</v>
      </c>
      <c r="U902" t="s">
        <v>3434</v>
      </c>
      <c r="V902" s="4" t="s">
        <v>3431</v>
      </c>
      <c r="W902">
        <v>901</v>
      </c>
      <c r="Y902">
        <f t="shared" si="56"/>
        <v>0</v>
      </c>
      <c r="Z902">
        <f t="shared" si="57"/>
        <v>0</v>
      </c>
    </row>
    <row r="903" spans="1:26" x14ac:dyDescent="0.25">
      <c r="A903" s="4">
        <v>1063</v>
      </c>
      <c r="B903" t="s">
        <v>13</v>
      </c>
      <c r="C903">
        <v>2</v>
      </c>
      <c r="D903">
        <v>1</v>
      </c>
      <c r="E903">
        <v>6</v>
      </c>
      <c r="F903" t="s">
        <v>14</v>
      </c>
      <c r="G903">
        <v>5</v>
      </c>
      <c r="I903">
        <v>4</v>
      </c>
      <c r="J903" t="s">
        <v>18</v>
      </c>
      <c r="K903" t="str">
        <f t="shared" si="54"/>
        <v/>
      </c>
      <c r="L903" t="s">
        <v>16</v>
      </c>
      <c r="M903">
        <v>2</v>
      </c>
      <c r="T903">
        <f t="shared" si="55"/>
        <v>20</v>
      </c>
      <c r="U903" t="s">
        <v>3436</v>
      </c>
      <c r="V903" s="4" t="s">
        <v>3431</v>
      </c>
      <c r="W903">
        <v>902</v>
      </c>
      <c r="Y903">
        <f t="shared" si="56"/>
        <v>0</v>
      </c>
      <c r="Z903">
        <f t="shared" si="57"/>
        <v>0</v>
      </c>
    </row>
    <row r="904" spans="1:26" x14ac:dyDescent="0.25">
      <c r="A904" s="4">
        <v>1063</v>
      </c>
      <c r="B904" t="s">
        <v>13</v>
      </c>
      <c r="C904">
        <v>2</v>
      </c>
      <c r="D904">
        <v>1</v>
      </c>
      <c r="E904">
        <v>5</v>
      </c>
      <c r="F904" t="s">
        <v>14</v>
      </c>
      <c r="G904">
        <v>5</v>
      </c>
      <c r="I904">
        <v>4</v>
      </c>
      <c r="J904" t="s">
        <v>18</v>
      </c>
      <c r="K904" t="str">
        <f t="shared" si="54"/>
        <v/>
      </c>
      <c r="L904" t="s">
        <v>16</v>
      </c>
      <c r="M904">
        <v>2</v>
      </c>
      <c r="T904">
        <f t="shared" si="55"/>
        <v>20</v>
      </c>
      <c r="U904" t="s">
        <v>3439</v>
      </c>
      <c r="V904" s="4" t="s">
        <v>3431</v>
      </c>
      <c r="W904">
        <v>903</v>
      </c>
      <c r="Y904">
        <f t="shared" si="56"/>
        <v>0</v>
      </c>
      <c r="Z904">
        <f t="shared" si="57"/>
        <v>0</v>
      </c>
    </row>
    <row r="905" spans="1:26" x14ac:dyDescent="0.25">
      <c r="A905" s="4">
        <v>1063</v>
      </c>
      <c r="B905" t="s">
        <v>13</v>
      </c>
      <c r="C905">
        <v>2</v>
      </c>
      <c r="D905">
        <v>1</v>
      </c>
      <c r="E905">
        <v>12</v>
      </c>
      <c r="F905" t="s">
        <v>14</v>
      </c>
      <c r="G905">
        <v>5.65</v>
      </c>
      <c r="I905">
        <v>4</v>
      </c>
      <c r="J905" t="s">
        <v>17</v>
      </c>
      <c r="K905" t="str">
        <f t="shared" si="54"/>
        <v/>
      </c>
      <c r="L905" t="s">
        <v>16</v>
      </c>
      <c r="M905">
        <v>3</v>
      </c>
      <c r="T905">
        <f t="shared" si="55"/>
        <v>20</v>
      </c>
      <c r="U905" t="s">
        <v>3441</v>
      </c>
      <c r="V905" s="4" t="s">
        <v>1542</v>
      </c>
      <c r="W905">
        <v>904</v>
      </c>
      <c r="Y905">
        <f t="shared" si="56"/>
        <v>0</v>
      </c>
      <c r="Z905">
        <f t="shared" si="57"/>
        <v>0</v>
      </c>
    </row>
    <row r="906" spans="1:26" x14ac:dyDescent="0.25">
      <c r="A906" s="4">
        <v>1063</v>
      </c>
      <c r="B906" t="s">
        <v>13</v>
      </c>
      <c r="C906">
        <v>2</v>
      </c>
      <c r="D906">
        <v>1</v>
      </c>
      <c r="E906">
        <v>11</v>
      </c>
      <c r="F906" t="s">
        <v>14</v>
      </c>
      <c r="G906">
        <v>5.65</v>
      </c>
      <c r="I906">
        <v>4</v>
      </c>
      <c r="J906" t="s">
        <v>17</v>
      </c>
      <c r="K906" t="str">
        <f t="shared" si="54"/>
        <v/>
      </c>
      <c r="L906" t="s">
        <v>16</v>
      </c>
      <c r="M906">
        <v>3</v>
      </c>
      <c r="T906">
        <f t="shared" si="55"/>
        <v>20</v>
      </c>
      <c r="U906" t="s">
        <v>3445</v>
      </c>
      <c r="V906" s="4" t="s">
        <v>1552</v>
      </c>
      <c r="W906">
        <v>905</v>
      </c>
      <c r="Y906">
        <f t="shared" si="56"/>
        <v>0</v>
      </c>
      <c r="Z906">
        <f t="shared" si="57"/>
        <v>0</v>
      </c>
    </row>
    <row r="907" spans="1:26" x14ac:dyDescent="0.25">
      <c r="A907" s="4">
        <v>1063</v>
      </c>
      <c r="B907" t="s">
        <v>13</v>
      </c>
      <c r="C907">
        <v>2</v>
      </c>
      <c r="D907">
        <v>1</v>
      </c>
      <c r="E907">
        <v>10</v>
      </c>
      <c r="F907" t="s">
        <v>14</v>
      </c>
      <c r="G907">
        <v>5.65</v>
      </c>
      <c r="I907">
        <v>4</v>
      </c>
      <c r="J907" t="s">
        <v>17</v>
      </c>
      <c r="K907" t="str">
        <f t="shared" si="54"/>
        <v/>
      </c>
      <c r="L907" t="s">
        <v>16</v>
      </c>
      <c r="M907">
        <v>3</v>
      </c>
      <c r="T907">
        <f t="shared" si="55"/>
        <v>20</v>
      </c>
      <c r="U907" t="s">
        <v>3451</v>
      </c>
      <c r="V907" s="4" t="s">
        <v>3452</v>
      </c>
      <c r="W907">
        <v>906</v>
      </c>
      <c r="Y907">
        <f t="shared" si="56"/>
        <v>0</v>
      </c>
      <c r="Z907">
        <f t="shared" si="57"/>
        <v>0</v>
      </c>
    </row>
    <row r="908" spans="1:26" x14ac:dyDescent="0.25">
      <c r="A908" s="4">
        <v>1063</v>
      </c>
      <c r="B908" t="s">
        <v>13</v>
      </c>
      <c r="C908">
        <v>2</v>
      </c>
      <c r="D908">
        <v>1</v>
      </c>
      <c r="E908">
        <v>9</v>
      </c>
      <c r="F908" t="s">
        <v>14</v>
      </c>
      <c r="G908">
        <v>5.65</v>
      </c>
      <c r="I908">
        <v>4</v>
      </c>
      <c r="J908" t="s">
        <v>17</v>
      </c>
      <c r="K908" t="str">
        <f t="shared" si="54"/>
        <v/>
      </c>
      <c r="L908" t="s">
        <v>16</v>
      </c>
      <c r="M908">
        <v>3</v>
      </c>
      <c r="T908">
        <f t="shared" si="55"/>
        <v>20</v>
      </c>
      <c r="U908" t="s">
        <v>3457</v>
      </c>
      <c r="V908" s="4" t="s">
        <v>3452</v>
      </c>
      <c r="W908">
        <v>907</v>
      </c>
      <c r="Y908">
        <f t="shared" si="56"/>
        <v>0</v>
      </c>
      <c r="Z908">
        <f t="shared" si="57"/>
        <v>0</v>
      </c>
    </row>
    <row r="909" spans="1:26" x14ac:dyDescent="0.25">
      <c r="A909" s="4">
        <v>1063</v>
      </c>
      <c r="B909" t="s">
        <v>13</v>
      </c>
      <c r="C909">
        <v>2</v>
      </c>
      <c r="D909">
        <v>1</v>
      </c>
      <c r="E909">
        <v>12</v>
      </c>
      <c r="F909" t="s">
        <v>14</v>
      </c>
      <c r="G909">
        <v>5.65</v>
      </c>
      <c r="I909">
        <v>4</v>
      </c>
      <c r="J909" t="s">
        <v>15</v>
      </c>
      <c r="K909" t="str">
        <f t="shared" si="54"/>
        <v/>
      </c>
      <c r="L909" t="s">
        <v>16</v>
      </c>
      <c r="M909">
        <v>3</v>
      </c>
      <c r="T909">
        <f t="shared" si="55"/>
        <v>20</v>
      </c>
      <c r="U909" t="s">
        <v>3460</v>
      </c>
      <c r="V909" s="4" t="s">
        <v>3452</v>
      </c>
      <c r="W909">
        <v>908</v>
      </c>
      <c r="Y909">
        <f t="shared" si="56"/>
        <v>0</v>
      </c>
      <c r="Z909">
        <f t="shared" si="57"/>
        <v>0</v>
      </c>
    </row>
    <row r="910" spans="1:26" x14ac:dyDescent="0.25">
      <c r="A910" s="4">
        <v>1063</v>
      </c>
      <c r="B910" t="s">
        <v>13</v>
      </c>
      <c r="C910">
        <v>2</v>
      </c>
      <c r="D910">
        <v>1</v>
      </c>
      <c r="E910">
        <v>11</v>
      </c>
      <c r="F910" t="s">
        <v>14</v>
      </c>
      <c r="G910">
        <v>5.65</v>
      </c>
      <c r="I910">
        <v>4</v>
      </c>
      <c r="J910" t="s">
        <v>15</v>
      </c>
      <c r="K910" t="str">
        <f t="shared" si="54"/>
        <v/>
      </c>
      <c r="L910" t="s">
        <v>16</v>
      </c>
      <c r="M910">
        <v>3</v>
      </c>
      <c r="T910">
        <f t="shared" si="55"/>
        <v>20</v>
      </c>
      <c r="U910" t="s">
        <v>3462</v>
      </c>
      <c r="V910" s="4" t="s">
        <v>3452</v>
      </c>
      <c r="W910">
        <v>909</v>
      </c>
      <c r="Y910">
        <f t="shared" si="56"/>
        <v>0</v>
      </c>
      <c r="Z910">
        <f t="shared" si="57"/>
        <v>0</v>
      </c>
    </row>
    <row r="911" spans="1:26" x14ac:dyDescent="0.25">
      <c r="A911" s="4">
        <v>1063</v>
      </c>
      <c r="B911" t="s">
        <v>13</v>
      </c>
      <c r="C911">
        <v>2</v>
      </c>
      <c r="D911">
        <v>1</v>
      </c>
      <c r="E911">
        <v>10</v>
      </c>
      <c r="F911" t="s">
        <v>14</v>
      </c>
      <c r="G911">
        <v>5.65</v>
      </c>
      <c r="I911">
        <v>4</v>
      </c>
      <c r="J911" t="s">
        <v>15</v>
      </c>
      <c r="K911" t="str">
        <f t="shared" si="54"/>
        <v/>
      </c>
      <c r="L911" t="s">
        <v>16</v>
      </c>
      <c r="M911">
        <v>3</v>
      </c>
      <c r="T911">
        <f t="shared" si="55"/>
        <v>20</v>
      </c>
      <c r="U911" t="s">
        <v>3465</v>
      </c>
      <c r="V911" s="4" t="s">
        <v>3466</v>
      </c>
      <c r="W911">
        <v>910</v>
      </c>
      <c r="Y911">
        <f t="shared" si="56"/>
        <v>0</v>
      </c>
      <c r="Z911">
        <f t="shared" si="57"/>
        <v>0</v>
      </c>
    </row>
    <row r="912" spans="1:26" x14ac:dyDescent="0.25">
      <c r="A912" s="4">
        <v>1063</v>
      </c>
      <c r="B912" t="s">
        <v>13</v>
      </c>
      <c r="C912">
        <v>2</v>
      </c>
      <c r="D912">
        <v>1</v>
      </c>
      <c r="E912">
        <v>9</v>
      </c>
      <c r="F912" t="s">
        <v>14</v>
      </c>
      <c r="G912">
        <v>5.65</v>
      </c>
      <c r="I912">
        <v>4</v>
      </c>
      <c r="J912" t="s">
        <v>15</v>
      </c>
      <c r="K912" t="str">
        <f t="shared" si="54"/>
        <v/>
      </c>
      <c r="L912" t="s">
        <v>16</v>
      </c>
      <c r="M912">
        <v>3</v>
      </c>
      <c r="T912">
        <f t="shared" si="55"/>
        <v>20</v>
      </c>
      <c r="U912" t="s">
        <v>3469</v>
      </c>
      <c r="V912" s="4" t="s">
        <v>3466</v>
      </c>
      <c r="W912">
        <v>911</v>
      </c>
      <c r="Y912">
        <f t="shared" si="56"/>
        <v>0</v>
      </c>
      <c r="Z912">
        <f t="shared" si="57"/>
        <v>0</v>
      </c>
    </row>
    <row r="913" spans="1:26" x14ac:dyDescent="0.25">
      <c r="A913" s="4">
        <v>1063</v>
      </c>
      <c r="B913" t="s">
        <v>13</v>
      </c>
      <c r="C913">
        <v>2</v>
      </c>
      <c r="D913">
        <v>1</v>
      </c>
      <c r="E913">
        <v>12</v>
      </c>
      <c r="F913" t="s">
        <v>14</v>
      </c>
      <c r="G913">
        <v>5.65</v>
      </c>
      <c r="I913">
        <v>4</v>
      </c>
      <c r="J913" t="s">
        <v>18</v>
      </c>
      <c r="K913" t="str">
        <f t="shared" si="54"/>
        <v/>
      </c>
      <c r="L913" t="s">
        <v>16</v>
      </c>
      <c r="M913">
        <v>3</v>
      </c>
      <c r="T913">
        <f t="shared" si="55"/>
        <v>20</v>
      </c>
      <c r="U913" t="s">
        <v>3471</v>
      </c>
      <c r="V913" s="4" t="s">
        <v>3466</v>
      </c>
      <c r="W913">
        <v>912</v>
      </c>
      <c r="Y913">
        <f t="shared" si="56"/>
        <v>0</v>
      </c>
      <c r="Z913">
        <f t="shared" si="57"/>
        <v>0</v>
      </c>
    </row>
    <row r="914" spans="1:26" x14ac:dyDescent="0.25">
      <c r="A914" s="4">
        <v>1063</v>
      </c>
      <c r="B914" t="s">
        <v>13</v>
      </c>
      <c r="C914">
        <v>2</v>
      </c>
      <c r="D914">
        <v>1</v>
      </c>
      <c r="E914">
        <v>11</v>
      </c>
      <c r="F914" t="s">
        <v>14</v>
      </c>
      <c r="G914">
        <v>5.65</v>
      </c>
      <c r="I914">
        <v>4</v>
      </c>
      <c r="J914" t="s">
        <v>18</v>
      </c>
      <c r="K914" t="str">
        <f t="shared" si="54"/>
        <v/>
      </c>
      <c r="L914" t="s">
        <v>16</v>
      </c>
      <c r="M914">
        <v>3</v>
      </c>
      <c r="T914">
        <f t="shared" si="55"/>
        <v>20</v>
      </c>
      <c r="U914" t="s">
        <v>3474</v>
      </c>
      <c r="V914" s="4" t="s">
        <v>3466</v>
      </c>
      <c r="W914">
        <v>913</v>
      </c>
      <c r="Y914">
        <f t="shared" si="56"/>
        <v>0</v>
      </c>
      <c r="Z914">
        <f t="shared" si="57"/>
        <v>0</v>
      </c>
    </row>
    <row r="915" spans="1:26" x14ac:dyDescent="0.25">
      <c r="A915" s="4">
        <v>1063</v>
      </c>
      <c r="B915" t="s">
        <v>13</v>
      </c>
      <c r="C915">
        <v>2</v>
      </c>
      <c r="D915">
        <v>1</v>
      </c>
      <c r="E915">
        <v>10</v>
      </c>
      <c r="F915" t="s">
        <v>14</v>
      </c>
      <c r="G915">
        <v>5.65</v>
      </c>
      <c r="I915">
        <v>4</v>
      </c>
      <c r="J915" t="s">
        <v>18</v>
      </c>
      <c r="K915" t="str">
        <f t="shared" si="54"/>
        <v/>
      </c>
      <c r="L915" t="s">
        <v>16</v>
      </c>
      <c r="M915">
        <v>3</v>
      </c>
      <c r="T915">
        <f t="shared" si="55"/>
        <v>20</v>
      </c>
      <c r="U915" t="s">
        <v>3476</v>
      </c>
      <c r="V915" s="4" t="s">
        <v>3477</v>
      </c>
      <c r="W915">
        <v>914</v>
      </c>
      <c r="Y915">
        <f t="shared" si="56"/>
        <v>0</v>
      </c>
      <c r="Z915">
        <f t="shared" si="57"/>
        <v>0</v>
      </c>
    </row>
    <row r="916" spans="1:26" x14ac:dyDescent="0.25">
      <c r="A916" s="4">
        <v>1063</v>
      </c>
      <c r="B916" t="s">
        <v>13</v>
      </c>
      <c r="C916">
        <v>2</v>
      </c>
      <c r="D916">
        <v>1</v>
      </c>
      <c r="E916">
        <v>9</v>
      </c>
      <c r="F916" t="s">
        <v>14</v>
      </c>
      <c r="G916">
        <v>5.65</v>
      </c>
      <c r="I916">
        <v>4</v>
      </c>
      <c r="J916" t="s">
        <v>18</v>
      </c>
      <c r="K916" t="str">
        <f t="shared" si="54"/>
        <v/>
      </c>
      <c r="L916" t="s">
        <v>16</v>
      </c>
      <c r="M916">
        <v>3</v>
      </c>
      <c r="T916">
        <f t="shared" si="55"/>
        <v>20</v>
      </c>
      <c r="U916" t="s">
        <v>3482</v>
      </c>
      <c r="V916" s="4" t="s">
        <v>3477</v>
      </c>
      <c r="W916">
        <v>915</v>
      </c>
      <c r="Y916">
        <f t="shared" si="56"/>
        <v>0</v>
      </c>
      <c r="Z916">
        <f t="shared" si="57"/>
        <v>0</v>
      </c>
    </row>
    <row r="917" spans="1:26" x14ac:dyDescent="0.25">
      <c r="A917" s="4">
        <v>1063</v>
      </c>
      <c r="B917" t="s">
        <v>13</v>
      </c>
      <c r="C917">
        <v>2</v>
      </c>
      <c r="D917">
        <v>1</v>
      </c>
      <c r="E917">
        <v>16</v>
      </c>
      <c r="F917" t="s">
        <v>14</v>
      </c>
      <c r="G917">
        <v>6.2</v>
      </c>
      <c r="I917">
        <v>4</v>
      </c>
      <c r="J917" t="s">
        <v>17</v>
      </c>
      <c r="K917" t="str">
        <f t="shared" si="54"/>
        <v/>
      </c>
      <c r="L917" t="s">
        <v>16</v>
      </c>
      <c r="M917">
        <v>3</v>
      </c>
      <c r="T917">
        <f t="shared" si="55"/>
        <v>20</v>
      </c>
      <c r="U917" t="s">
        <v>3485</v>
      </c>
      <c r="V917" s="4" t="s">
        <v>3477</v>
      </c>
      <c r="W917">
        <v>916</v>
      </c>
      <c r="Y917">
        <f t="shared" si="56"/>
        <v>0</v>
      </c>
      <c r="Z917">
        <f t="shared" si="57"/>
        <v>0</v>
      </c>
    </row>
    <row r="918" spans="1:26" x14ac:dyDescent="0.25">
      <c r="A918" s="4">
        <v>1063</v>
      </c>
      <c r="B918" t="s">
        <v>13</v>
      </c>
      <c r="C918">
        <v>2</v>
      </c>
      <c r="D918">
        <v>1</v>
      </c>
      <c r="E918">
        <v>15</v>
      </c>
      <c r="F918" t="s">
        <v>14</v>
      </c>
      <c r="G918">
        <v>6.2</v>
      </c>
      <c r="I918">
        <v>4</v>
      </c>
      <c r="J918" t="s">
        <v>17</v>
      </c>
      <c r="K918" t="str">
        <f t="shared" si="54"/>
        <v/>
      </c>
      <c r="L918" t="s">
        <v>16</v>
      </c>
      <c r="M918">
        <v>3</v>
      </c>
      <c r="T918">
        <f t="shared" si="55"/>
        <v>20</v>
      </c>
      <c r="U918" t="s">
        <v>3488</v>
      </c>
      <c r="V918" s="4" t="s">
        <v>3489</v>
      </c>
      <c r="W918">
        <v>917</v>
      </c>
      <c r="Y918">
        <f t="shared" si="56"/>
        <v>0</v>
      </c>
      <c r="Z918">
        <f t="shared" si="57"/>
        <v>0</v>
      </c>
    </row>
    <row r="919" spans="1:26" x14ac:dyDescent="0.25">
      <c r="A919" s="4">
        <v>1063</v>
      </c>
      <c r="B919" t="s">
        <v>13</v>
      </c>
      <c r="C919">
        <v>2</v>
      </c>
      <c r="D919">
        <v>1</v>
      </c>
      <c r="E919">
        <v>14</v>
      </c>
      <c r="F919" t="s">
        <v>14</v>
      </c>
      <c r="G919">
        <v>6.2</v>
      </c>
      <c r="I919">
        <v>4</v>
      </c>
      <c r="J919" t="s">
        <v>17</v>
      </c>
      <c r="K919" t="str">
        <f t="shared" si="54"/>
        <v/>
      </c>
      <c r="L919" t="s">
        <v>16</v>
      </c>
      <c r="M919">
        <v>3</v>
      </c>
      <c r="T919">
        <f t="shared" si="55"/>
        <v>20</v>
      </c>
      <c r="U919" t="s">
        <v>3497</v>
      </c>
      <c r="V919" s="4" t="s">
        <v>3489</v>
      </c>
      <c r="W919">
        <v>918</v>
      </c>
      <c r="Y919">
        <f t="shared" si="56"/>
        <v>0</v>
      </c>
      <c r="Z919">
        <f t="shared" si="57"/>
        <v>0</v>
      </c>
    </row>
    <row r="920" spans="1:26" x14ac:dyDescent="0.25">
      <c r="A920" s="4">
        <v>1063</v>
      </c>
      <c r="B920" t="s">
        <v>13</v>
      </c>
      <c r="C920">
        <v>2</v>
      </c>
      <c r="D920">
        <v>1</v>
      </c>
      <c r="E920">
        <v>13</v>
      </c>
      <c r="F920" t="s">
        <v>14</v>
      </c>
      <c r="G920">
        <v>6.2</v>
      </c>
      <c r="I920">
        <v>4</v>
      </c>
      <c r="J920" t="s">
        <v>17</v>
      </c>
      <c r="K920" t="str">
        <f t="shared" si="54"/>
        <v/>
      </c>
      <c r="L920" t="s">
        <v>16</v>
      </c>
      <c r="M920">
        <v>3</v>
      </c>
      <c r="T920">
        <f t="shared" si="55"/>
        <v>20</v>
      </c>
      <c r="U920" t="s">
        <v>3500</v>
      </c>
      <c r="V920" s="4" t="s">
        <v>3489</v>
      </c>
      <c r="W920">
        <v>919</v>
      </c>
      <c r="Y920">
        <f t="shared" si="56"/>
        <v>0</v>
      </c>
      <c r="Z920">
        <f t="shared" si="57"/>
        <v>0</v>
      </c>
    </row>
    <row r="921" spans="1:26" x14ac:dyDescent="0.25">
      <c r="A921" s="4">
        <v>1063</v>
      </c>
      <c r="B921" t="s">
        <v>13</v>
      </c>
      <c r="C921">
        <v>2</v>
      </c>
      <c r="D921">
        <v>1</v>
      </c>
      <c r="E921">
        <v>16</v>
      </c>
      <c r="F921" t="s">
        <v>14</v>
      </c>
      <c r="G921">
        <v>6.2</v>
      </c>
      <c r="I921">
        <v>4</v>
      </c>
      <c r="J921" t="s">
        <v>15</v>
      </c>
      <c r="K921" t="str">
        <f t="shared" si="54"/>
        <v/>
      </c>
      <c r="L921" t="s">
        <v>16</v>
      </c>
      <c r="M921">
        <v>3</v>
      </c>
      <c r="T921">
        <f t="shared" si="55"/>
        <v>20</v>
      </c>
      <c r="U921" t="s">
        <v>3503</v>
      </c>
      <c r="V921" s="4" t="s">
        <v>3489</v>
      </c>
      <c r="W921">
        <v>920</v>
      </c>
      <c r="Y921">
        <f t="shared" si="56"/>
        <v>0</v>
      </c>
      <c r="Z921">
        <f t="shared" si="57"/>
        <v>0</v>
      </c>
    </row>
    <row r="922" spans="1:26" x14ac:dyDescent="0.25">
      <c r="A922" s="4">
        <v>1063</v>
      </c>
      <c r="B922" t="s">
        <v>13</v>
      </c>
      <c r="C922">
        <v>2</v>
      </c>
      <c r="D922">
        <v>1</v>
      </c>
      <c r="E922">
        <v>15</v>
      </c>
      <c r="F922" t="s">
        <v>14</v>
      </c>
      <c r="G922">
        <v>6.2</v>
      </c>
      <c r="I922">
        <v>4</v>
      </c>
      <c r="J922" t="s">
        <v>15</v>
      </c>
      <c r="K922" t="str">
        <f t="shared" si="54"/>
        <v/>
      </c>
      <c r="L922" t="s">
        <v>16</v>
      </c>
      <c r="M922">
        <v>3</v>
      </c>
      <c r="T922">
        <f t="shared" si="55"/>
        <v>20</v>
      </c>
      <c r="U922" t="s">
        <v>3506</v>
      </c>
      <c r="V922" s="4" t="s">
        <v>3507</v>
      </c>
      <c r="W922">
        <v>921</v>
      </c>
      <c r="Y922">
        <f t="shared" si="56"/>
        <v>0</v>
      </c>
      <c r="Z922">
        <f t="shared" si="57"/>
        <v>0</v>
      </c>
    </row>
    <row r="923" spans="1:26" x14ac:dyDescent="0.25">
      <c r="A923" s="4">
        <v>1063</v>
      </c>
      <c r="B923" t="s">
        <v>13</v>
      </c>
      <c r="C923">
        <v>2</v>
      </c>
      <c r="D923">
        <v>1</v>
      </c>
      <c r="E923">
        <v>14</v>
      </c>
      <c r="F923" t="s">
        <v>14</v>
      </c>
      <c r="G923">
        <v>6.2</v>
      </c>
      <c r="I923">
        <v>4</v>
      </c>
      <c r="J923" t="s">
        <v>15</v>
      </c>
      <c r="K923" t="str">
        <f t="shared" si="54"/>
        <v/>
      </c>
      <c r="L923" t="s">
        <v>16</v>
      </c>
      <c r="M923">
        <v>3</v>
      </c>
      <c r="T923">
        <f t="shared" si="55"/>
        <v>20</v>
      </c>
      <c r="U923" t="s">
        <v>3513</v>
      </c>
      <c r="V923" s="4" t="s">
        <v>3514</v>
      </c>
      <c r="W923">
        <v>922</v>
      </c>
      <c r="Y923">
        <f t="shared" si="56"/>
        <v>0</v>
      </c>
      <c r="Z923">
        <f t="shared" si="57"/>
        <v>0</v>
      </c>
    </row>
    <row r="924" spans="1:26" x14ac:dyDescent="0.25">
      <c r="A924" s="4">
        <v>1063</v>
      </c>
      <c r="B924" t="s">
        <v>13</v>
      </c>
      <c r="C924">
        <v>2</v>
      </c>
      <c r="D924">
        <v>1</v>
      </c>
      <c r="E924">
        <v>13</v>
      </c>
      <c r="F924" t="s">
        <v>14</v>
      </c>
      <c r="G924">
        <v>6.2</v>
      </c>
      <c r="I924">
        <v>4</v>
      </c>
      <c r="J924" t="s">
        <v>15</v>
      </c>
      <c r="K924" t="str">
        <f t="shared" si="54"/>
        <v/>
      </c>
      <c r="L924" t="s">
        <v>16</v>
      </c>
      <c r="M924">
        <v>3</v>
      </c>
      <c r="T924">
        <f t="shared" si="55"/>
        <v>20</v>
      </c>
      <c r="U924" t="s">
        <v>3519</v>
      </c>
      <c r="V924" s="4" t="s">
        <v>3514</v>
      </c>
      <c r="W924">
        <v>923</v>
      </c>
      <c r="Y924">
        <f t="shared" si="56"/>
        <v>0</v>
      </c>
      <c r="Z924">
        <f t="shared" si="57"/>
        <v>0</v>
      </c>
    </row>
    <row r="925" spans="1:26" x14ac:dyDescent="0.25">
      <c r="A925" s="4">
        <v>1063</v>
      </c>
      <c r="B925" t="s">
        <v>13</v>
      </c>
      <c r="C925">
        <v>2</v>
      </c>
      <c r="D925">
        <v>1</v>
      </c>
      <c r="E925">
        <v>16</v>
      </c>
      <c r="F925" t="s">
        <v>14</v>
      </c>
      <c r="G925">
        <v>6.2</v>
      </c>
      <c r="I925">
        <v>4</v>
      </c>
      <c r="J925" t="s">
        <v>18</v>
      </c>
      <c r="K925" t="str">
        <f t="shared" si="54"/>
        <v/>
      </c>
      <c r="L925" t="s">
        <v>16</v>
      </c>
      <c r="M925">
        <v>3</v>
      </c>
      <c r="T925">
        <f t="shared" si="55"/>
        <v>20</v>
      </c>
      <c r="U925" t="s">
        <v>3521</v>
      </c>
      <c r="V925" s="4" t="s">
        <v>3514</v>
      </c>
      <c r="W925">
        <v>924</v>
      </c>
      <c r="Y925">
        <f t="shared" si="56"/>
        <v>0</v>
      </c>
      <c r="Z925">
        <f t="shared" si="57"/>
        <v>0</v>
      </c>
    </row>
    <row r="926" spans="1:26" x14ac:dyDescent="0.25">
      <c r="A926" s="4">
        <v>1063</v>
      </c>
      <c r="B926" t="s">
        <v>13</v>
      </c>
      <c r="C926">
        <v>2</v>
      </c>
      <c r="D926">
        <v>1</v>
      </c>
      <c r="E926">
        <v>15</v>
      </c>
      <c r="F926" t="s">
        <v>14</v>
      </c>
      <c r="G926">
        <v>6.2</v>
      </c>
      <c r="I926">
        <v>4</v>
      </c>
      <c r="J926" t="s">
        <v>18</v>
      </c>
      <c r="K926" t="str">
        <f t="shared" si="54"/>
        <v/>
      </c>
      <c r="L926" t="s">
        <v>16</v>
      </c>
      <c r="M926">
        <v>3</v>
      </c>
      <c r="T926">
        <f t="shared" si="55"/>
        <v>20</v>
      </c>
      <c r="U926" t="s">
        <v>3524</v>
      </c>
      <c r="V926" s="4" t="s">
        <v>3514</v>
      </c>
      <c r="W926">
        <v>925</v>
      </c>
      <c r="Y926">
        <f t="shared" si="56"/>
        <v>0</v>
      </c>
      <c r="Z926">
        <f t="shared" si="57"/>
        <v>0</v>
      </c>
    </row>
    <row r="927" spans="1:26" x14ac:dyDescent="0.25">
      <c r="A927" s="4">
        <v>1063</v>
      </c>
      <c r="B927" t="s">
        <v>13</v>
      </c>
      <c r="C927">
        <v>2</v>
      </c>
      <c r="D927">
        <v>1</v>
      </c>
      <c r="E927">
        <v>14</v>
      </c>
      <c r="F927" t="s">
        <v>14</v>
      </c>
      <c r="G927">
        <v>6.2</v>
      </c>
      <c r="I927">
        <v>4</v>
      </c>
      <c r="J927" t="s">
        <v>18</v>
      </c>
      <c r="K927" t="str">
        <f t="shared" si="54"/>
        <v/>
      </c>
      <c r="L927" t="s">
        <v>16</v>
      </c>
      <c r="M927">
        <v>3</v>
      </c>
      <c r="T927">
        <f t="shared" si="55"/>
        <v>20</v>
      </c>
      <c r="U927" t="s">
        <v>3527</v>
      </c>
      <c r="V927" s="4" t="s">
        <v>3514</v>
      </c>
      <c r="W927">
        <v>926</v>
      </c>
      <c r="Y927">
        <f t="shared" si="56"/>
        <v>0</v>
      </c>
      <c r="Z927">
        <f t="shared" si="57"/>
        <v>0</v>
      </c>
    </row>
    <row r="928" spans="1:26" x14ac:dyDescent="0.25">
      <c r="A928" s="4">
        <v>1063</v>
      </c>
      <c r="B928" t="s">
        <v>13</v>
      </c>
      <c r="C928">
        <v>2</v>
      </c>
      <c r="D928">
        <v>1</v>
      </c>
      <c r="E928">
        <v>13</v>
      </c>
      <c r="F928" t="s">
        <v>14</v>
      </c>
      <c r="G928">
        <v>6.2</v>
      </c>
      <c r="I928">
        <v>4</v>
      </c>
      <c r="J928" t="s">
        <v>18</v>
      </c>
      <c r="K928" t="str">
        <f t="shared" si="54"/>
        <v/>
      </c>
      <c r="L928" t="s">
        <v>16</v>
      </c>
      <c r="M928">
        <v>3</v>
      </c>
      <c r="T928">
        <f t="shared" si="55"/>
        <v>20</v>
      </c>
      <c r="U928" t="s">
        <v>3530</v>
      </c>
      <c r="V928" s="4" t="s">
        <v>3514</v>
      </c>
      <c r="W928">
        <v>927</v>
      </c>
      <c r="Y928">
        <f t="shared" si="56"/>
        <v>0</v>
      </c>
      <c r="Z928">
        <f t="shared" si="57"/>
        <v>0</v>
      </c>
    </row>
    <row r="929" spans="1:26" x14ac:dyDescent="0.25">
      <c r="A929" s="4">
        <v>5050</v>
      </c>
      <c r="B929" t="s">
        <v>40</v>
      </c>
      <c r="C929">
        <v>6</v>
      </c>
      <c r="D929">
        <v>1</v>
      </c>
      <c r="E929">
        <v>8</v>
      </c>
      <c r="F929" t="s">
        <v>14</v>
      </c>
      <c r="G929">
        <v>5.5</v>
      </c>
      <c r="I929">
        <v>4</v>
      </c>
      <c r="J929" t="s">
        <v>15</v>
      </c>
      <c r="K929" t="str">
        <f t="shared" si="54"/>
        <v/>
      </c>
      <c r="L929" t="s">
        <v>16</v>
      </c>
      <c r="M929">
        <v>1</v>
      </c>
      <c r="T929">
        <f t="shared" si="55"/>
        <v>20</v>
      </c>
      <c r="U929" t="s">
        <v>3532</v>
      </c>
      <c r="V929" s="4" t="s">
        <v>3514</v>
      </c>
      <c r="W929">
        <v>928</v>
      </c>
      <c r="Y929">
        <f t="shared" si="56"/>
        <v>0</v>
      </c>
      <c r="Z929">
        <f t="shared" si="57"/>
        <v>0</v>
      </c>
    </row>
    <row r="930" spans="1:26" x14ac:dyDescent="0.25">
      <c r="A930" s="4">
        <v>5050</v>
      </c>
      <c r="B930" t="s">
        <v>40</v>
      </c>
      <c r="C930">
        <v>6</v>
      </c>
      <c r="D930">
        <v>1</v>
      </c>
      <c r="E930">
        <v>7</v>
      </c>
      <c r="F930" t="s">
        <v>14</v>
      </c>
      <c r="G930">
        <v>5.5</v>
      </c>
      <c r="I930">
        <v>4</v>
      </c>
      <c r="J930" t="s">
        <v>15</v>
      </c>
      <c r="K930" t="str">
        <f t="shared" si="54"/>
        <v/>
      </c>
      <c r="L930" t="s">
        <v>16</v>
      </c>
      <c r="M930">
        <v>1</v>
      </c>
      <c r="T930">
        <f t="shared" si="55"/>
        <v>20</v>
      </c>
      <c r="U930" t="s">
        <v>3537</v>
      </c>
      <c r="V930" s="4" t="s">
        <v>3514</v>
      </c>
      <c r="W930">
        <v>929</v>
      </c>
      <c r="Y930">
        <f t="shared" si="56"/>
        <v>0</v>
      </c>
      <c r="Z930">
        <f t="shared" si="57"/>
        <v>0</v>
      </c>
    </row>
    <row r="931" spans="1:26" x14ac:dyDescent="0.25">
      <c r="A931" s="4">
        <v>5050</v>
      </c>
      <c r="B931" t="s">
        <v>40</v>
      </c>
      <c r="C931">
        <v>6</v>
      </c>
      <c r="D931">
        <v>1</v>
      </c>
      <c r="E931">
        <v>6</v>
      </c>
      <c r="F931" t="s">
        <v>14</v>
      </c>
      <c r="G931">
        <v>5.5</v>
      </c>
      <c r="I931">
        <v>4</v>
      </c>
      <c r="J931" t="s">
        <v>15</v>
      </c>
      <c r="K931" t="str">
        <f t="shared" si="54"/>
        <v/>
      </c>
      <c r="L931" t="s">
        <v>16</v>
      </c>
      <c r="M931">
        <v>1</v>
      </c>
      <c r="T931">
        <f t="shared" si="55"/>
        <v>20</v>
      </c>
      <c r="U931" t="s">
        <v>3539</v>
      </c>
      <c r="V931" s="4" t="s">
        <v>3514</v>
      </c>
      <c r="W931">
        <v>930</v>
      </c>
      <c r="Y931">
        <f t="shared" si="56"/>
        <v>0</v>
      </c>
      <c r="Z931">
        <f t="shared" si="57"/>
        <v>0</v>
      </c>
    </row>
    <row r="932" spans="1:26" x14ac:dyDescent="0.25">
      <c r="A932" s="4">
        <v>5050</v>
      </c>
      <c r="B932" t="s">
        <v>40</v>
      </c>
      <c r="C932">
        <v>6</v>
      </c>
      <c r="D932">
        <v>1</v>
      </c>
      <c r="E932">
        <v>5</v>
      </c>
      <c r="F932" t="s">
        <v>14</v>
      </c>
      <c r="G932">
        <v>5.5</v>
      </c>
      <c r="I932">
        <v>4</v>
      </c>
      <c r="J932" t="s">
        <v>15</v>
      </c>
      <c r="K932" t="str">
        <f t="shared" si="54"/>
        <v/>
      </c>
      <c r="L932" t="s">
        <v>16</v>
      </c>
      <c r="M932">
        <v>1</v>
      </c>
      <c r="T932">
        <f t="shared" si="55"/>
        <v>20</v>
      </c>
      <c r="U932" t="s">
        <v>3541</v>
      </c>
      <c r="V932" s="4" t="s">
        <v>3542</v>
      </c>
      <c r="W932">
        <v>931</v>
      </c>
      <c r="Y932">
        <f t="shared" si="56"/>
        <v>0</v>
      </c>
      <c r="Z932">
        <f t="shared" si="57"/>
        <v>0</v>
      </c>
    </row>
    <row r="933" spans="1:26" x14ac:dyDescent="0.25">
      <c r="A933" s="4">
        <v>5050</v>
      </c>
      <c r="B933" t="s">
        <v>40</v>
      </c>
      <c r="C933">
        <v>6</v>
      </c>
      <c r="D933">
        <v>1</v>
      </c>
      <c r="E933">
        <v>8</v>
      </c>
      <c r="F933" t="s">
        <v>14</v>
      </c>
      <c r="G933">
        <v>5.5</v>
      </c>
      <c r="I933">
        <v>4</v>
      </c>
      <c r="J933" t="s">
        <v>18</v>
      </c>
      <c r="K933" t="str">
        <f t="shared" si="54"/>
        <v/>
      </c>
      <c r="L933" t="s">
        <v>16</v>
      </c>
      <c r="M933">
        <v>4</v>
      </c>
      <c r="T933">
        <f t="shared" si="55"/>
        <v>20</v>
      </c>
      <c r="U933" t="s">
        <v>3550</v>
      </c>
      <c r="V933" s="4" t="s">
        <v>3542</v>
      </c>
      <c r="W933">
        <v>932</v>
      </c>
      <c r="Y933">
        <f t="shared" si="56"/>
        <v>0</v>
      </c>
      <c r="Z933">
        <f t="shared" si="57"/>
        <v>0</v>
      </c>
    </row>
    <row r="934" spans="1:26" x14ac:dyDescent="0.25">
      <c r="A934" s="4">
        <v>5050</v>
      </c>
      <c r="B934" t="s">
        <v>40</v>
      </c>
      <c r="C934">
        <v>6</v>
      </c>
      <c r="D934">
        <v>1</v>
      </c>
      <c r="E934">
        <v>7</v>
      </c>
      <c r="F934" t="s">
        <v>14</v>
      </c>
      <c r="G934">
        <v>5.5</v>
      </c>
      <c r="I934">
        <v>4</v>
      </c>
      <c r="J934" t="s">
        <v>18</v>
      </c>
      <c r="K934" t="str">
        <f t="shared" si="54"/>
        <v/>
      </c>
      <c r="L934" t="s">
        <v>16</v>
      </c>
      <c r="M934">
        <v>4</v>
      </c>
      <c r="T934">
        <f t="shared" si="55"/>
        <v>20</v>
      </c>
      <c r="U934" t="s">
        <v>3553</v>
      </c>
      <c r="V934" s="4" t="s">
        <v>3542</v>
      </c>
      <c r="W934">
        <v>933</v>
      </c>
      <c r="Y934">
        <f t="shared" si="56"/>
        <v>0</v>
      </c>
      <c r="Z934">
        <f t="shared" si="57"/>
        <v>0</v>
      </c>
    </row>
    <row r="935" spans="1:26" x14ac:dyDescent="0.25">
      <c r="A935" s="4">
        <v>5050</v>
      </c>
      <c r="B935" t="s">
        <v>40</v>
      </c>
      <c r="C935">
        <v>6</v>
      </c>
      <c r="D935">
        <v>1</v>
      </c>
      <c r="E935">
        <v>6</v>
      </c>
      <c r="F935" t="s">
        <v>14</v>
      </c>
      <c r="G935">
        <v>5.5</v>
      </c>
      <c r="I935">
        <v>4</v>
      </c>
      <c r="J935" t="s">
        <v>18</v>
      </c>
      <c r="K935" t="str">
        <f t="shared" si="54"/>
        <v/>
      </c>
      <c r="L935" t="s">
        <v>16</v>
      </c>
      <c r="M935">
        <v>4</v>
      </c>
      <c r="T935">
        <f t="shared" si="55"/>
        <v>20</v>
      </c>
      <c r="U935" t="s">
        <v>3556</v>
      </c>
      <c r="V935" s="4" t="s">
        <v>3542</v>
      </c>
      <c r="W935">
        <v>934</v>
      </c>
      <c r="Y935">
        <f t="shared" si="56"/>
        <v>0</v>
      </c>
      <c r="Z935">
        <f t="shared" si="57"/>
        <v>0</v>
      </c>
    </row>
    <row r="936" spans="1:26" x14ac:dyDescent="0.25">
      <c r="A936" s="4">
        <v>5050</v>
      </c>
      <c r="B936" t="s">
        <v>40</v>
      </c>
      <c r="C936">
        <v>6</v>
      </c>
      <c r="D936">
        <v>1</v>
      </c>
      <c r="E936">
        <v>5</v>
      </c>
      <c r="F936" t="s">
        <v>14</v>
      </c>
      <c r="G936">
        <v>5.5</v>
      </c>
      <c r="I936">
        <v>4</v>
      </c>
      <c r="J936" t="s">
        <v>18</v>
      </c>
      <c r="K936" t="str">
        <f t="shared" si="54"/>
        <v/>
      </c>
      <c r="L936" t="s">
        <v>16</v>
      </c>
      <c r="M936">
        <v>4</v>
      </c>
      <c r="T936">
        <f t="shared" si="55"/>
        <v>20</v>
      </c>
      <c r="U936" t="s">
        <v>3558</v>
      </c>
      <c r="V936" s="4" t="s">
        <v>3542</v>
      </c>
      <c r="W936">
        <v>935</v>
      </c>
      <c r="Y936">
        <f t="shared" si="56"/>
        <v>0</v>
      </c>
      <c r="Z936">
        <f t="shared" si="57"/>
        <v>0</v>
      </c>
    </row>
    <row r="937" spans="1:26" x14ac:dyDescent="0.25">
      <c r="A937" s="4">
        <v>5050</v>
      </c>
      <c r="B937" t="s">
        <v>40</v>
      </c>
      <c r="C937">
        <v>6</v>
      </c>
      <c r="D937">
        <v>1</v>
      </c>
      <c r="E937">
        <v>12</v>
      </c>
      <c r="F937" t="s">
        <v>14</v>
      </c>
      <c r="G937">
        <v>6</v>
      </c>
      <c r="I937">
        <v>4</v>
      </c>
      <c r="J937" t="s">
        <v>15</v>
      </c>
      <c r="K937" t="str">
        <f t="shared" si="54"/>
        <v/>
      </c>
      <c r="L937" t="s">
        <v>16</v>
      </c>
      <c r="M937">
        <v>1</v>
      </c>
      <c r="T937">
        <f t="shared" si="55"/>
        <v>20</v>
      </c>
      <c r="U937" t="s">
        <v>3561</v>
      </c>
      <c r="V937" s="4" t="s">
        <v>3542</v>
      </c>
      <c r="W937">
        <v>936</v>
      </c>
      <c r="Y937">
        <f t="shared" si="56"/>
        <v>0</v>
      </c>
      <c r="Z937">
        <f t="shared" si="57"/>
        <v>0</v>
      </c>
    </row>
    <row r="938" spans="1:26" x14ac:dyDescent="0.25">
      <c r="A938" s="4">
        <v>5050</v>
      </c>
      <c r="B938" t="s">
        <v>40</v>
      </c>
      <c r="C938">
        <v>6</v>
      </c>
      <c r="D938">
        <v>1</v>
      </c>
      <c r="E938">
        <v>11</v>
      </c>
      <c r="F938" t="s">
        <v>14</v>
      </c>
      <c r="G938">
        <v>6</v>
      </c>
      <c r="I938">
        <v>4</v>
      </c>
      <c r="J938" t="s">
        <v>15</v>
      </c>
      <c r="K938" t="str">
        <f t="shared" si="54"/>
        <v/>
      </c>
      <c r="L938" t="s">
        <v>16</v>
      </c>
      <c r="M938">
        <v>1</v>
      </c>
      <c r="T938">
        <f t="shared" si="55"/>
        <v>20</v>
      </c>
      <c r="U938" t="s">
        <v>3563</v>
      </c>
      <c r="V938" s="4" t="s">
        <v>3564</v>
      </c>
      <c r="W938">
        <v>937</v>
      </c>
      <c r="Y938">
        <f t="shared" si="56"/>
        <v>0</v>
      </c>
      <c r="Z938">
        <f t="shared" si="57"/>
        <v>0</v>
      </c>
    </row>
    <row r="939" spans="1:26" x14ac:dyDescent="0.25">
      <c r="A939" s="4">
        <v>5050</v>
      </c>
      <c r="B939" t="s">
        <v>40</v>
      </c>
      <c r="C939">
        <v>6</v>
      </c>
      <c r="D939">
        <v>1</v>
      </c>
      <c r="E939">
        <v>10</v>
      </c>
      <c r="F939" t="s">
        <v>14</v>
      </c>
      <c r="G939">
        <v>6</v>
      </c>
      <c r="I939">
        <v>4</v>
      </c>
      <c r="J939" t="s">
        <v>15</v>
      </c>
      <c r="K939" t="str">
        <f t="shared" si="54"/>
        <v/>
      </c>
      <c r="L939" t="s">
        <v>16</v>
      </c>
      <c r="M939">
        <v>1</v>
      </c>
      <c r="T939">
        <f t="shared" si="55"/>
        <v>20</v>
      </c>
      <c r="U939" t="s">
        <v>3570</v>
      </c>
      <c r="V939" s="4" t="s">
        <v>3564</v>
      </c>
      <c r="W939">
        <v>938</v>
      </c>
      <c r="Y939">
        <f t="shared" si="56"/>
        <v>0</v>
      </c>
      <c r="Z939">
        <f t="shared" si="57"/>
        <v>0</v>
      </c>
    </row>
    <row r="940" spans="1:26" x14ac:dyDescent="0.25">
      <c r="A940" s="4">
        <v>5050</v>
      </c>
      <c r="B940" t="s">
        <v>40</v>
      </c>
      <c r="C940">
        <v>6</v>
      </c>
      <c r="D940">
        <v>1</v>
      </c>
      <c r="E940">
        <v>9</v>
      </c>
      <c r="F940" t="s">
        <v>14</v>
      </c>
      <c r="G940">
        <v>6</v>
      </c>
      <c r="I940">
        <v>4</v>
      </c>
      <c r="J940" t="s">
        <v>15</v>
      </c>
      <c r="K940" t="str">
        <f t="shared" si="54"/>
        <v/>
      </c>
      <c r="L940" t="s">
        <v>16</v>
      </c>
      <c r="M940">
        <v>1</v>
      </c>
      <c r="T940">
        <f t="shared" si="55"/>
        <v>20</v>
      </c>
      <c r="U940" t="s">
        <v>3572</v>
      </c>
      <c r="V940" s="4" t="s">
        <v>3564</v>
      </c>
      <c r="W940">
        <v>939</v>
      </c>
      <c r="Y940">
        <f t="shared" si="56"/>
        <v>0</v>
      </c>
      <c r="Z940">
        <f t="shared" si="57"/>
        <v>0</v>
      </c>
    </row>
    <row r="941" spans="1:26" x14ac:dyDescent="0.25">
      <c r="A941" s="4">
        <v>5050</v>
      </c>
      <c r="B941" t="s">
        <v>40</v>
      </c>
      <c r="C941">
        <v>6</v>
      </c>
      <c r="D941">
        <v>1</v>
      </c>
      <c r="E941">
        <v>12</v>
      </c>
      <c r="F941" t="s">
        <v>14</v>
      </c>
      <c r="G941">
        <v>6</v>
      </c>
      <c r="I941">
        <v>4</v>
      </c>
      <c r="J941" t="s">
        <v>18</v>
      </c>
      <c r="K941" t="str">
        <f t="shared" si="54"/>
        <v/>
      </c>
      <c r="L941" t="s">
        <v>16</v>
      </c>
      <c r="M941">
        <v>2</v>
      </c>
      <c r="T941">
        <f t="shared" si="55"/>
        <v>20</v>
      </c>
      <c r="U941" t="s">
        <v>3575</v>
      </c>
      <c r="V941" s="4" t="s">
        <v>3564</v>
      </c>
      <c r="W941">
        <v>940</v>
      </c>
      <c r="Y941">
        <f t="shared" si="56"/>
        <v>0</v>
      </c>
      <c r="Z941">
        <f t="shared" si="57"/>
        <v>0</v>
      </c>
    </row>
    <row r="942" spans="1:26" x14ac:dyDescent="0.25">
      <c r="A942" s="4">
        <v>5050</v>
      </c>
      <c r="B942" t="s">
        <v>40</v>
      </c>
      <c r="C942">
        <v>6</v>
      </c>
      <c r="D942">
        <v>1</v>
      </c>
      <c r="E942">
        <v>11</v>
      </c>
      <c r="F942" t="s">
        <v>14</v>
      </c>
      <c r="G942">
        <v>6</v>
      </c>
      <c r="I942">
        <v>4</v>
      </c>
      <c r="J942" t="s">
        <v>18</v>
      </c>
      <c r="K942" t="str">
        <f t="shared" si="54"/>
        <v/>
      </c>
      <c r="L942" t="s">
        <v>16</v>
      </c>
      <c r="M942">
        <v>2</v>
      </c>
      <c r="T942">
        <f t="shared" si="55"/>
        <v>20</v>
      </c>
      <c r="U942" t="s">
        <v>3577</v>
      </c>
      <c r="V942" s="4" t="s">
        <v>3564</v>
      </c>
      <c r="W942">
        <v>941</v>
      </c>
      <c r="Y942">
        <f t="shared" si="56"/>
        <v>0</v>
      </c>
      <c r="Z942">
        <f t="shared" si="57"/>
        <v>0</v>
      </c>
    </row>
    <row r="943" spans="1:26" x14ac:dyDescent="0.25">
      <c r="A943" s="4">
        <v>5050</v>
      </c>
      <c r="B943" t="s">
        <v>40</v>
      </c>
      <c r="C943">
        <v>6</v>
      </c>
      <c r="D943">
        <v>1</v>
      </c>
      <c r="E943">
        <v>10</v>
      </c>
      <c r="F943" t="s">
        <v>14</v>
      </c>
      <c r="G943">
        <v>6</v>
      </c>
      <c r="I943">
        <v>4</v>
      </c>
      <c r="J943" t="s">
        <v>18</v>
      </c>
      <c r="K943" t="str">
        <f t="shared" si="54"/>
        <v/>
      </c>
      <c r="L943" t="s">
        <v>16</v>
      </c>
      <c r="M943">
        <v>2</v>
      </c>
      <c r="T943">
        <f t="shared" si="55"/>
        <v>20</v>
      </c>
      <c r="U943" t="s">
        <v>3581</v>
      </c>
      <c r="V943" s="4" t="s">
        <v>3564</v>
      </c>
      <c r="W943">
        <v>942</v>
      </c>
      <c r="Y943">
        <f t="shared" si="56"/>
        <v>0</v>
      </c>
      <c r="Z943">
        <f t="shared" si="57"/>
        <v>0</v>
      </c>
    </row>
    <row r="944" spans="1:26" x14ac:dyDescent="0.25">
      <c r="A944" s="4">
        <v>5050</v>
      </c>
      <c r="B944" t="s">
        <v>40</v>
      </c>
      <c r="C944">
        <v>6</v>
      </c>
      <c r="D944">
        <v>1</v>
      </c>
      <c r="E944">
        <v>9</v>
      </c>
      <c r="F944" t="s">
        <v>14</v>
      </c>
      <c r="G944">
        <v>6</v>
      </c>
      <c r="I944">
        <v>4</v>
      </c>
      <c r="J944" t="s">
        <v>18</v>
      </c>
      <c r="K944" t="str">
        <f t="shared" si="54"/>
        <v/>
      </c>
      <c r="L944" t="s">
        <v>16</v>
      </c>
      <c r="M944">
        <v>2</v>
      </c>
      <c r="T944">
        <f t="shared" si="55"/>
        <v>20</v>
      </c>
      <c r="U944" t="s">
        <v>3584</v>
      </c>
      <c r="V944" s="4" t="s">
        <v>3585</v>
      </c>
      <c r="W944">
        <v>943</v>
      </c>
      <c r="Y944">
        <f t="shared" si="56"/>
        <v>0</v>
      </c>
      <c r="Z944">
        <f t="shared" si="57"/>
        <v>0</v>
      </c>
    </row>
    <row r="945" spans="1:26" x14ac:dyDescent="0.25">
      <c r="A945" s="4">
        <v>1076</v>
      </c>
      <c r="B945" t="s">
        <v>41</v>
      </c>
      <c r="C945">
        <v>2</v>
      </c>
      <c r="D945">
        <v>1</v>
      </c>
      <c r="E945">
        <v>5</v>
      </c>
      <c r="F945" t="s">
        <v>14</v>
      </c>
      <c r="G945">
        <v>5.12</v>
      </c>
      <c r="I945">
        <v>4</v>
      </c>
      <c r="J945" t="s">
        <v>17</v>
      </c>
      <c r="K945" t="str">
        <f t="shared" si="54"/>
        <v/>
      </c>
      <c r="L945" t="s">
        <v>16</v>
      </c>
      <c r="M945">
        <v>1</v>
      </c>
      <c r="T945">
        <f t="shared" si="55"/>
        <v>20</v>
      </c>
      <c r="U945" t="s">
        <v>3590</v>
      </c>
      <c r="V945" s="4" t="s">
        <v>3585</v>
      </c>
      <c r="W945">
        <v>944</v>
      </c>
      <c r="Y945">
        <f t="shared" si="56"/>
        <v>0</v>
      </c>
      <c r="Z945">
        <f t="shared" si="57"/>
        <v>0</v>
      </c>
    </row>
    <row r="946" spans="1:26" x14ac:dyDescent="0.25">
      <c r="A946" s="4">
        <v>1076</v>
      </c>
      <c r="B946" t="s">
        <v>41</v>
      </c>
      <c r="C946">
        <v>2</v>
      </c>
      <c r="D946">
        <v>1</v>
      </c>
      <c r="E946">
        <v>4</v>
      </c>
      <c r="F946" t="s">
        <v>14</v>
      </c>
      <c r="G946">
        <v>5.12</v>
      </c>
      <c r="I946">
        <v>4</v>
      </c>
      <c r="J946" t="s">
        <v>17</v>
      </c>
      <c r="K946" t="str">
        <f t="shared" si="54"/>
        <v/>
      </c>
      <c r="L946" t="s">
        <v>16</v>
      </c>
      <c r="M946">
        <v>1</v>
      </c>
      <c r="T946">
        <f t="shared" si="55"/>
        <v>20</v>
      </c>
      <c r="U946" t="s">
        <v>3593</v>
      </c>
      <c r="V946" s="4" t="s">
        <v>3585</v>
      </c>
      <c r="W946">
        <v>945</v>
      </c>
      <c r="Y946">
        <f t="shared" si="56"/>
        <v>0</v>
      </c>
      <c r="Z946">
        <f t="shared" si="57"/>
        <v>0</v>
      </c>
    </row>
    <row r="947" spans="1:26" x14ac:dyDescent="0.25">
      <c r="A947" s="4">
        <v>1076</v>
      </c>
      <c r="B947" t="s">
        <v>41</v>
      </c>
      <c r="C947">
        <v>2</v>
      </c>
      <c r="D947">
        <v>1</v>
      </c>
      <c r="E947">
        <v>3</v>
      </c>
      <c r="F947" t="s">
        <v>14</v>
      </c>
      <c r="G947">
        <v>5.12</v>
      </c>
      <c r="I947">
        <v>4</v>
      </c>
      <c r="J947" t="s">
        <v>17</v>
      </c>
      <c r="K947" t="str">
        <f t="shared" si="54"/>
        <v/>
      </c>
      <c r="L947" t="s">
        <v>16</v>
      </c>
      <c r="M947">
        <v>1</v>
      </c>
      <c r="T947">
        <f t="shared" si="55"/>
        <v>20</v>
      </c>
      <c r="U947" t="s">
        <v>3599</v>
      </c>
      <c r="V947" s="4" t="s">
        <v>3585</v>
      </c>
      <c r="W947">
        <v>946</v>
      </c>
      <c r="Y947">
        <f t="shared" si="56"/>
        <v>0</v>
      </c>
      <c r="Z947">
        <f t="shared" si="57"/>
        <v>0</v>
      </c>
    </row>
    <row r="948" spans="1:26" x14ac:dyDescent="0.25">
      <c r="A948" s="4">
        <v>1076</v>
      </c>
      <c r="B948" t="s">
        <v>41</v>
      </c>
      <c r="C948">
        <v>2</v>
      </c>
      <c r="D948">
        <v>1</v>
      </c>
      <c r="E948">
        <v>2</v>
      </c>
      <c r="F948" t="s">
        <v>14</v>
      </c>
      <c r="G948">
        <v>5.12</v>
      </c>
      <c r="I948">
        <v>4</v>
      </c>
      <c r="J948" t="s">
        <v>17</v>
      </c>
      <c r="K948" t="str">
        <f t="shared" si="54"/>
        <v/>
      </c>
      <c r="L948" t="s">
        <v>16</v>
      </c>
      <c r="M948">
        <v>1</v>
      </c>
      <c r="T948">
        <f t="shared" si="55"/>
        <v>20</v>
      </c>
      <c r="U948" t="s">
        <v>3601</v>
      </c>
      <c r="V948" s="4" t="s">
        <v>3602</v>
      </c>
      <c r="W948">
        <v>947</v>
      </c>
      <c r="Y948">
        <f t="shared" si="56"/>
        <v>0</v>
      </c>
      <c r="Z948">
        <f t="shared" si="57"/>
        <v>0</v>
      </c>
    </row>
    <row r="949" spans="1:26" x14ac:dyDescent="0.25">
      <c r="A949" s="4">
        <v>1076</v>
      </c>
      <c r="B949" t="s">
        <v>41</v>
      </c>
      <c r="C949">
        <v>2</v>
      </c>
      <c r="D949">
        <v>1</v>
      </c>
      <c r="E949">
        <v>5</v>
      </c>
      <c r="F949" t="s">
        <v>14</v>
      </c>
      <c r="G949">
        <v>5.12</v>
      </c>
      <c r="I949">
        <v>4</v>
      </c>
      <c r="J949" t="s">
        <v>15</v>
      </c>
      <c r="K949" t="str">
        <f t="shared" si="54"/>
        <v/>
      </c>
      <c r="L949" t="s">
        <v>16</v>
      </c>
      <c r="M949">
        <v>1</v>
      </c>
      <c r="T949">
        <f t="shared" si="55"/>
        <v>20</v>
      </c>
      <c r="U949" t="s">
        <v>3606</v>
      </c>
      <c r="V949" s="4" t="s">
        <v>3602</v>
      </c>
      <c r="W949">
        <v>948</v>
      </c>
      <c r="Y949">
        <f t="shared" si="56"/>
        <v>0</v>
      </c>
      <c r="Z949">
        <f t="shared" si="57"/>
        <v>0</v>
      </c>
    </row>
    <row r="950" spans="1:26" x14ac:dyDescent="0.25">
      <c r="A950" s="4">
        <v>1076</v>
      </c>
      <c r="B950" t="s">
        <v>41</v>
      </c>
      <c r="C950">
        <v>2</v>
      </c>
      <c r="D950">
        <v>1</v>
      </c>
      <c r="E950">
        <v>4</v>
      </c>
      <c r="F950" t="s">
        <v>14</v>
      </c>
      <c r="G950">
        <v>5.12</v>
      </c>
      <c r="I950">
        <v>4</v>
      </c>
      <c r="J950" t="s">
        <v>15</v>
      </c>
      <c r="K950" t="str">
        <f t="shared" si="54"/>
        <v/>
      </c>
      <c r="L950" t="s">
        <v>16</v>
      </c>
      <c r="M950">
        <v>1</v>
      </c>
      <c r="T950">
        <f t="shared" si="55"/>
        <v>20</v>
      </c>
      <c r="U950" t="s">
        <v>3608</v>
      </c>
      <c r="V950" s="4" t="s">
        <v>3602</v>
      </c>
      <c r="W950">
        <v>949</v>
      </c>
      <c r="Y950">
        <f t="shared" si="56"/>
        <v>0</v>
      </c>
      <c r="Z950">
        <f t="shared" si="57"/>
        <v>0</v>
      </c>
    </row>
    <row r="951" spans="1:26" x14ac:dyDescent="0.25">
      <c r="A951" s="4">
        <v>1076</v>
      </c>
      <c r="B951" t="s">
        <v>41</v>
      </c>
      <c r="C951">
        <v>2</v>
      </c>
      <c r="D951">
        <v>1</v>
      </c>
      <c r="E951">
        <v>3</v>
      </c>
      <c r="F951" t="s">
        <v>14</v>
      </c>
      <c r="G951">
        <v>5.12</v>
      </c>
      <c r="I951">
        <v>4</v>
      </c>
      <c r="J951" t="s">
        <v>15</v>
      </c>
      <c r="K951" t="str">
        <f t="shared" si="54"/>
        <v/>
      </c>
      <c r="L951" t="s">
        <v>16</v>
      </c>
      <c r="M951">
        <v>1</v>
      </c>
      <c r="T951">
        <f t="shared" si="55"/>
        <v>20</v>
      </c>
      <c r="U951" t="s">
        <v>3611</v>
      </c>
      <c r="V951" s="4" t="s">
        <v>1369</v>
      </c>
      <c r="W951">
        <v>950</v>
      </c>
      <c r="Y951">
        <f t="shared" si="56"/>
        <v>0</v>
      </c>
      <c r="Z951">
        <f t="shared" si="57"/>
        <v>0</v>
      </c>
    </row>
    <row r="952" spans="1:26" x14ac:dyDescent="0.25">
      <c r="A952" s="4">
        <v>1076</v>
      </c>
      <c r="B952" t="s">
        <v>41</v>
      </c>
      <c r="C952">
        <v>2</v>
      </c>
      <c r="D952">
        <v>1</v>
      </c>
      <c r="E952">
        <v>2</v>
      </c>
      <c r="F952" t="s">
        <v>14</v>
      </c>
      <c r="G952">
        <v>5.12</v>
      </c>
      <c r="I952">
        <v>4</v>
      </c>
      <c r="J952" t="s">
        <v>15</v>
      </c>
      <c r="K952" t="str">
        <f t="shared" si="54"/>
        <v/>
      </c>
      <c r="L952" t="s">
        <v>16</v>
      </c>
      <c r="M952">
        <v>1</v>
      </c>
      <c r="T952">
        <f t="shared" si="55"/>
        <v>20</v>
      </c>
      <c r="U952" t="s">
        <v>3619</v>
      </c>
      <c r="V952" s="4" t="s">
        <v>1369</v>
      </c>
      <c r="W952">
        <v>951</v>
      </c>
      <c r="Y952">
        <f t="shared" si="56"/>
        <v>0</v>
      </c>
      <c r="Z952">
        <f t="shared" si="57"/>
        <v>0</v>
      </c>
    </row>
    <row r="953" spans="1:26" x14ac:dyDescent="0.25">
      <c r="A953" s="4">
        <v>1076</v>
      </c>
      <c r="B953" t="s">
        <v>41</v>
      </c>
      <c r="C953">
        <v>2</v>
      </c>
      <c r="D953">
        <v>1</v>
      </c>
      <c r="E953">
        <v>5</v>
      </c>
      <c r="F953" t="s">
        <v>14</v>
      </c>
      <c r="G953">
        <v>5.12</v>
      </c>
      <c r="I953">
        <v>4</v>
      </c>
      <c r="J953" t="s">
        <v>18</v>
      </c>
      <c r="K953" t="str">
        <f t="shared" si="54"/>
        <v/>
      </c>
      <c r="L953" t="s">
        <v>16</v>
      </c>
      <c r="M953">
        <v>10</v>
      </c>
      <c r="T953">
        <f t="shared" si="55"/>
        <v>20</v>
      </c>
      <c r="U953" t="s">
        <v>3623</v>
      </c>
      <c r="V953" s="4" t="s">
        <v>1369</v>
      </c>
      <c r="W953">
        <v>952</v>
      </c>
      <c r="Y953">
        <f t="shared" si="56"/>
        <v>0</v>
      </c>
      <c r="Z953">
        <f t="shared" si="57"/>
        <v>0</v>
      </c>
    </row>
    <row r="954" spans="1:26" x14ac:dyDescent="0.25">
      <c r="A954" s="4">
        <v>1076</v>
      </c>
      <c r="B954" t="s">
        <v>41</v>
      </c>
      <c r="C954">
        <v>2</v>
      </c>
      <c r="D954">
        <v>1</v>
      </c>
      <c r="E954">
        <v>4</v>
      </c>
      <c r="F954" t="s">
        <v>14</v>
      </c>
      <c r="G954">
        <v>5.12</v>
      </c>
      <c r="I954">
        <v>4</v>
      </c>
      <c r="J954" t="s">
        <v>18</v>
      </c>
      <c r="K954" t="str">
        <f t="shared" si="54"/>
        <v/>
      </c>
      <c r="L954" t="s">
        <v>16</v>
      </c>
      <c r="M954">
        <v>10</v>
      </c>
      <c r="T954">
        <f t="shared" si="55"/>
        <v>20</v>
      </c>
      <c r="U954" t="s">
        <v>3625</v>
      </c>
      <c r="V954" s="4" t="s">
        <v>1369</v>
      </c>
      <c r="W954">
        <v>953</v>
      </c>
      <c r="Y954">
        <f t="shared" si="56"/>
        <v>0</v>
      </c>
      <c r="Z954">
        <f t="shared" si="57"/>
        <v>0</v>
      </c>
    </row>
    <row r="955" spans="1:26" x14ac:dyDescent="0.25">
      <c r="A955" s="4">
        <v>1076</v>
      </c>
      <c r="B955" t="s">
        <v>41</v>
      </c>
      <c r="C955">
        <v>2</v>
      </c>
      <c r="D955">
        <v>1</v>
      </c>
      <c r="E955">
        <v>3</v>
      </c>
      <c r="F955" t="s">
        <v>14</v>
      </c>
      <c r="G955">
        <v>5.12</v>
      </c>
      <c r="I955">
        <v>4</v>
      </c>
      <c r="J955" t="s">
        <v>18</v>
      </c>
      <c r="K955" t="str">
        <f t="shared" si="54"/>
        <v/>
      </c>
      <c r="L955" t="s">
        <v>16</v>
      </c>
      <c r="M955">
        <v>10</v>
      </c>
      <c r="T955">
        <f t="shared" si="55"/>
        <v>20</v>
      </c>
      <c r="U955" t="s">
        <v>3628</v>
      </c>
      <c r="V955" s="4" t="s">
        <v>1369</v>
      </c>
      <c r="W955">
        <v>954</v>
      </c>
      <c r="Y955">
        <f t="shared" si="56"/>
        <v>0</v>
      </c>
      <c r="Z955">
        <f t="shared" si="57"/>
        <v>0</v>
      </c>
    </row>
    <row r="956" spans="1:26" x14ac:dyDescent="0.25">
      <c r="A956" s="4">
        <v>1076</v>
      </c>
      <c r="B956" t="s">
        <v>41</v>
      </c>
      <c r="C956">
        <v>2</v>
      </c>
      <c r="D956">
        <v>1</v>
      </c>
      <c r="E956">
        <v>2</v>
      </c>
      <c r="F956" t="s">
        <v>14</v>
      </c>
      <c r="G956">
        <v>5.12</v>
      </c>
      <c r="I956">
        <v>4</v>
      </c>
      <c r="J956" t="s">
        <v>18</v>
      </c>
      <c r="K956" t="str">
        <f t="shared" si="54"/>
        <v/>
      </c>
      <c r="L956" t="s">
        <v>16</v>
      </c>
      <c r="M956">
        <v>10</v>
      </c>
      <c r="T956">
        <f t="shared" si="55"/>
        <v>20</v>
      </c>
      <c r="U956" t="s">
        <v>3635</v>
      </c>
      <c r="V956" s="4" t="s">
        <v>1369</v>
      </c>
      <c r="W956">
        <v>955</v>
      </c>
      <c r="Y956">
        <f t="shared" si="56"/>
        <v>0</v>
      </c>
      <c r="Z956">
        <f t="shared" si="57"/>
        <v>0</v>
      </c>
    </row>
    <row r="957" spans="1:26" x14ac:dyDescent="0.25">
      <c r="A957" s="4">
        <v>1076</v>
      </c>
      <c r="B957" t="s">
        <v>41</v>
      </c>
      <c r="C957">
        <v>2</v>
      </c>
      <c r="D957">
        <v>1</v>
      </c>
      <c r="E957">
        <v>10</v>
      </c>
      <c r="F957" t="s">
        <v>14</v>
      </c>
      <c r="G957">
        <v>5.9</v>
      </c>
      <c r="I957">
        <v>5</v>
      </c>
      <c r="J957" t="s">
        <v>17</v>
      </c>
      <c r="K957" t="str">
        <f t="shared" si="54"/>
        <v/>
      </c>
      <c r="L957" t="s">
        <v>16</v>
      </c>
      <c r="M957">
        <v>2</v>
      </c>
      <c r="T957">
        <f t="shared" si="55"/>
        <v>20</v>
      </c>
      <c r="U957" t="s">
        <v>3642</v>
      </c>
      <c r="V957" s="4" t="s">
        <v>3643</v>
      </c>
      <c r="W957">
        <v>956</v>
      </c>
      <c r="Y957">
        <f t="shared" si="56"/>
        <v>0</v>
      </c>
      <c r="Z957">
        <f t="shared" si="57"/>
        <v>0</v>
      </c>
    </row>
    <row r="958" spans="1:26" x14ac:dyDescent="0.25">
      <c r="A958" s="4">
        <v>1076</v>
      </c>
      <c r="B958" t="s">
        <v>41</v>
      </c>
      <c r="C958">
        <v>2</v>
      </c>
      <c r="D958">
        <v>1</v>
      </c>
      <c r="E958">
        <v>9</v>
      </c>
      <c r="F958" t="s">
        <v>14</v>
      </c>
      <c r="G958">
        <v>5.9</v>
      </c>
      <c r="I958">
        <v>5</v>
      </c>
      <c r="J958" t="s">
        <v>17</v>
      </c>
      <c r="K958" t="str">
        <f t="shared" si="54"/>
        <v/>
      </c>
      <c r="L958" t="s">
        <v>16</v>
      </c>
      <c r="M958">
        <v>2</v>
      </c>
      <c r="T958">
        <f t="shared" si="55"/>
        <v>20</v>
      </c>
      <c r="U958" t="s">
        <v>3647</v>
      </c>
      <c r="V958" s="4" t="s">
        <v>3643</v>
      </c>
      <c r="W958">
        <v>957</v>
      </c>
      <c r="Y958">
        <f t="shared" si="56"/>
        <v>0</v>
      </c>
      <c r="Z958">
        <f t="shared" si="57"/>
        <v>0</v>
      </c>
    </row>
    <row r="959" spans="1:26" x14ac:dyDescent="0.25">
      <c r="A959" s="4">
        <v>1076</v>
      </c>
      <c r="B959" t="s">
        <v>41</v>
      </c>
      <c r="C959">
        <v>2</v>
      </c>
      <c r="D959">
        <v>1</v>
      </c>
      <c r="E959">
        <v>8</v>
      </c>
      <c r="F959" t="s">
        <v>14</v>
      </c>
      <c r="G959">
        <v>5.9</v>
      </c>
      <c r="I959">
        <v>5</v>
      </c>
      <c r="J959" t="s">
        <v>17</v>
      </c>
      <c r="K959" t="str">
        <f t="shared" si="54"/>
        <v/>
      </c>
      <c r="L959" t="s">
        <v>16</v>
      </c>
      <c r="M959">
        <v>2</v>
      </c>
      <c r="T959">
        <f t="shared" si="55"/>
        <v>20</v>
      </c>
      <c r="U959" t="s">
        <v>3649</v>
      </c>
      <c r="V959" s="4" t="s">
        <v>171</v>
      </c>
      <c r="W959">
        <v>958</v>
      </c>
      <c r="Y959">
        <f t="shared" si="56"/>
        <v>0</v>
      </c>
      <c r="Z959">
        <f t="shared" si="57"/>
        <v>0</v>
      </c>
    </row>
    <row r="960" spans="1:26" x14ac:dyDescent="0.25">
      <c r="A960" s="4">
        <v>1076</v>
      </c>
      <c r="B960" t="s">
        <v>41</v>
      </c>
      <c r="C960">
        <v>2</v>
      </c>
      <c r="D960">
        <v>1</v>
      </c>
      <c r="E960">
        <v>7</v>
      </c>
      <c r="F960" t="s">
        <v>14</v>
      </c>
      <c r="G960">
        <v>5.9</v>
      </c>
      <c r="I960">
        <v>5</v>
      </c>
      <c r="J960" t="s">
        <v>17</v>
      </c>
      <c r="K960" t="str">
        <f t="shared" si="54"/>
        <v/>
      </c>
      <c r="L960" t="s">
        <v>16</v>
      </c>
      <c r="M960">
        <v>2</v>
      </c>
      <c r="T960">
        <f t="shared" si="55"/>
        <v>20</v>
      </c>
      <c r="U960" t="s">
        <v>3654</v>
      </c>
      <c r="V960" s="4" t="s">
        <v>171</v>
      </c>
      <c r="W960">
        <v>959</v>
      </c>
      <c r="Y960">
        <f t="shared" si="56"/>
        <v>0</v>
      </c>
      <c r="Z960">
        <f t="shared" si="57"/>
        <v>0</v>
      </c>
    </row>
    <row r="961" spans="1:26" x14ac:dyDescent="0.25">
      <c r="A961" s="4">
        <v>1076</v>
      </c>
      <c r="B961" t="s">
        <v>41</v>
      </c>
      <c r="C961">
        <v>2</v>
      </c>
      <c r="D961">
        <v>1</v>
      </c>
      <c r="E961">
        <v>6</v>
      </c>
      <c r="F961" t="s">
        <v>14</v>
      </c>
      <c r="G961">
        <v>5.9</v>
      </c>
      <c r="I961">
        <v>5</v>
      </c>
      <c r="J961" t="s">
        <v>17</v>
      </c>
      <c r="K961" t="str">
        <f t="shared" si="54"/>
        <v/>
      </c>
      <c r="L961" t="s">
        <v>16</v>
      </c>
      <c r="M961">
        <v>2</v>
      </c>
      <c r="T961">
        <f t="shared" si="55"/>
        <v>20</v>
      </c>
      <c r="U961" t="s">
        <v>3658</v>
      </c>
      <c r="V961" s="4" t="s">
        <v>3659</v>
      </c>
      <c r="W961">
        <v>960</v>
      </c>
      <c r="Y961">
        <f t="shared" si="56"/>
        <v>0</v>
      </c>
      <c r="Z961">
        <f t="shared" si="57"/>
        <v>0</v>
      </c>
    </row>
    <row r="962" spans="1:26" x14ac:dyDescent="0.25">
      <c r="A962" s="4">
        <v>1076</v>
      </c>
      <c r="B962" t="s">
        <v>41</v>
      </c>
      <c r="C962">
        <v>2</v>
      </c>
      <c r="D962">
        <v>1</v>
      </c>
      <c r="E962">
        <v>15</v>
      </c>
      <c r="F962" t="s">
        <v>14</v>
      </c>
      <c r="G962">
        <v>6.85</v>
      </c>
      <c r="I962">
        <v>5</v>
      </c>
      <c r="J962" t="s">
        <v>17</v>
      </c>
      <c r="K962" t="str">
        <f t="shared" si="54"/>
        <v/>
      </c>
      <c r="L962" t="s">
        <v>16</v>
      </c>
      <c r="M962">
        <v>4</v>
      </c>
      <c r="T962">
        <f t="shared" si="55"/>
        <v>20</v>
      </c>
      <c r="U962" t="s">
        <v>3664</v>
      </c>
      <c r="V962" s="4" t="s">
        <v>3659</v>
      </c>
      <c r="W962">
        <v>961</v>
      </c>
      <c r="Y962">
        <f t="shared" si="56"/>
        <v>0</v>
      </c>
      <c r="Z962">
        <f t="shared" si="57"/>
        <v>0</v>
      </c>
    </row>
    <row r="963" spans="1:26" x14ac:dyDescent="0.25">
      <c r="A963" s="4">
        <v>1076</v>
      </c>
      <c r="B963" t="s">
        <v>41</v>
      </c>
      <c r="C963">
        <v>2</v>
      </c>
      <c r="D963">
        <v>1</v>
      </c>
      <c r="E963">
        <v>14</v>
      </c>
      <c r="F963" t="s">
        <v>14</v>
      </c>
      <c r="G963">
        <v>6.85</v>
      </c>
      <c r="I963">
        <v>5</v>
      </c>
      <c r="J963" t="s">
        <v>17</v>
      </c>
      <c r="K963" t="str">
        <f t="shared" ref="K963:K1026" si="58">_xlfn.XLOOKUP(A963,V:V,U:U,"",0)</f>
        <v/>
      </c>
      <c r="L963" t="s">
        <v>16</v>
      </c>
      <c r="M963">
        <v>4</v>
      </c>
      <c r="T963">
        <f t="shared" ref="T963:T1026" si="59">LEN(U963)</f>
        <v>20</v>
      </c>
      <c r="U963" t="s">
        <v>3668</v>
      </c>
      <c r="V963" s="4" t="s">
        <v>3659</v>
      </c>
      <c r="W963">
        <v>962</v>
      </c>
      <c r="Y963">
        <f t="shared" ref="Y963:Y1026" si="60">LEN(O963)</f>
        <v>0</v>
      </c>
      <c r="Z963">
        <f t="shared" ref="Z963:Z1026" si="61">LEN(P963)</f>
        <v>0</v>
      </c>
    </row>
    <row r="964" spans="1:26" x14ac:dyDescent="0.25">
      <c r="A964" s="4">
        <v>1076</v>
      </c>
      <c r="B964" t="s">
        <v>41</v>
      </c>
      <c r="C964">
        <v>2</v>
      </c>
      <c r="D964">
        <v>1</v>
      </c>
      <c r="E964">
        <v>13</v>
      </c>
      <c r="F964" t="s">
        <v>14</v>
      </c>
      <c r="G964">
        <v>6.85</v>
      </c>
      <c r="I964">
        <v>5</v>
      </c>
      <c r="J964" t="s">
        <v>17</v>
      </c>
      <c r="K964" t="str">
        <f t="shared" si="58"/>
        <v/>
      </c>
      <c r="L964" t="s">
        <v>16</v>
      </c>
      <c r="M964">
        <v>4</v>
      </c>
      <c r="T964">
        <f t="shared" si="59"/>
        <v>20</v>
      </c>
      <c r="U964" t="s">
        <v>3674</v>
      </c>
      <c r="V964" s="4" t="s">
        <v>3659</v>
      </c>
      <c r="W964">
        <v>963</v>
      </c>
      <c r="Y964">
        <f t="shared" si="60"/>
        <v>0</v>
      </c>
      <c r="Z964">
        <f t="shared" si="61"/>
        <v>0</v>
      </c>
    </row>
    <row r="965" spans="1:26" x14ac:dyDescent="0.25">
      <c r="A965" s="4">
        <v>1076</v>
      </c>
      <c r="B965" t="s">
        <v>41</v>
      </c>
      <c r="C965">
        <v>2</v>
      </c>
      <c r="D965">
        <v>1</v>
      </c>
      <c r="E965">
        <v>12</v>
      </c>
      <c r="F965" t="s">
        <v>14</v>
      </c>
      <c r="G965">
        <v>6.85</v>
      </c>
      <c r="I965">
        <v>5</v>
      </c>
      <c r="J965" t="s">
        <v>17</v>
      </c>
      <c r="K965" t="str">
        <f t="shared" si="58"/>
        <v/>
      </c>
      <c r="L965" t="s">
        <v>16</v>
      </c>
      <c r="M965">
        <v>4</v>
      </c>
      <c r="T965">
        <f t="shared" si="59"/>
        <v>20</v>
      </c>
      <c r="U965" t="s">
        <v>3677</v>
      </c>
      <c r="V965" s="4" t="s">
        <v>3659</v>
      </c>
      <c r="W965">
        <v>964</v>
      </c>
      <c r="Y965">
        <f t="shared" si="60"/>
        <v>0</v>
      </c>
      <c r="Z965">
        <f t="shared" si="61"/>
        <v>0</v>
      </c>
    </row>
    <row r="966" spans="1:26" x14ac:dyDescent="0.25">
      <c r="A966" s="4">
        <v>1076</v>
      </c>
      <c r="B966" t="s">
        <v>41</v>
      </c>
      <c r="C966">
        <v>2</v>
      </c>
      <c r="D966">
        <v>1</v>
      </c>
      <c r="E966">
        <v>11</v>
      </c>
      <c r="F966" t="s">
        <v>14</v>
      </c>
      <c r="G966">
        <v>6.85</v>
      </c>
      <c r="I966">
        <v>5</v>
      </c>
      <c r="J966" t="s">
        <v>17</v>
      </c>
      <c r="K966" t="str">
        <f t="shared" si="58"/>
        <v/>
      </c>
      <c r="L966" t="s">
        <v>16</v>
      </c>
      <c r="M966">
        <v>4</v>
      </c>
      <c r="T966">
        <f t="shared" si="59"/>
        <v>20</v>
      </c>
      <c r="U966" t="s">
        <v>3681</v>
      </c>
      <c r="V966" s="4" t="s">
        <v>3659</v>
      </c>
      <c r="W966">
        <v>965</v>
      </c>
      <c r="Y966">
        <f t="shared" si="60"/>
        <v>0</v>
      </c>
      <c r="Z966">
        <f t="shared" si="61"/>
        <v>0</v>
      </c>
    </row>
    <row r="967" spans="1:26" x14ac:dyDescent="0.25">
      <c r="A967" s="4">
        <v>1076</v>
      </c>
      <c r="B967" t="s">
        <v>41</v>
      </c>
      <c r="C967">
        <v>2</v>
      </c>
      <c r="D967">
        <v>1</v>
      </c>
      <c r="E967">
        <v>15</v>
      </c>
      <c r="F967" t="s">
        <v>14</v>
      </c>
      <c r="G967">
        <v>6.85</v>
      </c>
      <c r="I967">
        <v>5</v>
      </c>
      <c r="J967" t="s">
        <v>15</v>
      </c>
      <c r="K967" t="str">
        <f t="shared" si="58"/>
        <v/>
      </c>
      <c r="L967" t="s">
        <v>16</v>
      </c>
      <c r="M967">
        <v>1</v>
      </c>
      <c r="T967">
        <f t="shared" si="59"/>
        <v>20</v>
      </c>
      <c r="U967" t="s">
        <v>3684</v>
      </c>
      <c r="V967" s="4" t="s">
        <v>1262</v>
      </c>
      <c r="W967">
        <v>966</v>
      </c>
      <c r="Y967">
        <f t="shared" si="60"/>
        <v>0</v>
      </c>
      <c r="Z967">
        <f t="shared" si="61"/>
        <v>0</v>
      </c>
    </row>
    <row r="968" spans="1:26" x14ac:dyDescent="0.25">
      <c r="A968" s="4">
        <v>1076</v>
      </c>
      <c r="B968" t="s">
        <v>41</v>
      </c>
      <c r="C968">
        <v>2</v>
      </c>
      <c r="D968">
        <v>1</v>
      </c>
      <c r="E968">
        <v>14</v>
      </c>
      <c r="F968" t="s">
        <v>14</v>
      </c>
      <c r="G968">
        <v>6.85</v>
      </c>
      <c r="I968">
        <v>5</v>
      </c>
      <c r="J968" t="s">
        <v>15</v>
      </c>
      <c r="K968" t="str">
        <f t="shared" si="58"/>
        <v/>
      </c>
      <c r="L968" t="s">
        <v>16</v>
      </c>
      <c r="M968">
        <v>1</v>
      </c>
      <c r="T968">
        <f t="shared" si="59"/>
        <v>20</v>
      </c>
      <c r="U968" t="s">
        <v>3687</v>
      </c>
      <c r="V968" s="4" t="s">
        <v>1262</v>
      </c>
      <c r="W968">
        <v>967</v>
      </c>
      <c r="Y968">
        <f t="shared" si="60"/>
        <v>0</v>
      </c>
      <c r="Z968">
        <f t="shared" si="61"/>
        <v>0</v>
      </c>
    </row>
    <row r="969" spans="1:26" x14ac:dyDescent="0.25">
      <c r="A969" s="4">
        <v>1076</v>
      </c>
      <c r="B969" t="s">
        <v>41</v>
      </c>
      <c r="C969">
        <v>2</v>
      </c>
      <c r="D969">
        <v>1</v>
      </c>
      <c r="E969">
        <v>13</v>
      </c>
      <c r="F969" t="s">
        <v>14</v>
      </c>
      <c r="G969">
        <v>6.85</v>
      </c>
      <c r="I969">
        <v>5</v>
      </c>
      <c r="J969" t="s">
        <v>15</v>
      </c>
      <c r="K969" t="str">
        <f t="shared" si="58"/>
        <v/>
      </c>
      <c r="L969" t="s">
        <v>16</v>
      </c>
      <c r="M969">
        <v>1</v>
      </c>
      <c r="T969">
        <f t="shared" si="59"/>
        <v>20</v>
      </c>
      <c r="U969" t="s">
        <v>3694</v>
      </c>
      <c r="V969" s="4" t="s">
        <v>3695</v>
      </c>
      <c r="W969">
        <v>968</v>
      </c>
      <c r="Y969">
        <f t="shared" si="60"/>
        <v>0</v>
      </c>
      <c r="Z969">
        <f t="shared" si="61"/>
        <v>0</v>
      </c>
    </row>
    <row r="970" spans="1:26" x14ac:dyDescent="0.25">
      <c r="A970" s="4">
        <v>1076</v>
      </c>
      <c r="B970" t="s">
        <v>41</v>
      </c>
      <c r="C970">
        <v>2</v>
      </c>
      <c r="D970">
        <v>1</v>
      </c>
      <c r="E970">
        <v>12</v>
      </c>
      <c r="F970" t="s">
        <v>14</v>
      </c>
      <c r="G970">
        <v>6.85</v>
      </c>
      <c r="I970">
        <v>5</v>
      </c>
      <c r="J970" t="s">
        <v>15</v>
      </c>
      <c r="K970" t="str">
        <f t="shared" si="58"/>
        <v/>
      </c>
      <c r="L970" t="s">
        <v>16</v>
      </c>
      <c r="M970">
        <v>1</v>
      </c>
      <c r="T970">
        <f t="shared" si="59"/>
        <v>20</v>
      </c>
      <c r="U970" t="s">
        <v>3699</v>
      </c>
      <c r="V970" s="4" t="s">
        <v>3695</v>
      </c>
      <c r="W970">
        <v>969</v>
      </c>
      <c r="Y970">
        <f t="shared" si="60"/>
        <v>0</v>
      </c>
      <c r="Z970">
        <f t="shared" si="61"/>
        <v>0</v>
      </c>
    </row>
    <row r="971" spans="1:26" x14ac:dyDescent="0.25">
      <c r="A971" s="4">
        <v>1076</v>
      </c>
      <c r="B971" t="s">
        <v>41</v>
      </c>
      <c r="C971">
        <v>2</v>
      </c>
      <c r="D971">
        <v>1</v>
      </c>
      <c r="E971">
        <v>11</v>
      </c>
      <c r="F971" t="s">
        <v>14</v>
      </c>
      <c r="G971">
        <v>6.85</v>
      </c>
      <c r="I971">
        <v>5</v>
      </c>
      <c r="J971" t="s">
        <v>15</v>
      </c>
      <c r="K971" t="str">
        <f t="shared" si="58"/>
        <v/>
      </c>
      <c r="L971" t="s">
        <v>16</v>
      </c>
      <c r="M971">
        <v>1</v>
      </c>
      <c r="T971">
        <f t="shared" si="59"/>
        <v>20</v>
      </c>
      <c r="U971" t="s">
        <v>3701</v>
      </c>
      <c r="V971" s="4" t="s">
        <v>3695</v>
      </c>
      <c r="W971">
        <v>970</v>
      </c>
      <c r="Y971">
        <f t="shared" si="60"/>
        <v>0</v>
      </c>
      <c r="Z971">
        <f t="shared" si="61"/>
        <v>0</v>
      </c>
    </row>
    <row r="972" spans="1:26" x14ac:dyDescent="0.25">
      <c r="A972" s="4">
        <v>1076</v>
      </c>
      <c r="B972" t="s">
        <v>41</v>
      </c>
      <c r="C972">
        <v>2</v>
      </c>
      <c r="D972">
        <v>1</v>
      </c>
      <c r="E972">
        <v>15</v>
      </c>
      <c r="F972" t="s">
        <v>14</v>
      </c>
      <c r="G972">
        <v>6.85</v>
      </c>
      <c r="I972">
        <v>5</v>
      </c>
      <c r="J972" t="s">
        <v>18</v>
      </c>
      <c r="K972" t="str">
        <f t="shared" si="58"/>
        <v/>
      </c>
      <c r="L972" t="s">
        <v>16</v>
      </c>
      <c r="M972">
        <v>3</v>
      </c>
      <c r="T972">
        <f t="shared" si="59"/>
        <v>20</v>
      </c>
      <c r="U972" t="s">
        <v>3704</v>
      </c>
      <c r="V972" s="4" t="s">
        <v>3695</v>
      </c>
      <c r="W972">
        <v>971</v>
      </c>
      <c r="Y972">
        <f t="shared" si="60"/>
        <v>0</v>
      </c>
      <c r="Z972">
        <f t="shared" si="61"/>
        <v>0</v>
      </c>
    </row>
    <row r="973" spans="1:26" x14ac:dyDescent="0.25">
      <c r="A973" s="4">
        <v>1076</v>
      </c>
      <c r="B973" t="s">
        <v>41</v>
      </c>
      <c r="C973">
        <v>2</v>
      </c>
      <c r="D973">
        <v>1</v>
      </c>
      <c r="E973">
        <v>14</v>
      </c>
      <c r="F973" t="s">
        <v>14</v>
      </c>
      <c r="G973">
        <v>6.85</v>
      </c>
      <c r="I973">
        <v>5</v>
      </c>
      <c r="J973" t="s">
        <v>18</v>
      </c>
      <c r="K973" t="str">
        <f t="shared" si="58"/>
        <v/>
      </c>
      <c r="L973" t="s">
        <v>16</v>
      </c>
      <c r="M973">
        <v>3</v>
      </c>
      <c r="T973">
        <f t="shared" si="59"/>
        <v>20</v>
      </c>
      <c r="U973" t="s">
        <v>3708</v>
      </c>
      <c r="V973" s="4" t="s">
        <v>3695</v>
      </c>
      <c r="W973">
        <v>972</v>
      </c>
      <c r="Y973">
        <f t="shared" si="60"/>
        <v>0</v>
      </c>
      <c r="Z973">
        <f t="shared" si="61"/>
        <v>0</v>
      </c>
    </row>
    <row r="974" spans="1:26" x14ac:dyDescent="0.25">
      <c r="A974" s="4">
        <v>1076</v>
      </c>
      <c r="B974" t="s">
        <v>41</v>
      </c>
      <c r="C974">
        <v>2</v>
      </c>
      <c r="D974">
        <v>1</v>
      </c>
      <c r="E974">
        <v>13</v>
      </c>
      <c r="F974" t="s">
        <v>14</v>
      </c>
      <c r="G974">
        <v>6.85</v>
      </c>
      <c r="I974">
        <v>5</v>
      </c>
      <c r="J974" t="s">
        <v>18</v>
      </c>
      <c r="K974" t="str">
        <f t="shared" si="58"/>
        <v/>
      </c>
      <c r="L974" t="s">
        <v>16</v>
      </c>
      <c r="M974">
        <v>3</v>
      </c>
      <c r="T974">
        <f t="shared" si="59"/>
        <v>20</v>
      </c>
      <c r="U974" t="s">
        <v>3711</v>
      </c>
      <c r="V974" s="4" t="s">
        <v>3695</v>
      </c>
      <c r="W974">
        <v>973</v>
      </c>
      <c r="Y974">
        <f t="shared" si="60"/>
        <v>0</v>
      </c>
      <c r="Z974">
        <f t="shared" si="61"/>
        <v>0</v>
      </c>
    </row>
    <row r="975" spans="1:26" x14ac:dyDescent="0.25">
      <c r="A975" s="4">
        <v>1076</v>
      </c>
      <c r="B975" t="s">
        <v>41</v>
      </c>
      <c r="C975">
        <v>2</v>
      </c>
      <c r="D975">
        <v>1</v>
      </c>
      <c r="E975">
        <v>12</v>
      </c>
      <c r="F975" t="s">
        <v>14</v>
      </c>
      <c r="G975">
        <v>6.85</v>
      </c>
      <c r="I975">
        <v>5</v>
      </c>
      <c r="J975" t="s">
        <v>18</v>
      </c>
      <c r="K975" t="str">
        <f t="shared" si="58"/>
        <v/>
      </c>
      <c r="L975" t="s">
        <v>16</v>
      </c>
      <c r="M975">
        <v>3</v>
      </c>
      <c r="T975">
        <f t="shared" si="59"/>
        <v>20</v>
      </c>
      <c r="U975" t="s">
        <v>3713</v>
      </c>
      <c r="V975" s="4" t="s">
        <v>3695</v>
      </c>
      <c r="W975">
        <v>974</v>
      </c>
      <c r="Y975">
        <f t="shared" si="60"/>
        <v>0</v>
      </c>
      <c r="Z975">
        <f t="shared" si="61"/>
        <v>0</v>
      </c>
    </row>
    <row r="976" spans="1:26" x14ac:dyDescent="0.25">
      <c r="A976" s="4">
        <v>1076</v>
      </c>
      <c r="B976" t="s">
        <v>41</v>
      </c>
      <c r="C976">
        <v>2</v>
      </c>
      <c r="D976">
        <v>1</v>
      </c>
      <c r="E976">
        <v>11</v>
      </c>
      <c r="F976" t="s">
        <v>14</v>
      </c>
      <c r="G976">
        <v>6.85</v>
      </c>
      <c r="I976">
        <v>5</v>
      </c>
      <c r="J976" t="s">
        <v>18</v>
      </c>
      <c r="K976" t="str">
        <f t="shared" si="58"/>
        <v/>
      </c>
      <c r="L976" t="s">
        <v>16</v>
      </c>
      <c r="M976">
        <v>3</v>
      </c>
      <c r="T976">
        <f t="shared" si="59"/>
        <v>20</v>
      </c>
      <c r="U976" t="s">
        <v>3716</v>
      </c>
      <c r="V976" s="4" t="s">
        <v>3695</v>
      </c>
      <c r="W976">
        <v>975</v>
      </c>
      <c r="Y976">
        <f t="shared" si="60"/>
        <v>0</v>
      </c>
      <c r="Z976">
        <f t="shared" si="61"/>
        <v>0</v>
      </c>
    </row>
    <row r="977" spans="1:26" x14ac:dyDescent="0.25">
      <c r="A977" s="4">
        <v>5057</v>
      </c>
      <c r="B977" t="s">
        <v>42</v>
      </c>
      <c r="C977">
        <v>6</v>
      </c>
      <c r="D977">
        <v>1</v>
      </c>
      <c r="E977">
        <v>8</v>
      </c>
      <c r="F977" t="s">
        <v>14</v>
      </c>
      <c r="G977">
        <v>5.3</v>
      </c>
      <c r="I977">
        <v>4</v>
      </c>
      <c r="J977" t="s">
        <v>15</v>
      </c>
      <c r="K977" t="str">
        <f t="shared" si="58"/>
        <v/>
      </c>
      <c r="L977" t="s">
        <v>16</v>
      </c>
      <c r="M977">
        <v>5</v>
      </c>
      <c r="T977">
        <f t="shared" si="59"/>
        <v>20</v>
      </c>
      <c r="U977" t="s">
        <v>3719</v>
      </c>
      <c r="V977" s="4" t="s">
        <v>3695</v>
      </c>
      <c r="W977">
        <v>976</v>
      </c>
      <c r="Y977">
        <f t="shared" si="60"/>
        <v>0</v>
      </c>
      <c r="Z977">
        <f t="shared" si="61"/>
        <v>0</v>
      </c>
    </row>
    <row r="978" spans="1:26" x14ac:dyDescent="0.25">
      <c r="A978" s="4">
        <v>5057</v>
      </c>
      <c r="B978" t="s">
        <v>42</v>
      </c>
      <c r="C978">
        <v>6</v>
      </c>
      <c r="D978">
        <v>1</v>
      </c>
      <c r="E978">
        <v>7</v>
      </c>
      <c r="F978" t="s">
        <v>14</v>
      </c>
      <c r="G978">
        <v>5.3</v>
      </c>
      <c r="I978">
        <v>4</v>
      </c>
      <c r="J978" t="s">
        <v>15</v>
      </c>
      <c r="K978" t="str">
        <f t="shared" si="58"/>
        <v/>
      </c>
      <c r="L978" t="s">
        <v>16</v>
      </c>
      <c r="M978">
        <v>5</v>
      </c>
      <c r="T978">
        <f t="shared" si="59"/>
        <v>20</v>
      </c>
      <c r="U978" t="s">
        <v>3722</v>
      </c>
      <c r="V978" s="4" t="s">
        <v>3695</v>
      </c>
      <c r="W978">
        <v>977</v>
      </c>
      <c r="Y978">
        <f t="shared" si="60"/>
        <v>0</v>
      </c>
      <c r="Z978">
        <f t="shared" si="61"/>
        <v>0</v>
      </c>
    </row>
    <row r="979" spans="1:26" x14ac:dyDescent="0.25">
      <c r="A979" s="4">
        <v>5057</v>
      </c>
      <c r="B979" t="s">
        <v>42</v>
      </c>
      <c r="C979">
        <v>6</v>
      </c>
      <c r="D979">
        <v>1</v>
      </c>
      <c r="E979">
        <v>6</v>
      </c>
      <c r="F979" t="s">
        <v>14</v>
      </c>
      <c r="G979">
        <v>5.3</v>
      </c>
      <c r="I979">
        <v>4</v>
      </c>
      <c r="J979" t="s">
        <v>15</v>
      </c>
      <c r="K979" t="str">
        <f t="shared" si="58"/>
        <v/>
      </c>
      <c r="L979" t="s">
        <v>16</v>
      </c>
      <c r="M979">
        <v>5</v>
      </c>
      <c r="T979">
        <f t="shared" si="59"/>
        <v>20</v>
      </c>
      <c r="U979" t="s">
        <v>3725</v>
      </c>
      <c r="V979" s="4" t="s">
        <v>3695</v>
      </c>
      <c r="W979">
        <v>978</v>
      </c>
      <c r="Y979">
        <f t="shared" si="60"/>
        <v>0</v>
      </c>
      <c r="Z979">
        <f t="shared" si="61"/>
        <v>0</v>
      </c>
    </row>
    <row r="980" spans="1:26" x14ac:dyDescent="0.25">
      <c r="A980" s="4">
        <v>5057</v>
      </c>
      <c r="B980" t="s">
        <v>42</v>
      </c>
      <c r="C980">
        <v>6</v>
      </c>
      <c r="D980">
        <v>1</v>
      </c>
      <c r="E980">
        <v>5</v>
      </c>
      <c r="F980" t="s">
        <v>14</v>
      </c>
      <c r="G980">
        <v>5.3</v>
      </c>
      <c r="I980">
        <v>4</v>
      </c>
      <c r="J980" t="s">
        <v>15</v>
      </c>
      <c r="K980" t="str">
        <f t="shared" si="58"/>
        <v/>
      </c>
      <c r="L980" t="s">
        <v>16</v>
      </c>
      <c r="M980">
        <v>5</v>
      </c>
      <c r="T980">
        <f t="shared" si="59"/>
        <v>20</v>
      </c>
      <c r="U980" t="s">
        <v>3727</v>
      </c>
      <c r="V980" s="4" t="s">
        <v>3695</v>
      </c>
      <c r="W980">
        <v>979</v>
      </c>
      <c r="Y980">
        <f t="shared" si="60"/>
        <v>0</v>
      </c>
      <c r="Z980">
        <f t="shared" si="61"/>
        <v>0</v>
      </c>
    </row>
    <row r="981" spans="1:26" x14ac:dyDescent="0.25">
      <c r="A981" s="4">
        <v>5057</v>
      </c>
      <c r="B981" t="s">
        <v>42</v>
      </c>
      <c r="C981">
        <v>6</v>
      </c>
      <c r="D981">
        <v>1</v>
      </c>
      <c r="E981">
        <v>8</v>
      </c>
      <c r="F981" t="s">
        <v>14</v>
      </c>
      <c r="G981">
        <v>5.3</v>
      </c>
      <c r="I981">
        <v>4</v>
      </c>
      <c r="J981" t="s">
        <v>18</v>
      </c>
      <c r="K981" t="str">
        <f t="shared" si="58"/>
        <v/>
      </c>
      <c r="L981" t="s">
        <v>16</v>
      </c>
      <c r="M981">
        <v>5</v>
      </c>
      <c r="T981">
        <f t="shared" si="59"/>
        <v>20</v>
      </c>
      <c r="U981" t="s">
        <v>3729</v>
      </c>
      <c r="V981" s="4" t="s">
        <v>3730</v>
      </c>
      <c r="W981">
        <v>980</v>
      </c>
      <c r="Y981">
        <f t="shared" si="60"/>
        <v>0</v>
      </c>
      <c r="Z981">
        <f t="shared" si="61"/>
        <v>0</v>
      </c>
    </row>
    <row r="982" spans="1:26" x14ac:dyDescent="0.25">
      <c r="A982" s="4">
        <v>5057</v>
      </c>
      <c r="B982" t="s">
        <v>42</v>
      </c>
      <c r="C982">
        <v>6</v>
      </c>
      <c r="D982">
        <v>1</v>
      </c>
      <c r="E982">
        <v>7</v>
      </c>
      <c r="F982" t="s">
        <v>14</v>
      </c>
      <c r="G982">
        <v>5.3</v>
      </c>
      <c r="I982">
        <v>4</v>
      </c>
      <c r="J982" t="s">
        <v>18</v>
      </c>
      <c r="K982" t="str">
        <f t="shared" si="58"/>
        <v/>
      </c>
      <c r="L982" t="s">
        <v>16</v>
      </c>
      <c r="M982">
        <v>5</v>
      </c>
      <c r="T982">
        <f t="shared" si="59"/>
        <v>20</v>
      </c>
      <c r="U982" t="s">
        <v>3734</v>
      </c>
      <c r="V982" s="4" t="s">
        <v>3730</v>
      </c>
      <c r="W982">
        <v>981</v>
      </c>
      <c r="Y982">
        <f t="shared" si="60"/>
        <v>0</v>
      </c>
      <c r="Z982">
        <f t="shared" si="61"/>
        <v>0</v>
      </c>
    </row>
    <row r="983" spans="1:26" x14ac:dyDescent="0.25">
      <c r="A983" s="4">
        <v>5057</v>
      </c>
      <c r="B983" t="s">
        <v>42</v>
      </c>
      <c r="C983">
        <v>6</v>
      </c>
      <c r="D983">
        <v>1</v>
      </c>
      <c r="E983">
        <v>6</v>
      </c>
      <c r="F983" t="s">
        <v>14</v>
      </c>
      <c r="G983">
        <v>5.3</v>
      </c>
      <c r="I983">
        <v>4</v>
      </c>
      <c r="J983" t="s">
        <v>18</v>
      </c>
      <c r="K983" t="str">
        <f t="shared" si="58"/>
        <v/>
      </c>
      <c r="L983" t="s">
        <v>16</v>
      </c>
      <c r="M983">
        <v>5</v>
      </c>
      <c r="T983">
        <f t="shared" si="59"/>
        <v>20</v>
      </c>
      <c r="U983" t="s">
        <v>3737</v>
      </c>
      <c r="V983" s="4" t="s">
        <v>3730</v>
      </c>
      <c r="W983">
        <v>982</v>
      </c>
      <c r="Y983">
        <f t="shared" si="60"/>
        <v>0</v>
      </c>
      <c r="Z983">
        <f t="shared" si="61"/>
        <v>0</v>
      </c>
    </row>
    <row r="984" spans="1:26" x14ac:dyDescent="0.25">
      <c r="A984" s="4">
        <v>5057</v>
      </c>
      <c r="B984" t="s">
        <v>42</v>
      </c>
      <c r="C984">
        <v>6</v>
      </c>
      <c r="D984">
        <v>1</v>
      </c>
      <c r="E984">
        <v>5</v>
      </c>
      <c r="F984" t="s">
        <v>14</v>
      </c>
      <c r="G984">
        <v>5.3</v>
      </c>
      <c r="I984">
        <v>4</v>
      </c>
      <c r="J984" t="s">
        <v>18</v>
      </c>
      <c r="K984" t="str">
        <f t="shared" si="58"/>
        <v/>
      </c>
      <c r="L984" t="s">
        <v>16</v>
      </c>
      <c r="M984">
        <v>5</v>
      </c>
      <c r="T984">
        <f t="shared" si="59"/>
        <v>20</v>
      </c>
      <c r="U984" t="s">
        <v>3742</v>
      </c>
      <c r="V984" s="4" t="s">
        <v>3730</v>
      </c>
      <c r="W984">
        <v>983</v>
      </c>
      <c r="Y984">
        <f t="shared" si="60"/>
        <v>0</v>
      </c>
      <c r="Z984">
        <f t="shared" si="61"/>
        <v>0</v>
      </c>
    </row>
    <row r="985" spans="1:26" x14ac:dyDescent="0.25">
      <c r="A985" s="4">
        <v>5057</v>
      </c>
      <c r="B985" t="s">
        <v>42</v>
      </c>
      <c r="C985">
        <v>6</v>
      </c>
      <c r="D985">
        <v>1</v>
      </c>
      <c r="E985">
        <v>12</v>
      </c>
      <c r="F985" t="s">
        <v>14</v>
      </c>
      <c r="G985">
        <v>6.1</v>
      </c>
      <c r="I985">
        <v>4</v>
      </c>
      <c r="J985" t="s">
        <v>15</v>
      </c>
      <c r="K985" t="str">
        <f t="shared" si="58"/>
        <v/>
      </c>
      <c r="L985" t="s">
        <v>16</v>
      </c>
      <c r="M985">
        <v>4</v>
      </c>
      <c r="T985">
        <f t="shared" si="59"/>
        <v>20</v>
      </c>
      <c r="U985" t="s">
        <v>3744</v>
      </c>
      <c r="V985" s="4" t="s">
        <v>3730</v>
      </c>
      <c r="W985">
        <v>984</v>
      </c>
      <c r="Y985">
        <f t="shared" si="60"/>
        <v>0</v>
      </c>
      <c r="Z985">
        <f t="shared" si="61"/>
        <v>0</v>
      </c>
    </row>
    <row r="986" spans="1:26" x14ac:dyDescent="0.25">
      <c r="A986" s="4">
        <v>5057</v>
      </c>
      <c r="B986" t="s">
        <v>42</v>
      </c>
      <c r="C986">
        <v>6</v>
      </c>
      <c r="D986">
        <v>1</v>
      </c>
      <c r="E986">
        <v>11</v>
      </c>
      <c r="F986" t="s">
        <v>14</v>
      </c>
      <c r="G986">
        <v>6.1</v>
      </c>
      <c r="I986">
        <v>4</v>
      </c>
      <c r="J986" t="s">
        <v>15</v>
      </c>
      <c r="K986" t="str">
        <f t="shared" si="58"/>
        <v/>
      </c>
      <c r="L986" t="s">
        <v>16</v>
      </c>
      <c r="M986">
        <v>4</v>
      </c>
      <c r="T986">
        <f t="shared" si="59"/>
        <v>20</v>
      </c>
      <c r="U986" t="s">
        <v>3750</v>
      </c>
      <c r="V986" s="4" t="s">
        <v>3730</v>
      </c>
      <c r="W986">
        <v>985</v>
      </c>
      <c r="Y986">
        <f t="shared" si="60"/>
        <v>0</v>
      </c>
      <c r="Z986">
        <f t="shared" si="61"/>
        <v>0</v>
      </c>
    </row>
    <row r="987" spans="1:26" x14ac:dyDescent="0.25">
      <c r="A987" s="4">
        <v>5057</v>
      </c>
      <c r="B987" t="s">
        <v>42</v>
      </c>
      <c r="C987">
        <v>6</v>
      </c>
      <c r="D987">
        <v>1</v>
      </c>
      <c r="E987">
        <v>10</v>
      </c>
      <c r="F987" t="s">
        <v>14</v>
      </c>
      <c r="G987">
        <v>6.1</v>
      </c>
      <c r="I987">
        <v>4</v>
      </c>
      <c r="J987" t="s">
        <v>15</v>
      </c>
      <c r="K987" t="str">
        <f t="shared" si="58"/>
        <v/>
      </c>
      <c r="L987" t="s">
        <v>16</v>
      </c>
      <c r="M987">
        <v>4</v>
      </c>
      <c r="T987">
        <f t="shared" si="59"/>
        <v>20</v>
      </c>
      <c r="U987" t="s">
        <v>3753</v>
      </c>
      <c r="V987" s="4" t="s">
        <v>1121</v>
      </c>
      <c r="W987">
        <v>986</v>
      </c>
      <c r="Y987">
        <f t="shared" si="60"/>
        <v>0</v>
      </c>
      <c r="Z987">
        <f t="shared" si="61"/>
        <v>0</v>
      </c>
    </row>
    <row r="988" spans="1:26" x14ac:dyDescent="0.25">
      <c r="A988" s="4">
        <v>5057</v>
      </c>
      <c r="B988" t="s">
        <v>42</v>
      </c>
      <c r="C988">
        <v>6</v>
      </c>
      <c r="D988">
        <v>1</v>
      </c>
      <c r="E988">
        <v>9</v>
      </c>
      <c r="F988" t="s">
        <v>14</v>
      </c>
      <c r="G988">
        <v>6.1</v>
      </c>
      <c r="I988">
        <v>4</v>
      </c>
      <c r="J988" t="s">
        <v>15</v>
      </c>
      <c r="K988" t="str">
        <f t="shared" si="58"/>
        <v/>
      </c>
      <c r="L988" t="s">
        <v>16</v>
      </c>
      <c r="M988">
        <v>4</v>
      </c>
      <c r="T988">
        <f t="shared" si="59"/>
        <v>20</v>
      </c>
      <c r="U988" t="s">
        <v>3758</v>
      </c>
      <c r="V988" s="4" t="s">
        <v>3759</v>
      </c>
      <c r="W988">
        <v>987</v>
      </c>
      <c r="Y988">
        <f t="shared" si="60"/>
        <v>0</v>
      </c>
      <c r="Z988">
        <f t="shared" si="61"/>
        <v>0</v>
      </c>
    </row>
    <row r="989" spans="1:26" x14ac:dyDescent="0.25">
      <c r="A989" s="4">
        <v>5057</v>
      </c>
      <c r="B989" t="s">
        <v>42</v>
      </c>
      <c r="C989">
        <v>6</v>
      </c>
      <c r="D989">
        <v>1</v>
      </c>
      <c r="E989">
        <v>12</v>
      </c>
      <c r="F989" t="s">
        <v>14</v>
      </c>
      <c r="G989">
        <v>6.1</v>
      </c>
      <c r="I989">
        <v>4</v>
      </c>
      <c r="J989" t="s">
        <v>18</v>
      </c>
      <c r="K989" t="str">
        <f t="shared" si="58"/>
        <v/>
      </c>
      <c r="L989" t="s">
        <v>16</v>
      </c>
      <c r="M989">
        <v>4</v>
      </c>
      <c r="T989">
        <f t="shared" si="59"/>
        <v>20</v>
      </c>
      <c r="U989" t="s">
        <v>3763</v>
      </c>
      <c r="V989" s="4" t="s">
        <v>3764</v>
      </c>
      <c r="W989">
        <v>988</v>
      </c>
      <c r="Y989">
        <f t="shared" si="60"/>
        <v>0</v>
      </c>
      <c r="Z989">
        <f t="shared" si="61"/>
        <v>0</v>
      </c>
    </row>
    <row r="990" spans="1:26" x14ac:dyDescent="0.25">
      <c r="A990" s="4">
        <v>5057</v>
      </c>
      <c r="B990" t="s">
        <v>42</v>
      </c>
      <c r="C990">
        <v>6</v>
      </c>
      <c r="D990">
        <v>1</v>
      </c>
      <c r="E990">
        <v>11</v>
      </c>
      <c r="F990" t="s">
        <v>14</v>
      </c>
      <c r="G990">
        <v>6.1</v>
      </c>
      <c r="I990">
        <v>4</v>
      </c>
      <c r="J990" t="s">
        <v>18</v>
      </c>
      <c r="K990" t="str">
        <f t="shared" si="58"/>
        <v/>
      </c>
      <c r="L990" t="s">
        <v>16</v>
      </c>
      <c r="M990">
        <v>4</v>
      </c>
      <c r="T990">
        <f t="shared" si="59"/>
        <v>20</v>
      </c>
      <c r="U990" t="s">
        <v>3770</v>
      </c>
      <c r="V990" s="4" t="s">
        <v>3764</v>
      </c>
      <c r="W990">
        <v>989</v>
      </c>
      <c r="Y990">
        <f t="shared" si="60"/>
        <v>0</v>
      </c>
      <c r="Z990">
        <f t="shared" si="61"/>
        <v>0</v>
      </c>
    </row>
    <row r="991" spans="1:26" x14ac:dyDescent="0.25">
      <c r="A991" s="4">
        <v>5057</v>
      </c>
      <c r="B991" t="s">
        <v>42</v>
      </c>
      <c r="C991">
        <v>6</v>
      </c>
      <c r="D991">
        <v>1</v>
      </c>
      <c r="E991">
        <v>10</v>
      </c>
      <c r="F991" t="s">
        <v>14</v>
      </c>
      <c r="G991">
        <v>6.1</v>
      </c>
      <c r="I991">
        <v>4</v>
      </c>
      <c r="J991" t="s">
        <v>18</v>
      </c>
      <c r="K991" t="str">
        <f t="shared" si="58"/>
        <v/>
      </c>
      <c r="L991" t="s">
        <v>16</v>
      </c>
      <c r="M991">
        <v>4</v>
      </c>
      <c r="T991">
        <f t="shared" si="59"/>
        <v>20</v>
      </c>
      <c r="U991" t="s">
        <v>3773</v>
      </c>
      <c r="V991" s="4" t="s">
        <v>3764</v>
      </c>
      <c r="W991">
        <v>990</v>
      </c>
      <c r="Y991">
        <f t="shared" si="60"/>
        <v>0</v>
      </c>
      <c r="Z991">
        <f t="shared" si="61"/>
        <v>0</v>
      </c>
    </row>
    <row r="992" spans="1:26" x14ac:dyDescent="0.25">
      <c r="A992" s="4">
        <v>5057</v>
      </c>
      <c r="B992" t="s">
        <v>42</v>
      </c>
      <c r="C992">
        <v>6</v>
      </c>
      <c r="D992">
        <v>1</v>
      </c>
      <c r="E992">
        <v>9</v>
      </c>
      <c r="F992" t="s">
        <v>14</v>
      </c>
      <c r="G992">
        <v>6.1</v>
      </c>
      <c r="I992">
        <v>4</v>
      </c>
      <c r="J992" t="s">
        <v>18</v>
      </c>
      <c r="K992" t="str">
        <f t="shared" si="58"/>
        <v/>
      </c>
      <c r="L992" t="s">
        <v>16</v>
      </c>
      <c r="M992">
        <v>4</v>
      </c>
      <c r="T992">
        <f t="shared" si="59"/>
        <v>20</v>
      </c>
      <c r="U992" t="s">
        <v>3776</v>
      </c>
      <c r="V992" s="4" t="s">
        <v>3764</v>
      </c>
      <c r="W992">
        <v>991</v>
      </c>
      <c r="Y992">
        <f t="shared" si="60"/>
        <v>0</v>
      </c>
      <c r="Z992">
        <f t="shared" si="61"/>
        <v>0</v>
      </c>
    </row>
    <row r="993" spans="1:26" x14ac:dyDescent="0.25">
      <c r="A993" s="4">
        <v>5057</v>
      </c>
      <c r="B993" t="s">
        <v>42</v>
      </c>
      <c r="C993">
        <v>6</v>
      </c>
      <c r="D993">
        <v>1</v>
      </c>
      <c r="E993">
        <v>16</v>
      </c>
      <c r="F993" t="s">
        <v>14</v>
      </c>
      <c r="G993">
        <v>7</v>
      </c>
      <c r="I993">
        <v>4</v>
      </c>
      <c r="J993" t="s">
        <v>15</v>
      </c>
      <c r="K993" t="str">
        <f t="shared" si="58"/>
        <v/>
      </c>
      <c r="L993" t="s">
        <v>16</v>
      </c>
      <c r="M993">
        <v>4</v>
      </c>
      <c r="T993">
        <f t="shared" si="59"/>
        <v>20</v>
      </c>
      <c r="U993" t="s">
        <v>3778</v>
      </c>
      <c r="V993" s="4" t="s">
        <v>3764</v>
      </c>
      <c r="W993">
        <v>992</v>
      </c>
      <c r="Y993">
        <f t="shared" si="60"/>
        <v>0</v>
      </c>
      <c r="Z993">
        <f t="shared" si="61"/>
        <v>0</v>
      </c>
    </row>
    <row r="994" spans="1:26" x14ac:dyDescent="0.25">
      <c r="A994" s="4">
        <v>5057</v>
      </c>
      <c r="B994" t="s">
        <v>42</v>
      </c>
      <c r="C994">
        <v>6</v>
      </c>
      <c r="D994">
        <v>1</v>
      </c>
      <c r="E994">
        <v>15</v>
      </c>
      <c r="F994" t="s">
        <v>14</v>
      </c>
      <c r="G994">
        <v>7</v>
      </c>
      <c r="I994">
        <v>4</v>
      </c>
      <c r="J994" t="s">
        <v>15</v>
      </c>
      <c r="K994" t="str">
        <f t="shared" si="58"/>
        <v/>
      </c>
      <c r="L994" t="s">
        <v>16</v>
      </c>
      <c r="M994">
        <v>4</v>
      </c>
      <c r="T994">
        <f t="shared" si="59"/>
        <v>20</v>
      </c>
      <c r="U994" t="s">
        <v>3780</v>
      </c>
      <c r="V994" s="4" t="s">
        <v>3764</v>
      </c>
      <c r="W994">
        <v>993</v>
      </c>
      <c r="Y994">
        <f t="shared" si="60"/>
        <v>0</v>
      </c>
      <c r="Z994">
        <f t="shared" si="61"/>
        <v>0</v>
      </c>
    </row>
    <row r="995" spans="1:26" x14ac:dyDescent="0.25">
      <c r="A995" s="4">
        <v>5057</v>
      </c>
      <c r="B995" t="s">
        <v>42</v>
      </c>
      <c r="C995">
        <v>6</v>
      </c>
      <c r="D995">
        <v>1</v>
      </c>
      <c r="E995">
        <v>14</v>
      </c>
      <c r="F995" t="s">
        <v>14</v>
      </c>
      <c r="G995">
        <v>7</v>
      </c>
      <c r="I995">
        <v>4</v>
      </c>
      <c r="J995" t="s">
        <v>15</v>
      </c>
      <c r="K995" t="str">
        <f t="shared" si="58"/>
        <v/>
      </c>
      <c r="L995" t="s">
        <v>16</v>
      </c>
      <c r="M995">
        <v>4</v>
      </c>
      <c r="T995">
        <f t="shared" si="59"/>
        <v>20</v>
      </c>
      <c r="U995" t="s">
        <v>3782</v>
      </c>
      <c r="V995" s="4" t="s">
        <v>3764</v>
      </c>
      <c r="W995">
        <v>994</v>
      </c>
      <c r="Y995">
        <f t="shared" si="60"/>
        <v>0</v>
      </c>
      <c r="Z995">
        <f t="shared" si="61"/>
        <v>0</v>
      </c>
    </row>
    <row r="996" spans="1:26" x14ac:dyDescent="0.25">
      <c r="A996" s="4">
        <v>5057</v>
      </c>
      <c r="B996" t="s">
        <v>42</v>
      </c>
      <c r="C996">
        <v>6</v>
      </c>
      <c r="D996">
        <v>1</v>
      </c>
      <c r="E996">
        <v>13</v>
      </c>
      <c r="F996" t="s">
        <v>14</v>
      </c>
      <c r="G996">
        <v>7</v>
      </c>
      <c r="I996">
        <v>4</v>
      </c>
      <c r="J996" t="s">
        <v>15</v>
      </c>
      <c r="K996" t="str">
        <f t="shared" si="58"/>
        <v/>
      </c>
      <c r="L996" t="s">
        <v>16</v>
      </c>
      <c r="M996">
        <v>4</v>
      </c>
      <c r="T996">
        <f t="shared" si="59"/>
        <v>20</v>
      </c>
      <c r="U996" t="s">
        <v>3788</v>
      </c>
      <c r="V996" s="4" t="s">
        <v>3764</v>
      </c>
      <c r="W996">
        <v>995</v>
      </c>
      <c r="Y996">
        <f t="shared" si="60"/>
        <v>0</v>
      </c>
      <c r="Z996">
        <f t="shared" si="61"/>
        <v>0</v>
      </c>
    </row>
    <row r="997" spans="1:26" x14ac:dyDescent="0.25">
      <c r="A997" s="4">
        <v>5057</v>
      </c>
      <c r="B997" t="s">
        <v>42</v>
      </c>
      <c r="C997">
        <v>6</v>
      </c>
      <c r="D997">
        <v>1</v>
      </c>
      <c r="E997">
        <v>16</v>
      </c>
      <c r="F997" t="s">
        <v>14</v>
      </c>
      <c r="G997">
        <v>7</v>
      </c>
      <c r="I997">
        <v>4</v>
      </c>
      <c r="J997" t="s">
        <v>18</v>
      </c>
      <c r="K997" t="str">
        <f t="shared" si="58"/>
        <v/>
      </c>
      <c r="L997" t="s">
        <v>16</v>
      </c>
      <c r="M997">
        <v>5</v>
      </c>
      <c r="T997">
        <f t="shared" si="59"/>
        <v>20</v>
      </c>
      <c r="U997" t="s">
        <v>3789</v>
      </c>
      <c r="V997" s="4" t="s">
        <v>3764</v>
      </c>
      <c r="W997">
        <v>996</v>
      </c>
      <c r="Y997">
        <f t="shared" si="60"/>
        <v>0</v>
      </c>
      <c r="Z997">
        <f t="shared" si="61"/>
        <v>0</v>
      </c>
    </row>
    <row r="998" spans="1:26" x14ac:dyDescent="0.25">
      <c r="A998" s="4">
        <v>5057</v>
      </c>
      <c r="B998" t="s">
        <v>42</v>
      </c>
      <c r="C998">
        <v>6</v>
      </c>
      <c r="D998">
        <v>1</v>
      </c>
      <c r="E998">
        <v>15</v>
      </c>
      <c r="F998" t="s">
        <v>14</v>
      </c>
      <c r="G998">
        <v>7</v>
      </c>
      <c r="I998">
        <v>4</v>
      </c>
      <c r="J998" t="s">
        <v>18</v>
      </c>
      <c r="K998" t="str">
        <f t="shared" si="58"/>
        <v/>
      </c>
      <c r="L998" t="s">
        <v>16</v>
      </c>
      <c r="M998">
        <v>5</v>
      </c>
      <c r="T998">
        <f t="shared" si="59"/>
        <v>20</v>
      </c>
      <c r="U998" t="s">
        <v>3792</v>
      </c>
      <c r="V998" s="4" t="s">
        <v>3764</v>
      </c>
      <c r="W998">
        <v>997</v>
      </c>
      <c r="Y998">
        <f t="shared" si="60"/>
        <v>0</v>
      </c>
      <c r="Z998">
        <f t="shared" si="61"/>
        <v>0</v>
      </c>
    </row>
    <row r="999" spans="1:26" x14ac:dyDescent="0.25">
      <c r="A999" s="4">
        <v>5057</v>
      </c>
      <c r="B999" t="s">
        <v>42</v>
      </c>
      <c r="C999">
        <v>6</v>
      </c>
      <c r="D999">
        <v>1</v>
      </c>
      <c r="E999">
        <v>14</v>
      </c>
      <c r="F999" t="s">
        <v>14</v>
      </c>
      <c r="G999">
        <v>7</v>
      </c>
      <c r="I999">
        <v>4</v>
      </c>
      <c r="J999" t="s">
        <v>18</v>
      </c>
      <c r="K999" t="str">
        <f t="shared" si="58"/>
        <v/>
      </c>
      <c r="L999" t="s">
        <v>16</v>
      </c>
      <c r="M999">
        <v>5</v>
      </c>
      <c r="T999">
        <f t="shared" si="59"/>
        <v>20</v>
      </c>
      <c r="U999" t="s">
        <v>3795</v>
      </c>
      <c r="V999" s="4" t="s">
        <v>3764</v>
      </c>
      <c r="W999">
        <v>998</v>
      </c>
      <c r="Y999">
        <f t="shared" si="60"/>
        <v>0</v>
      </c>
      <c r="Z999">
        <f t="shared" si="61"/>
        <v>0</v>
      </c>
    </row>
    <row r="1000" spans="1:26" x14ac:dyDescent="0.25">
      <c r="A1000" s="4">
        <v>5057</v>
      </c>
      <c r="B1000" t="s">
        <v>42</v>
      </c>
      <c r="C1000">
        <v>6</v>
      </c>
      <c r="D1000">
        <v>1</v>
      </c>
      <c r="E1000">
        <v>13</v>
      </c>
      <c r="F1000" t="s">
        <v>14</v>
      </c>
      <c r="G1000">
        <v>7</v>
      </c>
      <c r="I1000">
        <v>4</v>
      </c>
      <c r="J1000" t="s">
        <v>18</v>
      </c>
      <c r="K1000" t="str">
        <f t="shared" si="58"/>
        <v/>
      </c>
      <c r="L1000" t="s">
        <v>16</v>
      </c>
      <c r="M1000">
        <v>5</v>
      </c>
      <c r="T1000">
        <f t="shared" si="59"/>
        <v>20</v>
      </c>
      <c r="U1000" t="s">
        <v>3798</v>
      </c>
      <c r="V1000" s="4" t="s">
        <v>3764</v>
      </c>
      <c r="W1000">
        <v>999</v>
      </c>
      <c r="Y1000">
        <f t="shared" si="60"/>
        <v>0</v>
      </c>
      <c r="Z1000">
        <f t="shared" si="61"/>
        <v>0</v>
      </c>
    </row>
    <row r="1001" spans="1:26" x14ac:dyDescent="0.25">
      <c r="A1001" s="4">
        <v>5058</v>
      </c>
      <c r="B1001" t="s">
        <v>40</v>
      </c>
      <c r="C1001">
        <v>6</v>
      </c>
      <c r="D1001">
        <v>1</v>
      </c>
      <c r="E1001">
        <v>8</v>
      </c>
      <c r="F1001" t="s">
        <v>14</v>
      </c>
      <c r="G1001">
        <v>6.2</v>
      </c>
      <c r="I1001">
        <v>4</v>
      </c>
      <c r="J1001" t="s">
        <v>15</v>
      </c>
      <c r="K1001" t="str">
        <f t="shared" si="58"/>
        <v/>
      </c>
      <c r="L1001" t="s">
        <v>16</v>
      </c>
      <c r="M1001">
        <v>7</v>
      </c>
      <c r="T1001">
        <f t="shared" si="59"/>
        <v>20</v>
      </c>
      <c r="U1001" t="s">
        <v>3801</v>
      </c>
      <c r="V1001" s="4" t="s">
        <v>3802</v>
      </c>
      <c r="W1001">
        <v>1000</v>
      </c>
      <c r="Y1001">
        <f t="shared" si="60"/>
        <v>0</v>
      </c>
      <c r="Z1001">
        <f t="shared" si="61"/>
        <v>0</v>
      </c>
    </row>
    <row r="1002" spans="1:26" x14ac:dyDescent="0.25">
      <c r="A1002" s="4">
        <v>5058</v>
      </c>
      <c r="B1002" t="s">
        <v>40</v>
      </c>
      <c r="C1002">
        <v>6</v>
      </c>
      <c r="D1002">
        <v>1</v>
      </c>
      <c r="E1002">
        <v>7</v>
      </c>
      <c r="F1002" t="s">
        <v>14</v>
      </c>
      <c r="G1002">
        <v>6.2</v>
      </c>
      <c r="I1002">
        <v>4</v>
      </c>
      <c r="J1002" t="s">
        <v>15</v>
      </c>
      <c r="K1002" t="str">
        <f t="shared" si="58"/>
        <v/>
      </c>
      <c r="L1002" t="s">
        <v>16</v>
      </c>
      <c r="M1002">
        <v>7</v>
      </c>
      <c r="T1002">
        <f t="shared" si="59"/>
        <v>20</v>
      </c>
      <c r="U1002" t="s">
        <v>3806</v>
      </c>
      <c r="V1002" s="4" t="s">
        <v>3802</v>
      </c>
      <c r="W1002">
        <v>1001</v>
      </c>
      <c r="Y1002">
        <f t="shared" si="60"/>
        <v>0</v>
      </c>
      <c r="Z1002">
        <f t="shared" si="61"/>
        <v>0</v>
      </c>
    </row>
    <row r="1003" spans="1:26" x14ac:dyDescent="0.25">
      <c r="A1003" s="4">
        <v>5058</v>
      </c>
      <c r="B1003" t="s">
        <v>40</v>
      </c>
      <c r="C1003">
        <v>6</v>
      </c>
      <c r="D1003">
        <v>1</v>
      </c>
      <c r="E1003">
        <v>6</v>
      </c>
      <c r="F1003" t="s">
        <v>14</v>
      </c>
      <c r="G1003">
        <v>6.2</v>
      </c>
      <c r="I1003">
        <v>4</v>
      </c>
      <c r="J1003" t="s">
        <v>15</v>
      </c>
      <c r="K1003" t="str">
        <f t="shared" si="58"/>
        <v/>
      </c>
      <c r="L1003" t="s">
        <v>16</v>
      </c>
      <c r="M1003">
        <v>7</v>
      </c>
      <c r="T1003">
        <f t="shared" si="59"/>
        <v>20</v>
      </c>
      <c r="U1003" t="s">
        <v>3809</v>
      </c>
      <c r="V1003" s="4" t="s">
        <v>3802</v>
      </c>
      <c r="W1003">
        <v>1002</v>
      </c>
      <c r="Y1003">
        <f t="shared" si="60"/>
        <v>0</v>
      </c>
      <c r="Z1003">
        <f t="shared" si="61"/>
        <v>0</v>
      </c>
    </row>
    <row r="1004" spans="1:26" x14ac:dyDescent="0.25">
      <c r="A1004" s="4">
        <v>5058</v>
      </c>
      <c r="B1004" t="s">
        <v>40</v>
      </c>
      <c r="C1004">
        <v>6</v>
      </c>
      <c r="D1004">
        <v>1</v>
      </c>
      <c r="E1004">
        <v>5</v>
      </c>
      <c r="F1004" t="s">
        <v>14</v>
      </c>
      <c r="G1004">
        <v>6.2</v>
      </c>
      <c r="I1004">
        <v>4</v>
      </c>
      <c r="J1004" t="s">
        <v>15</v>
      </c>
      <c r="K1004" t="str">
        <f t="shared" si="58"/>
        <v/>
      </c>
      <c r="L1004" t="s">
        <v>16</v>
      </c>
      <c r="M1004">
        <v>7</v>
      </c>
      <c r="T1004">
        <f t="shared" si="59"/>
        <v>20</v>
      </c>
      <c r="U1004" t="s">
        <v>3814</v>
      </c>
      <c r="V1004" s="4" t="s">
        <v>3802</v>
      </c>
      <c r="W1004">
        <v>1003</v>
      </c>
      <c r="Y1004">
        <f t="shared" si="60"/>
        <v>0</v>
      </c>
      <c r="Z1004">
        <f t="shared" si="61"/>
        <v>0</v>
      </c>
    </row>
    <row r="1005" spans="1:26" x14ac:dyDescent="0.25">
      <c r="A1005" s="4">
        <v>5058</v>
      </c>
      <c r="B1005" t="s">
        <v>40</v>
      </c>
      <c r="C1005">
        <v>6</v>
      </c>
      <c r="D1005">
        <v>1</v>
      </c>
      <c r="E1005">
        <v>8</v>
      </c>
      <c r="F1005" t="s">
        <v>14</v>
      </c>
      <c r="G1005">
        <v>6.2</v>
      </c>
      <c r="I1005">
        <v>4</v>
      </c>
      <c r="J1005" t="s">
        <v>18</v>
      </c>
      <c r="K1005" t="str">
        <f t="shared" si="58"/>
        <v/>
      </c>
      <c r="L1005" t="s">
        <v>16</v>
      </c>
      <c r="M1005">
        <v>7</v>
      </c>
      <c r="T1005">
        <f t="shared" si="59"/>
        <v>20</v>
      </c>
      <c r="U1005" t="s">
        <v>3817</v>
      </c>
      <c r="V1005" s="4" t="s">
        <v>3818</v>
      </c>
      <c r="W1005">
        <v>1004</v>
      </c>
      <c r="Y1005">
        <f t="shared" si="60"/>
        <v>0</v>
      </c>
      <c r="Z1005">
        <f t="shared" si="61"/>
        <v>0</v>
      </c>
    </row>
    <row r="1006" spans="1:26" x14ac:dyDescent="0.25">
      <c r="A1006" s="4">
        <v>5058</v>
      </c>
      <c r="B1006" t="s">
        <v>40</v>
      </c>
      <c r="C1006">
        <v>6</v>
      </c>
      <c r="D1006">
        <v>1</v>
      </c>
      <c r="E1006">
        <v>7</v>
      </c>
      <c r="F1006" t="s">
        <v>14</v>
      </c>
      <c r="G1006">
        <v>6.2</v>
      </c>
      <c r="I1006">
        <v>4</v>
      </c>
      <c r="J1006" t="s">
        <v>18</v>
      </c>
      <c r="K1006" t="str">
        <f t="shared" si="58"/>
        <v/>
      </c>
      <c r="L1006" t="s">
        <v>16</v>
      </c>
      <c r="M1006">
        <v>7</v>
      </c>
      <c r="T1006">
        <f t="shared" si="59"/>
        <v>20</v>
      </c>
      <c r="U1006" t="s">
        <v>3823</v>
      </c>
      <c r="V1006" s="4" t="s">
        <v>3818</v>
      </c>
      <c r="W1006">
        <v>1005</v>
      </c>
      <c r="Y1006">
        <f t="shared" si="60"/>
        <v>0</v>
      </c>
      <c r="Z1006">
        <f t="shared" si="61"/>
        <v>0</v>
      </c>
    </row>
    <row r="1007" spans="1:26" x14ac:dyDescent="0.25">
      <c r="A1007" s="4">
        <v>5058</v>
      </c>
      <c r="B1007" t="s">
        <v>40</v>
      </c>
      <c r="C1007">
        <v>6</v>
      </c>
      <c r="D1007">
        <v>1</v>
      </c>
      <c r="E1007">
        <v>6</v>
      </c>
      <c r="F1007" t="s">
        <v>14</v>
      </c>
      <c r="G1007">
        <v>6.2</v>
      </c>
      <c r="I1007">
        <v>4</v>
      </c>
      <c r="J1007" t="s">
        <v>18</v>
      </c>
      <c r="K1007" t="str">
        <f t="shared" si="58"/>
        <v/>
      </c>
      <c r="L1007" t="s">
        <v>16</v>
      </c>
      <c r="M1007">
        <v>7</v>
      </c>
      <c r="T1007">
        <f t="shared" si="59"/>
        <v>20</v>
      </c>
      <c r="U1007" t="s">
        <v>3826</v>
      </c>
      <c r="V1007" s="4" t="s">
        <v>3818</v>
      </c>
      <c r="W1007">
        <v>1006</v>
      </c>
      <c r="Y1007">
        <f t="shared" si="60"/>
        <v>0</v>
      </c>
      <c r="Z1007">
        <f t="shared" si="61"/>
        <v>0</v>
      </c>
    </row>
    <row r="1008" spans="1:26" x14ac:dyDescent="0.25">
      <c r="A1008" s="4">
        <v>5058</v>
      </c>
      <c r="B1008" t="s">
        <v>40</v>
      </c>
      <c r="C1008">
        <v>6</v>
      </c>
      <c r="D1008">
        <v>1</v>
      </c>
      <c r="E1008">
        <v>5</v>
      </c>
      <c r="F1008" t="s">
        <v>14</v>
      </c>
      <c r="G1008">
        <v>6.2</v>
      </c>
      <c r="I1008">
        <v>4</v>
      </c>
      <c r="J1008" t="s">
        <v>18</v>
      </c>
      <c r="K1008" t="str">
        <f t="shared" si="58"/>
        <v/>
      </c>
      <c r="L1008" t="s">
        <v>16</v>
      </c>
      <c r="M1008">
        <v>7</v>
      </c>
      <c r="T1008">
        <f t="shared" si="59"/>
        <v>20</v>
      </c>
      <c r="U1008" t="s">
        <v>3829</v>
      </c>
      <c r="V1008" s="4" t="s">
        <v>3818</v>
      </c>
      <c r="W1008">
        <v>1007</v>
      </c>
      <c r="Y1008">
        <f t="shared" si="60"/>
        <v>0</v>
      </c>
      <c r="Z1008">
        <f t="shared" si="61"/>
        <v>0</v>
      </c>
    </row>
    <row r="1009" spans="1:26" x14ac:dyDescent="0.25">
      <c r="A1009" s="4">
        <v>5058</v>
      </c>
      <c r="B1009" t="s">
        <v>40</v>
      </c>
      <c r="C1009">
        <v>6</v>
      </c>
      <c r="D1009">
        <v>1</v>
      </c>
      <c r="E1009">
        <v>12</v>
      </c>
      <c r="F1009" t="s">
        <v>14</v>
      </c>
      <c r="G1009">
        <v>7</v>
      </c>
      <c r="I1009">
        <v>4</v>
      </c>
      <c r="J1009" t="s">
        <v>15</v>
      </c>
      <c r="K1009" t="str">
        <f t="shared" si="58"/>
        <v/>
      </c>
      <c r="L1009" t="s">
        <v>16</v>
      </c>
      <c r="M1009">
        <v>3</v>
      </c>
      <c r="T1009">
        <f t="shared" si="59"/>
        <v>20</v>
      </c>
      <c r="U1009" t="s">
        <v>3831</v>
      </c>
      <c r="V1009" s="4" t="s">
        <v>3832</v>
      </c>
      <c r="W1009">
        <v>1008</v>
      </c>
      <c r="Y1009">
        <f t="shared" si="60"/>
        <v>0</v>
      </c>
      <c r="Z1009">
        <f t="shared" si="61"/>
        <v>0</v>
      </c>
    </row>
    <row r="1010" spans="1:26" x14ac:dyDescent="0.25">
      <c r="A1010" s="4">
        <v>5058</v>
      </c>
      <c r="B1010" t="s">
        <v>40</v>
      </c>
      <c r="C1010">
        <v>6</v>
      </c>
      <c r="D1010">
        <v>1</v>
      </c>
      <c r="E1010">
        <v>11</v>
      </c>
      <c r="F1010" t="s">
        <v>14</v>
      </c>
      <c r="G1010">
        <v>7</v>
      </c>
      <c r="I1010">
        <v>4</v>
      </c>
      <c r="J1010" t="s">
        <v>15</v>
      </c>
      <c r="K1010" t="str">
        <f t="shared" si="58"/>
        <v/>
      </c>
      <c r="L1010" t="s">
        <v>16</v>
      </c>
      <c r="M1010">
        <v>3</v>
      </c>
      <c r="T1010">
        <f t="shared" si="59"/>
        <v>20</v>
      </c>
      <c r="U1010" t="s">
        <v>3838</v>
      </c>
      <c r="V1010" s="4" t="s">
        <v>3832</v>
      </c>
      <c r="W1010">
        <v>1009</v>
      </c>
      <c r="Y1010">
        <f t="shared" si="60"/>
        <v>0</v>
      </c>
      <c r="Z1010">
        <f t="shared" si="61"/>
        <v>0</v>
      </c>
    </row>
    <row r="1011" spans="1:26" x14ac:dyDescent="0.25">
      <c r="A1011" s="4">
        <v>5058</v>
      </c>
      <c r="B1011" t="s">
        <v>40</v>
      </c>
      <c r="C1011">
        <v>6</v>
      </c>
      <c r="D1011">
        <v>1</v>
      </c>
      <c r="E1011">
        <v>10</v>
      </c>
      <c r="F1011" t="s">
        <v>14</v>
      </c>
      <c r="G1011">
        <v>7</v>
      </c>
      <c r="I1011">
        <v>4</v>
      </c>
      <c r="J1011" t="s">
        <v>15</v>
      </c>
      <c r="K1011" t="str">
        <f t="shared" si="58"/>
        <v/>
      </c>
      <c r="L1011" t="s">
        <v>16</v>
      </c>
      <c r="M1011">
        <v>3</v>
      </c>
      <c r="T1011">
        <f t="shared" si="59"/>
        <v>20</v>
      </c>
      <c r="U1011" t="s">
        <v>3839</v>
      </c>
      <c r="V1011" s="4" t="s">
        <v>3832</v>
      </c>
      <c r="W1011">
        <v>1010</v>
      </c>
      <c r="Y1011">
        <f t="shared" si="60"/>
        <v>0</v>
      </c>
      <c r="Z1011">
        <f t="shared" si="61"/>
        <v>0</v>
      </c>
    </row>
    <row r="1012" spans="1:26" x14ac:dyDescent="0.25">
      <c r="A1012" s="4">
        <v>5058</v>
      </c>
      <c r="B1012" t="s">
        <v>40</v>
      </c>
      <c r="C1012">
        <v>6</v>
      </c>
      <c r="D1012">
        <v>1</v>
      </c>
      <c r="E1012">
        <v>9</v>
      </c>
      <c r="F1012" t="s">
        <v>14</v>
      </c>
      <c r="G1012">
        <v>7</v>
      </c>
      <c r="I1012">
        <v>4</v>
      </c>
      <c r="J1012" t="s">
        <v>15</v>
      </c>
      <c r="K1012" t="str">
        <f t="shared" si="58"/>
        <v/>
      </c>
      <c r="L1012" t="s">
        <v>16</v>
      </c>
      <c r="M1012">
        <v>3</v>
      </c>
      <c r="T1012">
        <f t="shared" si="59"/>
        <v>20</v>
      </c>
      <c r="U1012" t="s">
        <v>3842</v>
      </c>
      <c r="V1012" s="4" t="s">
        <v>3832</v>
      </c>
      <c r="W1012">
        <v>1011</v>
      </c>
      <c r="Y1012">
        <f t="shared" si="60"/>
        <v>0</v>
      </c>
      <c r="Z1012">
        <f t="shared" si="61"/>
        <v>0</v>
      </c>
    </row>
    <row r="1013" spans="1:26" x14ac:dyDescent="0.25">
      <c r="A1013" s="4">
        <v>5058</v>
      </c>
      <c r="B1013" t="s">
        <v>40</v>
      </c>
      <c r="C1013">
        <v>6</v>
      </c>
      <c r="D1013">
        <v>1</v>
      </c>
      <c r="E1013">
        <v>16</v>
      </c>
      <c r="F1013" t="s">
        <v>14</v>
      </c>
      <c r="G1013">
        <v>7.9</v>
      </c>
      <c r="I1013">
        <v>4</v>
      </c>
      <c r="J1013" t="s">
        <v>18</v>
      </c>
      <c r="K1013" t="str">
        <f t="shared" si="58"/>
        <v/>
      </c>
      <c r="L1013" t="s">
        <v>16</v>
      </c>
      <c r="M1013">
        <v>3</v>
      </c>
      <c r="T1013">
        <f t="shared" si="59"/>
        <v>20</v>
      </c>
      <c r="U1013" t="s">
        <v>3845</v>
      </c>
      <c r="V1013" s="4" t="s">
        <v>3832</v>
      </c>
      <c r="W1013">
        <v>1012</v>
      </c>
      <c r="Y1013">
        <f t="shared" si="60"/>
        <v>0</v>
      </c>
      <c r="Z1013">
        <f t="shared" si="61"/>
        <v>0</v>
      </c>
    </row>
    <row r="1014" spans="1:26" x14ac:dyDescent="0.25">
      <c r="A1014" s="4">
        <v>5058</v>
      </c>
      <c r="B1014" t="s">
        <v>40</v>
      </c>
      <c r="C1014">
        <v>6</v>
      </c>
      <c r="D1014">
        <v>1</v>
      </c>
      <c r="E1014">
        <v>15</v>
      </c>
      <c r="F1014" t="s">
        <v>14</v>
      </c>
      <c r="G1014">
        <v>7.9</v>
      </c>
      <c r="I1014">
        <v>4</v>
      </c>
      <c r="J1014" t="s">
        <v>18</v>
      </c>
      <c r="K1014" t="str">
        <f t="shared" si="58"/>
        <v/>
      </c>
      <c r="L1014" t="s">
        <v>16</v>
      </c>
      <c r="M1014">
        <v>3</v>
      </c>
      <c r="T1014">
        <f t="shared" si="59"/>
        <v>20</v>
      </c>
      <c r="U1014" t="s">
        <v>3848</v>
      </c>
      <c r="V1014" s="4" t="s">
        <v>3832</v>
      </c>
      <c r="W1014">
        <v>1013</v>
      </c>
      <c r="Y1014">
        <f t="shared" si="60"/>
        <v>0</v>
      </c>
      <c r="Z1014">
        <f t="shared" si="61"/>
        <v>0</v>
      </c>
    </row>
    <row r="1015" spans="1:26" x14ac:dyDescent="0.25">
      <c r="A1015" s="4">
        <v>5058</v>
      </c>
      <c r="B1015" t="s">
        <v>40</v>
      </c>
      <c r="C1015">
        <v>6</v>
      </c>
      <c r="D1015">
        <v>1</v>
      </c>
      <c r="E1015">
        <v>14</v>
      </c>
      <c r="F1015" t="s">
        <v>14</v>
      </c>
      <c r="G1015">
        <v>7.9</v>
      </c>
      <c r="I1015">
        <v>4</v>
      </c>
      <c r="J1015" t="s">
        <v>18</v>
      </c>
      <c r="K1015" t="str">
        <f t="shared" si="58"/>
        <v/>
      </c>
      <c r="L1015" t="s">
        <v>16</v>
      </c>
      <c r="M1015">
        <v>3</v>
      </c>
      <c r="T1015">
        <f t="shared" si="59"/>
        <v>20</v>
      </c>
      <c r="U1015" t="s">
        <v>3851</v>
      </c>
      <c r="V1015" s="4" t="s">
        <v>3832</v>
      </c>
      <c r="W1015">
        <v>1014</v>
      </c>
      <c r="Y1015">
        <f t="shared" si="60"/>
        <v>0</v>
      </c>
      <c r="Z1015">
        <f t="shared" si="61"/>
        <v>0</v>
      </c>
    </row>
    <row r="1016" spans="1:26" x14ac:dyDescent="0.25">
      <c r="A1016" s="4">
        <v>5058</v>
      </c>
      <c r="B1016" t="s">
        <v>40</v>
      </c>
      <c r="C1016">
        <v>6</v>
      </c>
      <c r="D1016">
        <v>1</v>
      </c>
      <c r="E1016">
        <v>13</v>
      </c>
      <c r="F1016" t="s">
        <v>14</v>
      </c>
      <c r="G1016">
        <v>7.9</v>
      </c>
      <c r="I1016">
        <v>4</v>
      </c>
      <c r="J1016" t="s">
        <v>18</v>
      </c>
      <c r="K1016" t="str">
        <f t="shared" si="58"/>
        <v/>
      </c>
      <c r="L1016" t="s">
        <v>16</v>
      </c>
      <c r="M1016">
        <v>3</v>
      </c>
      <c r="T1016">
        <f t="shared" si="59"/>
        <v>20</v>
      </c>
      <c r="U1016" t="s">
        <v>3853</v>
      </c>
      <c r="V1016" s="4" t="s">
        <v>3832</v>
      </c>
      <c r="W1016">
        <v>1015</v>
      </c>
      <c r="Y1016">
        <f t="shared" si="60"/>
        <v>0</v>
      </c>
      <c r="Z1016">
        <f t="shared" si="61"/>
        <v>0</v>
      </c>
    </row>
    <row r="1017" spans="1:26" x14ac:dyDescent="0.25">
      <c r="A1017" s="4">
        <v>5091</v>
      </c>
      <c r="B1017" t="s">
        <v>40</v>
      </c>
      <c r="C1017">
        <v>6</v>
      </c>
      <c r="D1017">
        <v>1</v>
      </c>
      <c r="E1017">
        <v>8</v>
      </c>
      <c r="F1017" t="s">
        <v>14</v>
      </c>
      <c r="G1017">
        <v>5</v>
      </c>
      <c r="I1017">
        <v>4</v>
      </c>
      <c r="J1017" t="s">
        <v>18</v>
      </c>
      <c r="K1017" t="str">
        <f t="shared" si="58"/>
        <v/>
      </c>
      <c r="L1017" t="s">
        <v>16</v>
      </c>
      <c r="M1017">
        <v>3</v>
      </c>
      <c r="T1017">
        <f t="shared" si="59"/>
        <v>20</v>
      </c>
      <c r="U1017" t="s">
        <v>3856</v>
      </c>
      <c r="V1017" s="4" t="s">
        <v>3832</v>
      </c>
      <c r="W1017">
        <v>1016</v>
      </c>
      <c r="Y1017">
        <f t="shared" si="60"/>
        <v>0</v>
      </c>
      <c r="Z1017">
        <f t="shared" si="61"/>
        <v>0</v>
      </c>
    </row>
    <row r="1018" spans="1:26" x14ac:dyDescent="0.25">
      <c r="A1018" s="4">
        <v>5091</v>
      </c>
      <c r="B1018" t="s">
        <v>40</v>
      </c>
      <c r="C1018">
        <v>6</v>
      </c>
      <c r="D1018">
        <v>1</v>
      </c>
      <c r="E1018">
        <v>7</v>
      </c>
      <c r="F1018" t="s">
        <v>14</v>
      </c>
      <c r="G1018">
        <v>5</v>
      </c>
      <c r="I1018">
        <v>4</v>
      </c>
      <c r="J1018" t="s">
        <v>18</v>
      </c>
      <c r="K1018" t="str">
        <f t="shared" si="58"/>
        <v/>
      </c>
      <c r="L1018" t="s">
        <v>16</v>
      </c>
      <c r="M1018">
        <v>3</v>
      </c>
      <c r="T1018">
        <f t="shared" si="59"/>
        <v>20</v>
      </c>
      <c r="U1018" t="s">
        <v>3859</v>
      </c>
      <c r="V1018" s="4" t="s">
        <v>3860</v>
      </c>
      <c r="W1018">
        <v>1017</v>
      </c>
      <c r="Y1018">
        <f t="shared" si="60"/>
        <v>0</v>
      </c>
      <c r="Z1018">
        <f t="shared" si="61"/>
        <v>0</v>
      </c>
    </row>
    <row r="1019" spans="1:26" x14ac:dyDescent="0.25">
      <c r="A1019" s="4">
        <v>5091</v>
      </c>
      <c r="B1019" t="s">
        <v>40</v>
      </c>
      <c r="C1019">
        <v>6</v>
      </c>
      <c r="D1019">
        <v>1</v>
      </c>
      <c r="E1019">
        <v>6</v>
      </c>
      <c r="F1019" t="s">
        <v>14</v>
      </c>
      <c r="G1019">
        <v>5</v>
      </c>
      <c r="I1019">
        <v>4</v>
      </c>
      <c r="J1019" t="s">
        <v>18</v>
      </c>
      <c r="K1019" t="str">
        <f t="shared" si="58"/>
        <v/>
      </c>
      <c r="L1019" t="s">
        <v>16</v>
      </c>
      <c r="M1019">
        <v>3</v>
      </c>
      <c r="T1019">
        <f t="shared" si="59"/>
        <v>20</v>
      </c>
      <c r="U1019" t="s">
        <v>3864</v>
      </c>
      <c r="V1019" s="4" t="s">
        <v>3860</v>
      </c>
      <c r="W1019">
        <v>1018</v>
      </c>
      <c r="Y1019">
        <f t="shared" si="60"/>
        <v>0</v>
      </c>
      <c r="Z1019">
        <f t="shared" si="61"/>
        <v>0</v>
      </c>
    </row>
    <row r="1020" spans="1:26" x14ac:dyDescent="0.25">
      <c r="A1020" s="4">
        <v>5091</v>
      </c>
      <c r="B1020" t="s">
        <v>40</v>
      </c>
      <c r="C1020">
        <v>6</v>
      </c>
      <c r="D1020">
        <v>1</v>
      </c>
      <c r="E1020">
        <v>5</v>
      </c>
      <c r="F1020" t="s">
        <v>14</v>
      </c>
      <c r="G1020">
        <v>5</v>
      </c>
      <c r="I1020">
        <v>4</v>
      </c>
      <c r="J1020" t="s">
        <v>18</v>
      </c>
      <c r="K1020" t="str">
        <f t="shared" si="58"/>
        <v/>
      </c>
      <c r="L1020" t="s">
        <v>16</v>
      </c>
      <c r="M1020">
        <v>3</v>
      </c>
      <c r="T1020">
        <f t="shared" si="59"/>
        <v>20</v>
      </c>
      <c r="U1020" t="s">
        <v>3866</v>
      </c>
      <c r="V1020" s="4" t="s">
        <v>3860</v>
      </c>
      <c r="W1020">
        <v>1019</v>
      </c>
      <c r="Y1020">
        <f t="shared" si="60"/>
        <v>0</v>
      </c>
      <c r="Z1020">
        <f t="shared" si="61"/>
        <v>0</v>
      </c>
    </row>
    <row r="1021" spans="1:26" x14ac:dyDescent="0.25">
      <c r="A1021" s="4">
        <v>5091</v>
      </c>
      <c r="B1021" t="s">
        <v>40</v>
      </c>
      <c r="C1021">
        <v>6</v>
      </c>
      <c r="D1021">
        <v>1</v>
      </c>
      <c r="E1021">
        <v>12</v>
      </c>
      <c r="F1021" t="s">
        <v>14</v>
      </c>
      <c r="G1021">
        <v>5.4</v>
      </c>
      <c r="I1021">
        <v>4</v>
      </c>
      <c r="J1021" t="s">
        <v>18</v>
      </c>
      <c r="K1021" t="str">
        <f t="shared" si="58"/>
        <v/>
      </c>
      <c r="L1021" t="s">
        <v>16</v>
      </c>
      <c r="M1021">
        <v>2</v>
      </c>
      <c r="T1021">
        <f t="shared" si="59"/>
        <v>20</v>
      </c>
      <c r="U1021" t="s">
        <v>3868</v>
      </c>
      <c r="V1021" s="4" t="s">
        <v>3860</v>
      </c>
      <c r="W1021">
        <v>1020</v>
      </c>
      <c r="Y1021">
        <f t="shared" si="60"/>
        <v>0</v>
      </c>
      <c r="Z1021">
        <f t="shared" si="61"/>
        <v>0</v>
      </c>
    </row>
    <row r="1022" spans="1:26" x14ac:dyDescent="0.25">
      <c r="A1022" s="4">
        <v>5091</v>
      </c>
      <c r="B1022" t="s">
        <v>40</v>
      </c>
      <c r="C1022">
        <v>6</v>
      </c>
      <c r="D1022">
        <v>1</v>
      </c>
      <c r="E1022">
        <v>11</v>
      </c>
      <c r="F1022" t="s">
        <v>14</v>
      </c>
      <c r="G1022">
        <v>5.4</v>
      </c>
      <c r="I1022">
        <v>4</v>
      </c>
      <c r="J1022" t="s">
        <v>18</v>
      </c>
      <c r="K1022" t="str">
        <f t="shared" si="58"/>
        <v/>
      </c>
      <c r="L1022" t="s">
        <v>16</v>
      </c>
      <c r="M1022">
        <v>2</v>
      </c>
      <c r="T1022">
        <f t="shared" si="59"/>
        <v>20</v>
      </c>
      <c r="U1022" t="s">
        <v>3870</v>
      </c>
      <c r="V1022" s="4" t="s">
        <v>3871</v>
      </c>
      <c r="W1022">
        <v>1021</v>
      </c>
      <c r="Y1022">
        <f t="shared" si="60"/>
        <v>0</v>
      </c>
      <c r="Z1022">
        <f t="shared" si="61"/>
        <v>0</v>
      </c>
    </row>
    <row r="1023" spans="1:26" x14ac:dyDescent="0.25">
      <c r="A1023" s="4">
        <v>5091</v>
      </c>
      <c r="B1023" t="s">
        <v>40</v>
      </c>
      <c r="C1023">
        <v>6</v>
      </c>
      <c r="D1023">
        <v>1</v>
      </c>
      <c r="E1023">
        <v>10</v>
      </c>
      <c r="F1023" t="s">
        <v>14</v>
      </c>
      <c r="G1023">
        <v>5.4</v>
      </c>
      <c r="I1023">
        <v>4</v>
      </c>
      <c r="J1023" t="s">
        <v>18</v>
      </c>
      <c r="K1023" t="str">
        <f t="shared" si="58"/>
        <v/>
      </c>
      <c r="L1023" t="s">
        <v>16</v>
      </c>
      <c r="M1023">
        <v>2</v>
      </c>
      <c r="T1023">
        <f t="shared" si="59"/>
        <v>20</v>
      </c>
      <c r="U1023" t="s">
        <v>3877</v>
      </c>
      <c r="V1023" s="4" t="s">
        <v>3871</v>
      </c>
      <c r="W1023">
        <v>1022</v>
      </c>
      <c r="Y1023">
        <f t="shared" si="60"/>
        <v>0</v>
      </c>
      <c r="Z1023">
        <f t="shared" si="61"/>
        <v>0</v>
      </c>
    </row>
    <row r="1024" spans="1:26" x14ac:dyDescent="0.25">
      <c r="A1024" s="4">
        <v>5091</v>
      </c>
      <c r="B1024" t="s">
        <v>40</v>
      </c>
      <c r="C1024">
        <v>6</v>
      </c>
      <c r="D1024">
        <v>1</v>
      </c>
      <c r="E1024">
        <v>9</v>
      </c>
      <c r="F1024" t="s">
        <v>14</v>
      </c>
      <c r="G1024">
        <v>5.4</v>
      </c>
      <c r="I1024">
        <v>4</v>
      </c>
      <c r="J1024" t="s">
        <v>18</v>
      </c>
      <c r="K1024" t="str">
        <f t="shared" si="58"/>
        <v/>
      </c>
      <c r="L1024" t="s">
        <v>16</v>
      </c>
      <c r="M1024">
        <v>2</v>
      </c>
      <c r="T1024">
        <f t="shared" si="59"/>
        <v>20</v>
      </c>
      <c r="U1024" t="s">
        <v>3880</v>
      </c>
      <c r="V1024" s="4" t="s">
        <v>3871</v>
      </c>
      <c r="W1024">
        <v>1023</v>
      </c>
      <c r="Y1024">
        <f t="shared" si="60"/>
        <v>0</v>
      </c>
      <c r="Z1024">
        <f t="shared" si="61"/>
        <v>0</v>
      </c>
    </row>
    <row r="1025" spans="1:26" x14ac:dyDescent="0.25">
      <c r="A1025" s="4">
        <v>5085</v>
      </c>
      <c r="B1025" t="s">
        <v>40</v>
      </c>
      <c r="C1025">
        <v>6</v>
      </c>
      <c r="D1025">
        <v>1</v>
      </c>
      <c r="E1025">
        <v>8</v>
      </c>
      <c r="F1025" t="s">
        <v>14</v>
      </c>
      <c r="G1025">
        <v>5.5</v>
      </c>
      <c r="I1025">
        <v>4</v>
      </c>
      <c r="J1025" t="s">
        <v>17</v>
      </c>
      <c r="K1025" t="str">
        <f t="shared" si="58"/>
        <v/>
      </c>
      <c r="L1025" t="s">
        <v>16</v>
      </c>
      <c r="M1025">
        <v>7</v>
      </c>
      <c r="T1025">
        <f t="shared" si="59"/>
        <v>20</v>
      </c>
      <c r="U1025" t="s">
        <v>3883</v>
      </c>
      <c r="V1025" s="4" t="s">
        <v>3871</v>
      </c>
      <c r="W1025">
        <v>1024</v>
      </c>
      <c r="Y1025">
        <f t="shared" si="60"/>
        <v>0</v>
      </c>
      <c r="Z1025">
        <f t="shared" si="61"/>
        <v>0</v>
      </c>
    </row>
    <row r="1026" spans="1:26" x14ac:dyDescent="0.25">
      <c r="A1026" s="4">
        <v>5085</v>
      </c>
      <c r="B1026" t="s">
        <v>40</v>
      </c>
      <c r="C1026">
        <v>6</v>
      </c>
      <c r="D1026">
        <v>1</v>
      </c>
      <c r="E1026">
        <v>7</v>
      </c>
      <c r="F1026" t="s">
        <v>14</v>
      </c>
      <c r="G1026">
        <v>5.5</v>
      </c>
      <c r="I1026">
        <v>4</v>
      </c>
      <c r="J1026" t="s">
        <v>17</v>
      </c>
      <c r="K1026" t="str">
        <f t="shared" si="58"/>
        <v/>
      </c>
      <c r="L1026" t="s">
        <v>16</v>
      </c>
      <c r="M1026">
        <v>7</v>
      </c>
      <c r="T1026">
        <f t="shared" si="59"/>
        <v>20</v>
      </c>
      <c r="U1026" t="s">
        <v>3885</v>
      </c>
      <c r="V1026" s="4" t="s">
        <v>3076</v>
      </c>
      <c r="W1026">
        <v>1025</v>
      </c>
      <c r="Y1026">
        <f t="shared" si="60"/>
        <v>0</v>
      </c>
      <c r="Z1026">
        <f t="shared" si="61"/>
        <v>0</v>
      </c>
    </row>
    <row r="1027" spans="1:26" x14ac:dyDescent="0.25">
      <c r="A1027" s="4">
        <v>5085</v>
      </c>
      <c r="B1027" t="s">
        <v>40</v>
      </c>
      <c r="C1027">
        <v>6</v>
      </c>
      <c r="D1027">
        <v>1</v>
      </c>
      <c r="E1027">
        <v>6</v>
      </c>
      <c r="F1027" t="s">
        <v>14</v>
      </c>
      <c r="G1027">
        <v>5.5</v>
      </c>
      <c r="I1027">
        <v>4</v>
      </c>
      <c r="J1027" t="s">
        <v>17</v>
      </c>
      <c r="K1027" t="str">
        <f t="shared" ref="K1027:K1090" si="62">_xlfn.XLOOKUP(A1027,V:V,U:U,"",0)</f>
        <v/>
      </c>
      <c r="L1027" t="s">
        <v>16</v>
      </c>
      <c r="M1027">
        <v>7</v>
      </c>
      <c r="T1027">
        <f t="shared" ref="T1027:T1079" si="63">LEN(U1027)</f>
        <v>20</v>
      </c>
      <c r="U1027" t="s">
        <v>3888</v>
      </c>
      <c r="V1027" s="4" t="s">
        <v>3889</v>
      </c>
      <c r="W1027">
        <v>1026</v>
      </c>
      <c r="Y1027">
        <f t="shared" ref="Y1027:Y1090" si="64">LEN(O1027)</f>
        <v>0</v>
      </c>
      <c r="Z1027">
        <f t="shared" ref="Z1027:Z1090" si="65">LEN(P1027)</f>
        <v>0</v>
      </c>
    </row>
    <row r="1028" spans="1:26" x14ac:dyDescent="0.25">
      <c r="A1028" s="4">
        <v>5085</v>
      </c>
      <c r="B1028" t="s">
        <v>40</v>
      </c>
      <c r="C1028">
        <v>6</v>
      </c>
      <c r="D1028">
        <v>1</v>
      </c>
      <c r="E1028">
        <v>5</v>
      </c>
      <c r="F1028" t="s">
        <v>14</v>
      </c>
      <c r="G1028">
        <v>5.5</v>
      </c>
      <c r="I1028">
        <v>4</v>
      </c>
      <c r="J1028" t="s">
        <v>17</v>
      </c>
      <c r="K1028" t="str">
        <f t="shared" si="62"/>
        <v/>
      </c>
      <c r="L1028" t="s">
        <v>16</v>
      </c>
      <c r="M1028">
        <v>7</v>
      </c>
      <c r="T1028">
        <f t="shared" si="63"/>
        <v>20</v>
      </c>
      <c r="U1028" t="s">
        <v>3893</v>
      </c>
      <c r="V1028" s="4" t="s">
        <v>3889</v>
      </c>
      <c r="W1028">
        <v>1027</v>
      </c>
      <c r="Y1028">
        <f t="shared" si="64"/>
        <v>0</v>
      </c>
      <c r="Z1028">
        <f t="shared" si="65"/>
        <v>0</v>
      </c>
    </row>
    <row r="1029" spans="1:26" x14ac:dyDescent="0.25">
      <c r="A1029" s="4">
        <v>5085</v>
      </c>
      <c r="B1029" t="s">
        <v>40</v>
      </c>
      <c r="C1029">
        <v>6</v>
      </c>
      <c r="D1029">
        <v>1</v>
      </c>
      <c r="E1029">
        <v>8</v>
      </c>
      <c r="F1029" t="s">
        <v>14</v>
      </c>
      <c r="G1029">
        <v>5.5</v>
      </c>
      <c r="I1029">
        <v>4</v>
      </c>
      <c r="J1029" t="s">
        <v>18</v>
      </c>
      <c r="K1029" t="str">
        <f t="shared" si="62"/>
        <v/>
      </c>
      <c r="L1029" t="s">
        <v>16</v>
      </c>
      <c r="M1029">
        <v>12</v>
      </c>
      <c r="T1029">
        <f t="shared" si="63"/>
        <v>20</v>
      </c>
      <c r="U1029" t="s">
        <v>3895</v>
      </c>
      <c r="V1029" s="4" t="s">
        <v>3889</v>
      </c>
      <c r="W1029">
        <v>1028</v>
      </c>
      <c r="Y1029">
        <f t="shared" si="64"/>
        <v>0</v>
      </c>
      <c r="Z1029">
        <f t="shared" si="65"/>
        <v>0</v>
      </c>
    </row>
    <row r="1030" spans="1:26" x14ac:dyDescent="0.25">
      <c r="A1030" s="4">
        <v>5085</v>
      </c>
      <c r="B1030" t="s">
        <v>40</v>
      </c>
      <c r="C1030">
        <v>6</v>
      </c>
      <c r="D1030">
        <v>1</v>
      </c>
      <c r="E1030">
        <v>7</v>
      </c>
      <c r="F1030" t="s">
        <v>14</v>
      </c>
      <c r="G1030">
        <v>5.5</v>
      </c>
      <c r="I1030">
        <v>4</v>
      </c>
      <c r="J1030" t="s">
        <v>18</v>
      </c>
      <c r="K1030" t="str">
        <f t="shared" si="62"/>
        <v/>
      </c>
      <c r="L1030" t="s">
        <v>16</v>
      </c>
      <c r="M1030">
        <v>12</v>
      </c>
      <c r="T1030">
        <f t="shared" si="63"/>
        <v>20</v>
      </c>
      <c r="U1030" t="s">
        <v>3897</v>
      </c>
      <c r="V1030" s="4" t="s">
        <v>3898</v>
      </c>
      <c r="W1030">
        <v>1029</v>
      </c>
      <c r="Y1030">
        <f t="shared" si="64"/>
        <v>0</v>
      </c>
      <c r="Z1030">
        <f t="shared" si="65"/>
        <v>0</v>
      </c>
    </row>
    <row r="1031" spans="1:26" x14ac:dyDescent="0.25">
      <c r="A1031" s="4">
        <v>5085</v>
      </c>
      <c r="B1031" t="s">
        <v>40</v>
      </c>
      <c r="C1031">
        <v>6</v>
      </c>
      <c r="D1031">
        <v>1</v>
      </c>
      <c r="E1031">
        <v>6</v>
      </c>
      <c r="F1031" t="s">
        <v>14</v>
      </c>
      <c r="G1031">
        <v>5.5</v>
      </c>
      <c r="I1031">
        <v>4</v>
      </c>
      <c r="J1031" t="s">
        <v>18</v>
      </c>
      <c r="K1031" t="str">
        <f t="shared" si="62"/>
        <v/>
      </c>
      <c r="L1031" t="s">
        <v>16</v>
      </c>
      <c r="M1031">
        <v>12</v>
      </c>
      <c r="T1031">
        <f t="shared" si="63"/>
        <v>20</v>
      </c>
      <c r="U1031" t="s">
        <v>3905</v>
      </c>
      <c r="V1031" s="4" t="s">
        <v>3898</v>
      </c>
      <c r="W1031">
        <v>1030</v>
      </c>
      <c r="Y1031">
        <f t="shared" si="64"/>
        <v>0</v>
      </c>
      <c r="Z1031">
        <f t="shared" si="65"/>
        <v>0</v>
      </c>
    </row>
    <row r="1032" spans="1:26" x14ac:dyDescent="0.25">
      <c r="A1032" s="4">
        <v>5085</v>
      </c>
      <c r="B1032" t="s">
        <v>40</v>
      </c>
      <c r="C1032">
        <v>6</v>
      </c>
      <c r="D1032">
        <v>1</v>
      </c>
      <c r="E1032">
        <v>5</v>
      </c>
      <c r="F1032" t="s">
        <v>14</v>
      </c>
      <c r="G1032">
        <v>5.5</v>
      </c>
      <c r="I1032">
        <v>4</v>
      </c>
      <c r="J1032" t="s">
        <v>18</v>
      </c>
      <c r="K1032" t="str">
        <f t="shared" si="62"/>
        <v/>
      </c>
      <c r="L1032" t="s">
        <v>16</v>
      </c>
      <c r="M1032">
        <v>12</v>
      </c>
      <c r="T1032">
        <f t="shared" si="63"/>
        <v>20</v>
      </c>
      <c r="U1032" t="s">
        <v>3907</v>
      </c>
      <c r="V1032" s="4" t="s">
        <v>3898</v>
      </c>
      <c r="W1032">
        <v>1031</v>
      </c>
      <c r="Y1032">
        <f t="shared" si="64"/>
        <v>0</v>
      </c>
      <c r="Z1032">
        <f t="shared" si="65"/>
        <v>0</v>
      </c>
    </row>
    <row r="1033" spans="1:26" x14ac:dyDescent="0.25">
      <c r="A1033" s="4">
        <v>5085</v>
      </c>
      <c r="B1033" t="s">
        <v>40</v>
      </c>
      <c r="C1033">
        <v>6</v>
      </c>
      <c r="D1033">
        <v>1</v>
      </c>
      <c r="E1033">
        <v>12</v>
      </c>
      <c r="F1033" t="s">
        <v>14</v>
      </c>
      <c r="G1033">
        <v>6.1</v>
      </c>
      <c r="I1033">
        <v>4</v>
      </c>
      <c r="J1033" t="s">
        <v>17</v>
      </c>
      <c r="K1033" t="str">
        <f t="shared" si="62"/>
        <v/>
      </c>
      <c r="L1033" t="s">
        <v>16</v>
      </c>
      <c r="M1033">
        <v>11</v>
      </c>
      <c r="T1033">
        <f t="shared" si="63"/>
        <v>20</v>
      </c>
      <c r="U1033" t="s">
        <v>3913</v>
      </c>
      <c r="V1033" s="4" t="s">
        <v>3898</v>
      </c>
      <c r="W1033">
        <v>1032</v>
      </c>
      <c r="Y1033">
        <f t="shared" si="64"/>
        <v>0</v>
      </c>
      <c r="Z1033">
        <f t="shared" si="65"/>
        <v>0</v>
      </c>
    </row>
    <row r="1034" spans="1:26" x14ac:dyDescent="0.25">
      <c r="A1034" s="4">
        <v>5085</v>
      </c>
      <c r="B1034" t="s">
        <v>40</v>
      </c>
      <c r="C1034">
        <v>6</v>
      </c>
      <c r="D1034">
        <v>1</v>
      </c>
      <c r="E1034">
        <v>11</v>
      </c>
      <c r="F1034" t="s">
        <v>14</v>
      </c>
      <c r="G1034">
        <v>6.1</v>
      </c>
      <c r="I1034">
        <v>4</v>
      </c>
      <c r="J1034" t="s">
        <v>17</v>
      </c>
      <c r="K1034" t="str">
        <f t="shared" si="62"/>
        <v/>
      </c>
      <c r="L1034" t="s">
        <v>16</v>
      </c>
      <c r="M1034">
        <v>11</v>
      </c>
      <c r="T1034">
        <f t="shared" si="63"/>
        <v>20</v>
      </c>
      <c r="U1034" t="s">
        <v>3915</v>
      </c>
      <c r="V1034" s="4" t="s">
        <v>3898</v>
      </c>
      <c r="W1034">
        <v>1033</v>
      </c>
      <c r="Y1034">
        <f t="shared" si="64"/>
        <v>0</v>
      </c>
      <c r="Z1034">
        <f t="shared" si="65"/>
        <v>0</v>
      </c>
    </row>
    <row r="1035" spans="1:26" x14ac:dyDescent="0.25">
      <c r="A1035" s="4">
        <v>5085</v>
      </c>
      <c r="B1035" t="s">
        <v>40</v>
      </c>
      <c r="C1035">
        <v>6</v>
      </c>
      <c r="D1035">
        <v>1</v>
      </c>
      <c r="E1035">
        <v>10</v>
      </c>
      <c r="F1035" t="s">
        <v>14</v>
      </c>
      <c r="G1035">
        <v>6.1</v>
      </c>
      <c r="I1035">
        <v>4</v>
      </c>
      <c r="J1035" t="s">
        <v>17</v>
      </c>
      <c r="K1035" t="str">
        <f t="shared" si="62"/>
        <v/>
      </c>
      <c r="L1035" t="s">
        <v>16</v>
      </c>
      <c r="M1035">
        <v>11</v>
      </c>
      <c r="T1035">
        <f t="shared" si="63"/>
        <v>20</v>
      </c>
      <c r="U1035" t="s">
        <v>3921</v>
      </c>
      <c r="V1035" s="4" t="s">
        <v>3898</v>
      </c>
      <c r="W1035">
        <v>1034</v>
      </c>
      <c r="Y1035">
        <f t="shared" si="64"/>
        <v>0</v>
      </c>
      <c r="Z1035">
        <f t="shared" si="65"/>
        <v>0</v>
      </c>
    </row>
    <row r="1036" spans="1:26" x14ac:dyDescent="0.25">
      <c r="A1036" s="4">
        <v>5085</v>
      </c>
      <c r="B1036" t="s">
        <v>40</v>
      </c>
      <c r="C1036">
        <v>6</v>
      </c>
      <c r="D1036">
        <v>1</v>
      </c>
      <c r="E1036">
        <v>9</v>
      </c>
      <c r="F1036" t="s">
        <v>14</v>
      </c>
      <c r="G1036">
        <v>6.1</v>
      </c>
      <c r="I1036">
        <v>4</v>
      </c>
      <c r="J1036" t="s">
        <v>17</v>
      </c>
      <c r="K1036" t="str">
        <f t="shared" si="62"/>
        <v/>
      </c>
      <c r="L1036" t="s">
        <v>16</v>
      </c>
      <c r="M1036">
        <v>11</v>
      </c>
      <c r="T1036">
        <f t="shared" si="63"/>
        <v>20</v>
      </c>
      <c r="U1036" t="s">
        <v>3923</v>
      </c>
      <c r="V1036" s="4" t="s">
        <v>3924</v>
      </c>
      <c r="W1036">
        <v>1035</v>
      </c>
      <c r="Y1036">
        <f t="shared" si="64"/>
        <v>0</v>
      </c>
      <c r="Z1036">
        <f t="shared" si="65"/>
        <v>0</v>
      </c>
    </row>
    <row r="1037" spans="1:26" x14ac:dyDescent="0.25">
      <c r="A1037" s="4">
        <v>5085</v>
      </c>
      <c r="B1037" t="s">
        <v>40</v>
      </c>
      <c r="C1037">
        <v>6</v>
      </c>
      <c r="D1037">
        <v>1</v>
      </c>
      <c r="E1037">
        <v>12</v>
      </c>
      <c r="F1037" t="s">
        <v>14</v>
      </c>
      <c r="G1037">
        <v>6.1</v>
      </c>
      <c r="I1037">
        <v>4</v>
      </c>
      <c r="J1037" t="s">
        <v>18</v>
      </c>
      <c r="K1037" t="str">
        <f t="shared" si="62"/>
        <v/>
      </c>
      <c r="L1037" t="s">
        <v>16</v>
      </c>
      <c r="M1037">
        <v>5</v>
      </c>
      <c r="T1037">
        <f t="shared" si="63"/>
        <v>20</v>
      </c>
      <c r="U1037" t="s">
        <v>3930</v>
      </c>
      <c r="V1037" s="4" t="s">
        <v>3924</v>
      </c>
      <c r="W1037">
        <v>1036</v>
      </c>
      <c r="Y1037">
        <f t="shared" si="64"/>
        <v>0</v>
      </c>
      <c r="Z1037">
        <f t="shared" si="65"/>
        <v>0</v>
      </c>
    </row>
    <row r="1038" spans="1:26" x14ac:dyDescent="0.25">
      <c r="A1038" s="4">
        <v>5085</v>
      </c>
      <c r="B1038" t="s">
        <v>40</v>
      </c>
      <c r="C1038">
        <v>6</v>
      </c>
      <c r="D1038">
        <v>1</v>
      </c>
      <c r="E1038">
        <v>11</v>
      </c>
      <c r="F1038" t="s">
        <v>14</v>
      </c>
      <c r="G1038">
        <v>6.1</v>
      </c>
      <c r="I1038">
        <v>4</v>
      </c>
      <c r="J1038" t="s">
        <v>18</v>
      </c>
      <c r="K1038" t="str">
        <f t="shared" si="62"/>
        <v/>
      </c>
      <c r="L1038" t="s">
        <v>16</v>
      </c>
      <c r="M1038">
        <v>5</v>
      </c>
      <c r="T1038">
        <f t="shared" si="63"/>
        <v>20</v>
      </c>
      <c r="U1038" t="s">
        <v>3932</v>
      </c>
      <c r="V1038" s="4" t="s">
        <v>3924</v>
      </c>
      <c r="W1038">
        <v>1037</v>
      </c>
      <c r="Y1038">
        <f t="shared" si="64"/>
        <v>0</v>
      </c>
      <c r="Z1038">
        <f t="shared" si="65"/>
        <v>0</v>
      </c>
    </row>
    <row r="1039" spans="1:26" x14ac:dyDescent="0.25">
      <c r="A1039" s="4">
        <v>5085</v>
      </c>
      <c r="B1039" t="s">
        <v>40</v>
      </c>
      <c r="C1039">
        <v>6</v>
      </c>
      <c r="D1039">
        <v>1</v>
      </c>
      <c r="E1039">
        <v>10</v>
      </c>
      <c r="F1039" t="s">
        <v>14</v>
      </c>
      <c r="G1039">
        <v>6.1</v>
      </c>
      <c r="I1039">
        <v>4</v>
      </c>
      <c r="J1039" t="s">
        <v>18</v>
      </c>
      <c r="K1039" t="str">
        <f t="shared" si="62"/>
        <v/>
      </c>
      <c r="L1039" t="s">
        <v>16</v>
      </c>
      <c r="M1039">
        <v>5</v>
      </c>
      <c r="T1039">
        <f t="shared" si="63"/>
        <v>20</v>
      </c>
      <c r="U1039" t="s">
        <v>3937</v>
      </c>
      <c r="V1039" s="4" t="s">
        <v>3924</v>
      </c>
      <c r="W1039">
        <v>1038</v>
      </c>
      <c r="Y1039">
        <f t="shared" si="64"/>
        <v>0</v>
      </c>
      <c r="Z1039">
        <f t="shared" si="65"/>
        <v>0</v>
      </c>
    </row>
    <row r="1040" spans="1:26" x14ac:dyDescent="0.25">
      <c r="A1040" s="4">
        <v>5085</v>
      </c>
      <c r="B1040" t="s">
        <v>40</v>
      </c>
      <c r="C1040">
        <v>6</v>
      </c>
      <c r="D1040">
        <v>1</v>
      </c>
      <c r="E1040">
        <v>9</v>
      </c>
      <c r="F1040" t="s">
        <v>14</v>
      </c>
      <c r="G1040">
        <v>6.1</v>
      </c>
      <c r="I1040">
        <v>4</v>
      </c>
      <c r="J1040" t="s">
        <v>18</v>
      </c>
      <c r="K1040" t="str">
        <f t="shared" si="62"/>
        <v/>
      </c>
      <c r="L1040" t="s">
        <v>16</v>
      </c>
      <c r="M1040">
        <v>5</v>
      </c>
      <c r="T1040">
        <f t="shared" si="63"/>
        <v>20</v>
      </c>
      <c r="U1040" t="s">
        <v>3939</v>
      </c>
      <c r="V1040" s="4" t="s">
        <v>3924</v>
      </c>
      <c r="W1040">
        <v>1039</v>
      </c>
      <c r="Y1040">
        <f t="shared" si="64"/>
        <v>0</v>
      </c>
      <c r="Z1040">
        <f t="shared" si="65"/>
        <v>0</v>
      </c>
    </row>
    <row r="1041" spans="1:26" x14ac:dyDescent="0.25">
      <c r="A1041" s="4">
        <v>5085</v>
      </c>
      <c r="B1041" t="s">
        <v>40</v>
      </c>
      <c r="C1041">
        <v>6</v>
      </c>
      <c r="D1041">
        <v>1</v>
      </c>
      <c r="E1041">
        <v>16</v>
      </c>
      <c r="F1041" t="s">
        <v>14</v>
      </c>
      <c r="G1041">
        <v>6.85</v>
      </c>
      <c r="I1041">
        <v>4</v>
      </c>
      <c r="J1041" t="s">
        <v>17</v>
      </c>
      <c r="K1041" t="str">
        <f t="shared" si="62"/>
        <v/>
      </c>
      <c r="L1041" t="s">
        <v>16</v>
      </c>
      <c r="M1041">
        <v>9</v>
      </c>
      <c r="T1041">
        <f t="shared" si="63"/>
        <v>20</v>
      </c>
      <c r="U1041" t="s">
        <v>3945</v>
      </c>
      <c r="V1041" s="4" t="s">
        <v>3924</v>
      </c>
      <c r="W1041">
        <v>1040</v>
      </c>
      <c r="Y1041">
        <f t="shared" si="64"/>
        <v>0</v>
      </c>
      <c r="Z1041">
        <f t="shared" si="65"/>
        <v>0</v>
      </c>
    </row>
    <row r="1042" spans="1:26" x14ac:dyDescent="0.25">
      <c r="A1042" s="4">
        <v>5085</v>
      </c>
      <c r="B1042" t="s">
        <v>40</v>
      </c>
      <c r="C1042">
        <v>6</v>
      </c>
      <c r="D1042">
        <v>1</v>
      </c>
      <c r="E1042">
        <v>15</v>
      </c>
      <c r="F1042" t="s">
        <v>14</v>
      </c>
      <c r="G1042">
        <v>6.85</v>
      </c>
      <c r="I1042">
        <v>4</v>
      </c>
      <c r="J1042" t="s">
        <v>17</v>
      </c>
      <c r="K1042" t="str">
        <f t="shared" si="62"/>
        <v/>
      </c>
      <c r="L1042" t="s">
        <v>16</v>
      </c>
      <c r="M1042">
        <v>9</v>
      </c>
      <c r="T1042">
        <f t="shared" si="63"/>
        <v>20</v>
      </c>
      <c r="U1042" t="s">
        <v>3947</v>
      </c>
      <c r="V1042" s="4" t="s">
        <v>3948</v>
      </c>
      <c r="W1042">
        <v>1041</v>
      </c>
      <c r="Y1042">
        <f t="shared" si="64"/>
        <v>0</v>
      </c>
      <c r="Z1042">
        <f t="shared" si="65"/>
        <v>0</v>
      </c>
    </row>
    <row r="1043" spans="1:26" x14ac:dyDescent="0.25">
      <c r="A1043" s="4">
        <v>5085</v>
      </c>
      <c r="B1043" t="s">
        <v>40</v>
      </c>
      <c r="C1043">
        <v>6</v>
      </c>
      <c r="D1043">
        <v>1</v>
      </c>
      <c r="E1043">
        <v>14</v>
      </c>
      <c r="F1043" t="s">
        <v>14</v>
      </c>
      <c r="G1043">
        <v>6.85</v>
      </c>
      <c r="I1043">
        <v>4</v>
      </c>
      <c r="J1043" t="s">
        <v>17</v>
      </c>
      <c r="K1043" t="str">
        <f t="shared" si="62"/>
        <v/>
      </c>
      <c r="L1043" t="s">
        <v>16</v>
      </c>
      <c r="M1043">
        <v>9</v>
      </c>
      <c r="T1043">
        <f t="shared" si="63"/>
        <v>20</v>
      </c>
      <c r="U1043" t="s">
        <v>3954</v>
      </c>
      <c r="V1043" s="4" t="s">
        <v>3948</v>
      </c>
      <c r="W1043">
        <v>1042</v>
      </c>
      <c r="Y1043">
        <f t="shared" si="64"/>
        <v>0</v>
      </c>
      <c r="Z1043">
        <f t="shared" si="65"/>
        <v>0</v>
      </c>
    </row>
    <row r="1044" spans="1:26" x14ac:dyDescent="0.25">
      <c r="A1044" s="4">
        <v>5085</v>
      </c>
      <c r="B1044" t="s">
        <v>40</v>
      </c>
      <c r="C1044">
        <v>6</v>
      </c>
      <c r="D1044">
        <v>1</v>
      </c>
      <c r="E1044">
        <v>13</v>
      </c>
      <c r="F1044" t="s">
        <v>14</v>
      </c>
      <c r="G1044">
        <v>6.85</v>
      </c>
      <c r="I1044">
        <v>4</v>
      </c>
      <c r="J1044" t="s">
        <v>17</v>
      </c>
      <c r="K1044" t="str">
        <f t="shared" si="62"/>
        <v/>
      </c>
      <c r="L1044" t="s">
        <v>16</v>
      </c>
      <c r="M1044">
        <v>9</v>
      </c>
      <c r="T1044">
        <f t="shared" si="63"/>
        <v>20</v>
      </c>
      <c r="U1044" t="s">
        <v>3956</v>
      </c>
      <c r="V1044" s="4" t="s">
        <v>3948</v>
      </c>
      <c r="W1044">
        <v>1043</v>
      </c>
      <c r="Y1044">
        <f t="shared" si="64"/>
        <v>0</v>
      </c>
      <c r="Z1044">
        <f t="shared" si="65"/>
        <v>0</v>
      </c>
    </row>
    <row r="1045" spans="1:26" x14ac:dyDescent="0.25">
      <c r="A1045" s="4">
        <v>5085</v>
      </c>
      <c r="B1045" t="s">
        <v>40</v>
      </c>
      <c r="C1045">
        <v>6</v>
      </c>
      <c r="D1045">
        <v>1</v>
      </c>
      <c r="E1045">
        <v>16</v>
      </c>
      <c r="F1045" t="s">
        <v>14</v>
      </c>
      <c r="G1045">
        <v>6.85</v>
      </c>
      <c r="I1045">
        <v>4</v>
      </c>
      <c r="J1045" t="s">
        <v>18</v>
      </c>
      <c r="K1045" t="str">
        <f t="shared" si="62"/>
        <v/>
      </c>
      <c r="L1045" t="s">
        <v>16</v>
      </c>
      <c r="M1045">
        <v>2</v>
      </c>
      <c r="T1045">
        <f t="shared" si="63"/>
        <v>20</v>
      </c>
      <c r="U1045" t="s">
        <v>3959</v>
      </c>
      <c r="V1045" s="4" t="s">
        <v>3948</v>
      </c>
      <c r="W1045">
        <v>1044</v>
      </c>
      <c r="Y1045">
        <f t="shared" si="64"/>
        <v>0</v>
      </c>
      <c r="Z1045">
        <f t="shared" si="65"/>
        <v>0</v>
      </c>
    </row>
    <row r="1046" spans="1:26" x14ac:dyDescent="0.25">
      <c r="A1046" s="4">
        <v>5085</v>
      </c>
      <c r="B1046" t="s">
        <v>40</v>
      </c>
      <c r="C1046">
        <v>6</v>
      </c>
      <c r="D1046">
        <v>1</v>
      </c>
      <c r="E1046">
        <v>15</v>
      </c>
      <c r="F1046" t="s">
        <v>14</v>
      </c>
      <c r="G1046">
        <v>6.85</v>
      </c>
      <c r="I1046">
        <v>4</v>
      </c>
      <c r="J1046" t="s">
        <v>18</v>
      </c>
      <c r="K1046" t="str">
        <f t="shared" si="62"/>
        <v/>
      </c>
      <c r="L1046" t="s">
        <v>16</v>
      </c>
      <c r="M1046">
        <v>2</v>
      </c>
      <c r="T1046">
        <f t="shared" si="63"/>
        <v>20</v>
      </c>
      <c r="U1046" t="s">
        <v>3962</v>
      </c>
      <c r="V1046" s="4" t="s">
        <v>3948</v>
      </c>
      <c r="W1046">
        <v>1045</v>
      </c>
      <c r="Y1046">
        <f t="shared" si="64"/>
        <v>0</v>
      </c>
      <c r="Z1046">
        <f t="shared" si="65"/>
        <v>0</v>
      </c>
    </row>
    <row r="1047" spans="1:26" x14ac:dyDescent="0.25">
      <c r="A1047" s="4">
        <v>5085</v>
      </c>
      <c r="B1047" t="s">
        <v>40</v>
      </c>
      <c r="C1047">
        <v>6</v>
      </c>
      <c r="D1047">
        <v>1</v>
      </c>
      <c r="E1047">
        <v>14</v>
      </c>
      <c r="F1047" t="s">
        <v>14</v>
      </c>
      <c r="G1047">
        <v>6.85</v>
      </c>
      <c r="I1047">
        <v>4</v>
      </c>
      <c r="J1047" t="s">
        <v>18</v>
      </c>
      <c r="K1047" t="str">
        <f t="shared" si="62"/>
        <v/>
      </c>
      <c r="L1047" t="s">
        <v>16</v>
      </c>
      <c r="M1047">
        <v>2</v>
      </c>
      <c r="T1047">
        <f t="shared" si="63"/>
        <v>20</v>
      </c>
      <c r="U1047" t="s">
        <v>3966</v>
      </c>
      <c r="V1047" s="4" t="s">
        <v>3948</v>
      </c>
      <c r="W1047">
        <v>1046</v>
      </c>
      <c r="Y1047">
        <f t="shared" si="64"/>
        <v>0</v>
      </c>
      <c r="Z1047">
        <f t="shared" si="65"/>
        <v>0</v>
      </c>
    </row>
    <row r="1048" spans="1:26" x14ac:dyDescent="0.25">
      <c r="A1048" s="4">
        <v>5085</v>
      </c>
      <c r="B1048" t="s">
        <v>40</v>
      </c>
      <c r="C1048">
        <v>6</v>
      </c>
      <c r="D1048">
        <v>1</v>
      </c>
      <c r="E1048">
        <v>13</v>
      </c>
      <c r="F1048" t="s">
        <v>14</v>
      </c>
      <c r="G1048">
        <v>6.85</v>
      </c>
      <c r="I1048">
        <v>4</v>
      </c>
      <c r="J1048" t="s">
        <v>18</v>
      </c>
      <c r="K1048" t="str">
        <f t="shared" si="62"/>
        <v/>
      </c>
      <c r="L1048" t="s">
        <v>16</v>
      </c>
      <c r="M1048">
        <v>2</v>
      </c>
      <c r="T1048">
        <f t="shared" si="63"/>
        <v>20</v>
      </c>
      <c r="U1048" t="s">
        <v>3969</v>
      </c>
      <c r="V1048" s="4" t="s">
        <v>3970</v>
      </c>
      <c r="W1048">
        <v>1047</v>
      </c>
      <c r="Y1048">
        <f t="shared" si="64"/>
        <v>0</v>
      </c>
      <c r="Z1048">
        <f t="shared" si="65"/>
        <v>0</v>
      </c>
    </row>
    <row r="1049" spans="1:26" x14ac:dyDescent="0.25">
      <c r="A1049" s="4">
        <v>1123</v>
      </c>
      <c r="B1049" t="s">
        <v>43</v>
      </c>
      <c r="C1049">
        <v>2</v>
      </c>
      <c r="D1049">
        <v>1</v>
      </c>
      <c r="E1049">
        <v>8</v>
      </c>
      <c r="F1049" t="s">
        <v>14</v>
      </c>
      <c r="G1049">
        <v>5</v>
      </c>
      <c r="I1049">
        <v>4</v>
      </c>
      <c r="J1049" t="s">
        <v>17</v>
      </c>
      <c r="K1049" t="str">
        <f t="shared" si="62"/>
        <v/>
      </c>
      <c r="L1049" t="s">
        <v>16</v>
      </c>
      <c r="M1049">
        <v>10</v>
      </c>
      <c r="T1049">
        <f t="shared" si="63"/>
        <v>20</v>
      </c>
      <c r="U1049" t="s">
        <v>3977</v>
      </c>
      <c r="V1049" s="4" t="s">
        <v>3970</v>
      </c>
      <c r="W1049">
        <v>1048</v>
      </c>
      <c r="Y1049">
        <f t="shared" si="64"/>
        <v>0</v>
      </c>
      <c r="Z1049">
        <f t="shared" si="65"/>
        <v>0</v>
      </c>
    </row>
    <row r="1050" spans="1:26" x14ac:dyDescent="0.25">
      <c r="A1050" s="4">
        <v>1123</v>
      </c>
      <c r="B1050" t="s">
        <v>43</v>
      </c>
      <c r="C1050">
        <v>2</v>
      </c>
      <c r="D1050">
        <v>1</v>
      </c>
      <c r="E1050">
        <v>7</v>
      </c>
      <c r="F1050" t="s">
        <v>14</v>
      </c>
      <c r="G1050">
        <v>5</v>
      </c>
      <c r="I1050">
        <v>4</v>
      </c>
      <c r="J1050" t="s">
        <v>17</v>
      </c>
      <c r="K1050" t="str">
        <f t="shared" si="62"/>
        <v/>
      </c>
      <c r="L1050" t="s">
        <v>16</v>
      </c>
      <c r="M1050">
        <v>10</v>
      </c>
      <c r="T1050">
        <f t="shared" si="63"/>
        <v>20</v>
      </c>
      <c r="U1050" t="s">
        <v>3983</v>
      </c>
      <c r="V1050" s="4" t="s">
        <v>3984</v>
      </c>
      <c r="W1050">
        <v>1049</v>
      </c>
      <c r="Y1050">
        <f t="shared" si="64"/>
        <v>0</v>
      </c>
      <c r="Z1050">
        <f t="shared" si="65"/>
        <v>0</v>
      </c>
    </row>
    <row r="1051" spans="1:26" x14ac:dyDescent="0.25">
      <c r="A1051" s="4">
        <v>1123</v>
      </c>
      <c r="B1051" t="s">
        <v>43</v>
      </c>
      <c r="C1051">
        <v>2</v>
      </c>
      <c r="D1051">
        <v>1</v>
      </c>
      <c r="E1051">
        <v>6</v>
      </c>
      <c r="F1051" t="s">
        <v>14</v>
      </c>
      <c r="G1051">
        <v>5</v>
      </c>
      <c r="I1051">
        <v>4</v>
      </c>
      <c r="J1051" t="s">
        <v>17</v>
      </c>
      <c r="K1051" t="str">
        <f t="shared" si="62"/>
        <v/>
      </c>
      <c r="L1051" t="s">
        <v>16</v>
      </c>
      <c r="M1051">
        <v>10</v>
      </c>
      <c r="T1051">
        <f t="shared" si="63"/>
        <v>20</v>
      </c>
      <c r="U1051" t="s">
        <v>3988</v>
      </c>
      <c r="V1051" s="4" t="s">
        <v>3984</v>
      </c>
      <c r="W1051">
        <v>1050</v>
      </c>
      <c r="Y1051">
        <f t="shared" si="64"/>
        <v>0</v>
      </c>
      <c r="Z1051">
        <f t="shared" si="65"/>
        <v>0</v>
      </c>
    </row>
    <row r="1052" spans="1:26" x14ac:dyDescent="0.25">
      <c r="A1052" s="4">
        <v>1123</v>
      </c>
      <c r="B1052" t="s">
        <v>43</v>
      </c>
      <c r="C1052">
        <v>2</v>
      </c>
      <c r="D1052">
        <v>1</v>
      </c>
      <c r="E1052">
        <v>5</v>
      </c>
      <c r="F1052" t="s">
        <v>14</v>
      </c>
      <c r="G1052">
        <v>5</v>
      </c>
      <c r="I1052">
        <v>4</v>
      </c>
      <c r="J1052" t="s">
        <v>17</v>
      </c>
      <c r="K1052" t="str">
        <f t="shared" si="62"/>
        <v/>
      </c>
      <c r="L1052" t="s">
        <v>16</v>
      </c>
      <c r="M1052">
        <v>10</v>
      </c>
      <c r="T1052">
        <f t="shared" si="63"/>
        <v>20</v>
      </c>
      <c r="U1052" t="s">
        <v>3991</v>
      </c>
      <c r="V1052" s="4" t="s">
        <v>3984</v>
      </c>
      <c r="W1052">
        <v>1051</v>
      </c>
      <c r="Y1052">
        <f t="shared" si="64"/>
        <v>0</v>
      </c>
      <c r="Z1052">
        <f t="shared" si="65"/>
        <v>0</v>
      </c>
    </row>
    <row r="1053" spans="1:26" x14ac:dyDescent="0.25">
      <c r="A1053" s="4">
        <v>1123</v>
      </c>
      <c r="B1053" t="s">
        <v>43</v>
      </c>
      <c r="C1053">
        <v>2</v>
      </c>
      <c r="D1053">
        <v>1</v>
      </c>
      <c r="E1053">
        <v>12</v>
      </c>
      <c r="F1053" t="s">
        <v>14</v>
      </c>
      <c r="G1053">
        <v>5.65</v>
      </c>
      <c r="I1053">
        <v>4</v>
      </c>
      <c r="J1053" t="s">
        <v>17</v>
      </c>
      <c r="K1053" t="str">
        <f t="shared" si="62"/>
        <v/>
      </c>
      <c r="L1053" t="s">
        <v>16</v>
      </c>
      <c r="M1053">
        <v>10</v>
      </c>
      <c r="T1053">
        <f t="shared" si="63"/>
        <v>20</v>
      </c>
      <c r="U1053" t="s">
        <v>3997</v>
      </c>
      <c r="V1053" s="4" t="s">
        <v>3998</v>
      </c>
      <c r="W1053">
        <v>1052</v>
      </c>
      <c r="Y1053">
        <f t="shared" si="64"/>
        <v>0</v>
      </c>
      <c r="Z1053">
        <f t="shared" si="65"/>
        <v>0</v>
      </c>
    </row>
    <row r="1054" spans="1:26" x14ac:dyDescent="0.25">
      <c r="A1054" s="4">
        <v>1123</v>
      </c>
      <c r="B1054" t="s">
        <v>43</v>
      </c>
      <c r="C1054">
        <v>2</v>
      </c>
      <c r="D1054">
        <v>1</v>
      </c>
      <c r="E1054">
        <v>11</v>
      </c>
      <c r="F1054" t="s">
        <v>14</v>
      </c>
      <c r="G1054">
        <v>5.65</v>
      </c>
      <c r="I1054">
        <v>4</v>
      </c>
      <c r="J1054" t="s">
        <v>17</v>
      </c>
      <c r="K1054" t="str">
        <f t="shared" si="62"/>
        <v/>
      </c>
      <c r="L1054" t="s">
        <v>16</v>
      </c>
      <c r="M1054">
        <v>10</v>
      </c>
      <c r="T1054">
        <f t="shared" si="63"/>
        <v>20</v>
      </c>
      <c r="U1054" t="s">
        <v>4004</v>
      </c>
      <c r="V1054" s="4" t="s">
        <v>3998</v>
      </c>
      <c r="W1054">
        <v>1053</v>
      </c>
      <c r="Y1054">
        <f t="shared" si="64"/>
        <v>0</v>
      </c>
      <c r="Z1054">
        <f t="shared" si="65"/>
        <v>0</v>
      </c>
    </row>
    <row r="1055" spans="1:26" x14ac:dyDescent="0.25">
      <c r="A1055" s="4">
        <v>1123</v>
      </c>
      <c r="B1055" t="s">
        <v>43</v>
      </c>
      <c r="C1055">
        <v>2</v>
      </c>
      <c r="D1055">
        <v>1</v>
      </c>
      <c r="E1055">
        <v>10</v>
      </c>
      <c r="F1055" t="s">
        <v>14</v>
      </c>
      <c r="G1055">
        <v>5.65</v>
      </c>
      <c r="I1055">
        <v>4</v>
      </c>
      <c r="J1055" t="s">
        <v>17</v>
      </c>
      <c r="K1055" t="str">
        <f t="shared" si="62"/>
        <v/>
      </c>
      <c r="L1055" t="s">
        <v>16</v>
      </c>
      <c r="M1055">
        <v>10</v>
      </c>
      <c r="T1055">
        <f t="shared" si="63"/>
        <v>20</v>
      </c>
      <c r="U1055" t="s">
        <v>4009</v>
      </c>
      <c r="V1055" s="4" t="s">
        <v>3998</v>
      </c>
      <c r="W1055">
        <v>1054</v>
      </c>
      <c r="Y1055">
        <f t="shared" si="64"/>
        <v>0</v>
      </c>
      <c r="Z1055">
        <f t="shared" si="65"/>
        <v>0</v>
      </c>
    </row>
    <row r="1056" spans="1:26" x14ac:dyDescent="0.25">
      <c r="A1056" s="4">
        <v>1123</v>
      </c>
      <c r="B1056" t="s">
        <v>43</v>
      </c>
      <c r="C1056">
        <v>2</v>
      </c>
      <c r="D1056">
        <v>1</v>
      </c>
      <c r="E1056">
        <v>9</v>
      </c>
      <c r="F1056" t="s">
        <v>14</v>
      </c>
      <c r="G1056">
        <v>5.65</v>
      </c>
      <c r="I1056">
        <v>4</v>
      </c>
      <c r="J1056" t="s">
        <v>17</v>
      </c>
      <c r="K1056" t="str">
        <f t="shared" si="62"/>
        <v/>
      </c>
      <c r="L1056" t="s">
        <v>16</v>
      </c>
      <c r="M1056">
        <v>10</v>
      </c>
      <c r="T1056">
        <f t="shared" si="63"/>
        <v>20</v>
      </c>
      <c r="U1056" t="s">
        <v>4013</v>
      </c>
      <c r="V1056" s="4" t="s">
        <v>3948</v>
      </c>
      <c r="W1056">
        <v>1055</v>
      </c>
      <c r="Y1056">
        <f t="shared" si="64"/>
        <v>0</v>
      </c>
      <c r="Z1056">
        <f t="shared" si="65"/>
        <v>0</v>
      </c>
    </row>
    <row r="1057" spans="1:26" x14ac:dyDescent="0.25">
      <c r="A1057" s="4">
        <v>1123</v>
      </c>
      <c r="B1057" t="s">
        <v>43</v>
      </c>
      <c r="C1057">
        <v>2</v>
      </c>
      <c r="D1057">
        <v>1</v>
      </c>
      <c r="E1057">
        <v>16</v>
      </c>
      <c r="F1057" t="s">
        <v>14</v>
      </c>
      <c r="G1057">
        <v>6.22</v>
      </c>
      <c r="I1057">
        <v>4</v>
      </c>
      <c r="J1057" t="s">
        <v>17</v>
      </c>
      <c r="K1057" t="str">
        <f t="shared" si="62"/>
        <v/>
      </c>
      <c r="L1057" t="s">
        <v>16</v>
      </c>
      <c r="M1057">
        <v>10</v>
      </c>
      <c r="T1057">
        <f t="shared" si="63"/>
        <v>20</v>
      </c>
      <c r="U1057" t="s">
        <v>4016</v>
      </c>
      <c r="V1057" s="4" t="s">
        <v>3948</v>
      </c>
      <c r="W1057">
        <v>1056</v>
      </c>
      <c r="Y1057">
        <f t="shared" si="64"/>
        <v>0</v>
      </c>
      <c r="Z1057">
        <f t="shared" si="65"/>
        <v>0</v>
      </c>
    </row>
    <row r="1058" spans="1:26" x14ac:dyDescent="0.25">
      <c r="A1058" s="4">
        <v>1123</v>
      </c>
      <c r="B1058" t="s">
        <v>43</v>
      </c>
      <c r="C1058">
        <v>2</v>
      </c>
      <c r="D1058">
        <v>1</v>
      </c>
      <c r="E1058">
        <v>15</v>
      </c>
      <c r="F1058" t="s">
        <v>14</v>
      </c>
      <c r="G1058">
        <v>6.22</v>
      </c>
      <c r="I1058">
        <v>4</v>
      </c>
      <c r="J1058" t="s">
        <v>17</v>
      </c>
      <c r="K1058" t="str">
        <f t="shared" si="62"/>
        <v/>
      </c>
      <c r="L1058" t="s">
        <v>16</v>
      </c>
      <c r="M1058">
        <v>10</v>
      </c>
      <c r="T1058">
        <f t="shared" si="63"/>
        <v>20</v>
      </c>
      <c r="U1058" t="s">
        <v>4019</v>
      </c>
      <c r="V1058" s="4" t="s">
        <v>3948</v>
      </c>
      <c r="W1058">
        <v>1057</v>
      </c>
      <c r="Y1058">
        <f t="shared" si="64"/>
        <v>0</v>
      </c>
      <c r="Z1058">
        <f t="shared" si="65"/>
        <v>0</v>
      </c>
    </row>
    <row r="1059" spans="1:26" x14ac:dyDescent="0.25">
      <c r="A1059" s="4">
        <v>1123</v>
      </c>
      <c r="B1059" t="s">
        <v>43</v>
      </c>
      <c r="C1059">
        <v>2</v>
      </c>
      <c r="D1059">
        <v>1</v>
      </c>
      <c r="E1059">
        <v>14</v>
      </c>
      <c r="F1059" t="s">
        <v>14</v>
      </c>
      <c r="G1059">
        <v>6.22</v>
      </c>
      <c r="I1059">
        <v>4</v>
      </c>
      <c r="J1059" t="s">
        <v>17</v>
      </c>
      <c r="K1059" t="str">
        <f t="shared" si="62"/>
        <v/>
      </c>
      <c r="L1059" t="s">
        <v>16</v>
      </c>
      <c r="M1059">
        <v>10</v>
      </c>
      <c r="T1059">
        <f t="shared" si="63"/>
        <v>20</v>
      </c>
      <c r="U1059" t="s">
        <v>4022</v>
      </c>
      <c r="V1059" s="4" t="s">
        <v>4023</v>
      </c>
      <c r="W1059">
        <v>1058</v>
      </c>
      <c r="Y1059">
        <f t="shared" si="64"/>
        <v>0</v>
      </c>
      <c r="Z1059">
        <f t="shared" si="65"/>
        <v>0</v>
      </c>
    </row>
    <row r="1060" spans="1:26" x14ac:dyDescent="0.25">
      <c r="A1060" s="4">
        <v>1123</v>
      </c>
      <c r="B1060" t="s">
        <v>43</v>
      </c>
      <c r="C1060">
        <v>2</v>
      </c>
      <c r="D1060">
        <v>1</v>
      </c>
      <c r="E1060">
        <v>13</v>
      </c>
      <c r="F1060" t="s">
        <v>14</v>
      </c>
      <c r="G1060">
        <v>6.22</v>
      </c>
      <c r="I1060">
        <v>4</v>
      </c>
      <c r="J1060" t="s">
        <v>17</v>
      </c>
      <c r="K1060" t="str">
        <f t="shared" si="62"/>
        <v/>
      </c>
      <c r="L1060" t="s">
        <v>16</v>
      </c>
      <c r="M1060">
        <v>10</v>
      </c>
      <c r="T1060">
        <f t="shared" si="63"/>
        <v>20</v>
      </c>
      <c r="U1060" t="s">
        <v>4026</v>
      </c>
      <c r="V1060" s="4" t="s">
        <v>4023</v>
      </c>
      <c r="W1060">
        <v>1059</v>
      </c>
      <c r="Y1060">
        <f t="shared" si="64"/>
        <v>0</v>
      </c>
      <c r="Z1060">
        <f t="shared" si="65"/>
        <v>0</v>
      </c>
    </row>
    <row r="1061" spans="1:26" x14ac:dyDescent="0.25">
      <c r="A1061" s="4">
        <v>1130</v>
      </c>
      <c r="B1061" t="s">
        <v>44</v>
      </c>
      <c r="C1061">
        <v>2</v>
      </c>
      <c r="D1061">
        <v>1</v>
      </c>
      <c r="E1061">
        <v>8</v>
      </c>
      <c r="F1061" t="s">
        <v>14</v>
      </c>
      <c r="G1061">
        <v>5.6</v>
      </c>
      <c r="I1061">
        <v>4</v>
      </c>
      <c r="J1061" t="s">
        <v>18</v>
      </c>
      <c r="K1061" t="str">
        <f t="shared" si="62"/>
        <v/>
      </c>
      <c r="L1061" t="s">
        <v>16</v>
      </c>
      <c r="M1061">
        <v>6</v>
      </c>
      <c r="T1061">
        <f t="shared" si="63"/>
        <v>20</v>
      </c>
      <c r="U1061" t="s">
        <v>4029</v>
      </c>
      <c r="V1061" s="4" t="s">
        <v>4023</v>
      </c>
      <c r="W1061">
        <v>1060</v>
      </c>
      <c r="Y1061">
        <f t="shared" si="64"/>
        <v>0</v>
      </c>
      <c r="Z1061">
        <f t="shared" si="65"/>
        <v>0</v>
      </c>
    </row>
    <row r="1062" spans="1:26" x14ac:dyDescent="0.25">
      <c r="A1062" s="4">
        <v>1130</v>
      </c>
      <c r="B1062" t="s">
        <v>44</v>
      </c>
      <c r="C1062">
        <v>2</v>
      </c>
      <c r="D1062">
        <v>1</v>
      </c>
      <c r="E1062">
        <v>7</v>
      </c>
      <c r="F1062" t="s">
        <v>14</v>
      </c>
      <c r="G1062">
        <v>5.6</v>
      </c>
      <c r="I1062">
        <v>4</v>
      </c>
      <c r="J1062" t="s">
        <v>18</v>
      </c>
      <c r="K1062" t="str">
        <f t="shared" si="62"/>
        <v/>
      </c>
      <c r="L1062" t="s">
        <v>16</v>
      </c>
      <c r="M1062">
        <v>6</v>
      </c>
      <c r="T1062">
        <f t="shared" si="63"/>
        <v>20</v>
      </c>
      <c r="U1062" t="s">
        <v>4035</v>
      </c>
      <c r="V1062" s="4" t="s">
        <v>4023</v>
      </c>
      <c r="W1062">
        <v>1061</v>
      </c>
      <c r="Y1062">
        <f t="shared" si="64"/>
        <v>0</v>
      </c>
      <c r="Z1062">
        <f t="shared" si="65"/>
        <v>0</v>
      </c>
    </row>
    <row r="1063" spans="1:26" x14ac:dyDescent="0.25">
      <c r="A1063" s="4">
        <v>1130</v>
      </c>
      <c r="B1063" t="s">
        <v>44</v>
      </c>
      <c r="C1063">
        <v>2</v>
      </c>
      <c r="D1063">
        <v>1</v>
      </c>
      <c r="E1063">
        <v>6</v>
      </c>
      <c r="F1063" t="s">
        <v>14</v>
      </c>
      <c r="G1063">
        <v>5.6</v>
      </c>
      <c r="I1063">
        <v>4</v>
      </c>
      <c r="J1063" t="s">
        <v>18</v>
      </c>
      <c r="K1063" t="str">
        <f t="shared" si="62"/>
        <v/>
      </c>
      <c r="L1063" t="s">
        <v>16</v>
      </c>
      <c r="M1063">
        <v>6</v>
      </c>
      <c r="T1063">
        <f t="shared" si="63"/>
        <v>20</v>
      </c>
      <c r="U1063" t="s">
        <v>4037</v>
      </c>
      <c r="V1063" s="4" t="s">
        <v>4023</v>
      </c>
      <c r="W1063">
        <v>1062</v>
      </c>
      <c r="Y1063">
        <f t="shared" si="64"/>
        <v>0</v>
      </c>
      <c r="Z1063">
        <f t="shared" si="65"/>
        <v>0</v>
      </c>
    </row>
    <row r="1064" spans="1:26" x14ac:dyDescent="0.25">
      <c r="A1064" s="4">
        <v>1130</v>
      </c>
      <c r="B1064" t="s">
        <v>44</v>
      </c>
      <c r="C1064">
        <v>2</v>
      </c>
      <c r="D1064">
        <v>1</v>
      </c>
      <c r="E1064">
        <v>5</v>
      </c>
      <c r="F1064" t="s">
        <v>14</v>
      </c>
      <c r="G1064">
        <v>5.6</v>
      </c>
      <c r="I1064">
        <v>4</v>
      </c>
      <c r="J1064" t="s">
        <v>18</v>
      </c>
      <c r="K1064" t="str">
        <f t="shared" si="62"/>
        <v/>
      </c>
      <c r="L1064" t="s">
        <v>16</v>
      </c>
      <c r="M1064">
        <v>6</v>
      </c>
      <c r="T1064">
        <f t="shared" si="63"/>
        <v>20</v>
      </c>
      <c r="U1064" t="s">
        <v>4043</v>
      </c>
      <c r="V1064" s="4" t="s">
        <v>4023</v>
      </c>
      <c r="W1064">
        <v>1063</v>
      </c>
      <c r="Y1064">
        <f t="shared" si="64"/>
        <v>0</v>
      </c>
      <c r="Z1064">
        <f t="shared" si="65"/>
        <v>0</v>
      </c>
    </row>
    <row r="1065" spans="1:26" x14ac:dyDescent="0.25">
      <c r="A1065" s="4">
        <v>1130</v>
      </c>
      <c r="B1065" t="s">
        <v>44</v>
      </c>
      <c r="C1065">
        <v>2</v>
      </c>
      <c r="D1065">
        <v>1</v>
      </c>
      <c r="E1065">
        <v>12</v>
      </c>
      <c r="F1065" t="s">
        <v>14</v>
      </c>
      <c r="G1065">
        <v>6.25</v>
      </c>
      <c r="I1065">
        <v>4</v>
      </c>
      <c r="J1065" t="s">
        <v>18</v>
      </c>
      <c r="K1065" t="str">
        <f t="shared" si="62"/>
        <v/>
      </c>
      <c r="L1065" t="s">
        <v>16</v>
      </c>
      <c r="M1065">
        <v>6</v>
      </c>
      <c r="T1065">
        <f t="shared" si="63"/>
        <v>20</v>
      </c>
      <c r="U1065" t="s">
        <v>4045</v>
      </c>
      <c r="V1065" s="4" t="s">
        <v>4046</v>
      </c>
      <c r="W1065">
        <v>1064</v>
      </c>
      <c r="Y1065">
        <f t="shared" si="64"/>
        <v>0</v>
      </c>
      <c r="Z1065">
        <f t="shared" si="65"/>
        <v>0</v>
      </c>
    </row>
    <row r="1066" spans="1:26" x14ac:dyDescent="0.25">
      <c r="A1066" s="4">
        <v>1130</v>
      </c>
      <c r="B1066" t="s">
        <v>44</v>
      </c>
      <c r="C1066">
        <v>2</v>
      </c>
      <c r="D1066">
        <v>1</v>
      </c>
      <c r="E1066">
        <v>11</v>
      </c>
      <c r="F1066" t="s">
        <v>14</v>
      </c>
      <c r="G1066">
        <v>6.25</v>
      </c>
      <c r="I1066">
        <v>4</v>
      </c>
      <c r="J1066" t="s">
        <v>18</v>
      </c>
      <c r="K1066" t="str">
        <f t="shared" si="62"/>
        <v/>
      </c>
      <c r="L1066" t="s">
        <v>16</v>
      </c>
      <c r="M1066">
        <v>6</v>
      </c>
      <c r="T1066">
        <f t="shared" si="63"/>
        <v>20</v>
      </c>
      <c r="U1066" t="s">
        <v>4053</v>
      </c>
      <c r="V1066" s="4" t="s">
        <v>4046</v>
      </c>
      <c r="W1066">
        <v>1065</v>
      </c>
      <c r="Y1066">
        <f t="shared" si="64"/>
        <v>0</v>
      </c>
      <c r="Z1066">
        <f t="shared" si="65"/>
        <v>0</v>
      </c>
    </row>
    <row r="1067" spans="1:26" x14ac:dyDescent="0.25">
      <c r="A1067" s="4">
        <v>1130</v>
      </c>
      <c r="B1067" t="s">
        <v>44</v>
      </c>
      <c r="C1067">
        <v>2</v>
      </c>
      <c r="D1067">
        <v>1</v>
      </c>
      <c r="E1067">
        <v>10</v>
      </c>
      <c r="F1067" t="s">
        <v>14</v>
      </c>
      <c r="G1067">
        <v>6.25</v>
      </c>
      <c r="I1067">
        <v>4</v>
      </c>
      <c r="J1067" t="s">
        <v>18</v>
      </c>
      <c r="K1067" t="str">
        <f t="shared" si="62"/>
        <v/>
      </c>
      <c r="L1067" t="s">
        <v>16</v>
      </c>
      <c r="M1067">
        <v>6</v>
      </c>
      <c r="T1067">
        <f t="shared" si="63"/>
        <v>20</v>
      </c>
      <c r="U1067" t="s">
        <v>4056</v>
      </c>
      <c r="V1067" s="4" t="s">
        <v>4046</v>
      </c>
      <c r="W1067">
        <v>1066</v>
      </c>
      <c r="Y1067">
        <f t="shared" si="64"/>
        <v>0</v>
      </c>
      <c r="Z1067">
        <f t="shared" si="65"/>
        <v>0</v>
      </c>
    </row>
    <row r="1068" spans="1:26" x14ac:dyDescent="0.25">
      <c r="A1068" s="4">
        <v>1130</v>
      </c>
      <c r="B1068" t="s">
        <v>44</v>
      </c>
      <c r="C1068">
        <v>2</v>
      </c>
      <c r="D1068">
        <v>1</v>
      </c>
      <c r="E1068">
        <v>9</v>
      </c>
      <c r="F1068" t="s">
        <v>14</v>
      </c>
      <c r="G1068">
        <v>6.25</v>
      </c>
      <c r="I1068">
        <v>4</v>
      </c>
      <c r="J1068" t="s">
        <v>18</v>
      </c>
      <c r="K1068" t="str">
        <f t="shared" si="62"/>
        <v/>
      </c>
      <c r="L1068" t="s">
        <v>16</v>
      </c>
      <c r="M1068">
        <v>6</v>
      </c>
      <c r="T1068">
        <f t="shared" si="63"/>
        <v>20</v>
      </c>
      <c r="U1068" t="s">
        <v>4063</v>
      </c>
      <c r="V1068" s="4" t="s">
        <v>4046</v>
      </c>
      <c r="W1068">
        <v>1067</v>
      </c>
      <c r="Y1068">
        <f t="shared" si="64"/>
        <v>0</v>
      </c>
      <c r="Z1068">
        <f t="shared" si="65"/>
        <v>0</v>
      </c>
    </row>
    <row r="1069" spans="1:26" x14ac:dyDescent="0.25">
      <c r="A1069" s="4">
        <v>1130</v>
      </c>
      <c r="B1069" t="s">
        <v>44</v>
      </c>
      <c r="C1069">
        <v>2</v>
      </c>
      <c r="D1069">
        <v>1</v>
      </c>
      <c r="E1069">
        <v>16</v>
      </c>
      <c r="F1069" t="s">
        <v>14</v>
      </c>
      <c r="G1069">
        <v>7</v>
      </c>
      <c r="I1069">
        <v>4</v>
      </c>
      <c r="J1069" t="s">
        <v>18</v>
      </c>
      <c r="K1069" t="str">
        <f t="shared" si="62"/>
        <v/>
      </c>
      <c r="L1069" t="s">
        <v>16</v>
      </c>
      <c r="M1069">
        <v>4</v>
      </c>
      <c r="T1069">
        <f t="shared" si="63"/>
        <v>20</v>
      </c>
      <c r="U1069" t="s">
        <v>4066</v>
      </c>
      <c r="V1069" s="4" t="s">
        <v>4046</v>
      </c>
      <c r="W1069">
        <v>1068</v>
      </c>
      <c r="Y1069">
        <f t="shared" si="64"/>
        <v>0</v>
      </c>
      <c r="Z1069">
        <f t="shared" si="65"/>
        <v>0</v>
      </c>
    </row>
    <row r="1070" spans="1:26" x14ac:dyDescent="0.25">
      <c r="A1070" s="4">
        <v>1130</v>
      </c>
      <c r="B1070" t="s">
        <v>44</v>
      </c>
      <c r="C1070">
        <v>2</v>
      </c>
      <c r="D1070">
        <v>1</v>
      </c>
      <c r="E1070">
        <v>15</v>
      </c>
      <c r="F1070" t="s">
        <v>14</v>
      </c>
      <c r="G1070">
        <v>7</v>
      </c>
      <c r="I1070">
        <v>4</v>
      </c>
      <c r="J1070" t="s">
        <v>18</v>
      </c>
      <c r="K1070" t="str">
        <f t="shared" si="62"/>
        <v/>
      </c>
      <c r="L1070" t="s">
        <v>16</v>
      </c>
      <c r="M1070">
        <v>4</v>
      </c>
      <c r="T1070">
        <f t="shared" si="63"/>
        <v>20</v>
      </c>
      <c r="U1070" t="s">
        <v>4073</v>
      </c>
      <c r="V1070" s="4" t="s">
        <v>4046</v>
      </c>
      <c r="W1070">
        <v>1069</v>
      </c>
      <c r="Y1070">
        <f t="shared" si="64"/>
        <v>0</v>
      </c>
      <c r="Z1070">
        <f t="shared" si="65"/>
        <v>0</v>
      </c>
    </row>
    <row r="1071" spans="1:26" x14ac:dyDescent="0.25">
      <c r="A1071" s="4">
        <v>1130</v>
      </c>
      <c r="B1071" t="s">
        <v>44</v>
      </c>
      <c r="C1071">
        <v>2</v>
      </c>
      <c r="D1071">
        <v>1</v>
      </c>
      <c r="E1071">
        <v>14</v>
      </c>
      <c r="F1071" t="s">
        <v>14</v>
      </c>
      <c r="G1071">
        <v>7</v>
      </c>
      <c r="I1071">
        <v>4</v>
      </c>
      <c r="J1071" t="s">
        <v>18</v>
      </c>
      <c r="K1071" t="str">
        <f t="shared" si="62"/>
        <v/>
      </c>
      <c r="L1071" t="s">
        <v>16</v>
      </c>
      <c r="M1071">
        <v>4</v>
      </c>
      <c r="T1071">
        <f t="shared" si="63"/>
        <v>20</v>
      </c>
      <c r="U1071" t="s">
        <v>4074</v>
      </c>
      <c r="V1071" s="4" t="s">
        <v>4075</v>
      </c>
      <c r="W1071">
        <v>1070</v>
      </c>
      <c r="Y1071">
        <f t="shared" si="64"/>
        <v>0</v>
      </c>
      <c r="Z1071">
        <f t="shared" si="65"/>
        <v>0</v>
      </c>
    </row>
    <row r="1072" spans="1:26" x14ac:dyDescent="0.25">
      <c r="A1072" s="4">
        <v>1130</v>
      </c>
      <c r="B1072" t="s">
        <v>44</v>
      </c>
      <c r="C1072">
        <v>2</v>
      </c>
      <c r="D1072">
        <v>1</v>
      </c>
      <c r="E1072">
        <v>13</v>
      </c>
      <c r="F1072" t="s">
        <v>14</v>
      </c>
      <c r="G1072">
        <v>7</v>
      </c>
      <c r="I1072">
        <v>4</v>
      </c>
      <c r="J1072" t="s">
        <v>18</v>
      </c>
      <c r="K1072" t="str">
        <f t="shared" si="62"/>
        <v/>
      </c>
      <c r="L1072" t="s">
        <v>16</v>
      </c>
      <c r="M1072">
        <v>4</v>
      </c>
      <c r="T1072">
        <f t="shared" si="63"/>
        <v>20</v>
      </c>
      <c r="U1072" t="s">
        <v>4080</v>
      </c>
      <c r="V1072" s="4" t="s">
        <v>3858</v>
      </c>
      <c r="W1072">
        <v>1071</v>
      </c>
      <c r="Y1072">
        <f t="shared" si="64"/>
        <v>0</v>
      </c>
      <c r="Z1072">
        <f t="shared" si="65"/>
        <v>0</v>
      </c>
    </row>
    <row r="1073" spans="1:26" x14ac:dyDescent="0.25">
      <c r="A1073" s="4">
        <v>1134</v>
      </c>
      <c r="B1073" t="s">
        <v>45</v>
      </c>
      <c r="C1073">
        <v>2</v>
      </c>
      <c r="D1073">
        <v>1</v>
      </c>
      <c r="E1073">
        <v>5</v>
      </c>
      <c r="F1073" t="s">
        <v>14</v>
      </c>
      <c r="G1073">
        <v>5.87</v>
      </c>
      <c r="I1073">
        <v>4</v>
      </c>
      <c r="J1073" t="s">
        <v>20</v>
      </c>
      <c r="K1073" t="str">
        <f t="shared" si="62"/>
        <v/>
      </c>
      <c r="L1073" t="s">
        <v>16</v>
      </c>
      <c r="M1073">
        <v>4</v>
      </c>
      <c r="T1073">
        <f t="shared" si="63"/>
        <v>20</v>
      </c>
      <c r="U1073" t="s">
        <v>4083</v>
      </c>
      <c r="V1073" s="4" t="s">
        <v>3858</v>
      </c>
      <c r="W1073">
        <v>1072</v>
      </c>
      <c r="Y1073">
        <f t="shared" si="64"/>
        <v>0</v>
      </c>
      <c r="Z1073">
        <f t="shared" si="65"/>
        <v>0</v>
      </c>
    </row>
    <row r="1074" spans="1:26" x14ac:dyDescent="0.25">
      <c r="A1074" s="4">
        <v>1134</v>
      </c>
      <c r="B1074" t="s">
        <v>45</v>
      </c>
      <c r="C1074">
        <v>2</v>
      </c>
      <c r="D1074">
        <v>1</v>
      </c>
      <c r="E1074">
        <v>6</v>
      </c>
      <c r="F1074" t="s">
        <v>14</v>
      </c>
      <c r="G1074">
        <v>5.87</v>
      </c>
      <c r="I1074">
        <v>4</v>
      </c>
      <c r="J1074" t="s">
        <v>20</v>
      </c>
      <c r="K1074" t="str">
        <f t="shared" si="62"/>
        <v/>
      </c>
      <c r="L1074" t="s">
        <v>16</v>
      </c>
      <c r="M1074">
        <v>4</v>
      </c>
      <c r="T1074">
        <f t="shared" si="63"/>
        <v>20</v>
      </c>
      <c r="U1074" t="s">
        <v>4085</v>
      </c>
      <c r="V1074" s="4" t="s">
        <v>4086</v>
      </c>
      <c r="W1074">
        <v>1073</v>
      </c>
      <c r="Y1074">
        <f t="shared" si="64"/>
        <v>0</v>
      </c>
      <c r="Z1074">
        <f t="shared" si="65"/>
        <v>0</v>
      </c>
    </row>
    <row r="1075" spans="1:26" x14ac:dyDescent="0.25">
      <c r="A1075" s="4">
        <v>1134</v>
      </c>
      <c r="B1075" t="s">
        <v>45</v>
      </c>
      <c r="C1075">
        <v>2</v>
      </c>
      <c r="D1075">
        <v>1</v>
      </c>
      <c r="E1075">
        <v>7</v>
      </c>
      <c r="F1075" t="s">
        <v>14</v>
      </c>
      <c r="G1075">
        <v>5.87</v>
      </c>
      <c r="I1075">
        <v>4</v>
      </c>
      <c r="J1075" t="s">
        <v>20</v>
      </c>
      <c r="K1075" t="str">
        <f t="shared" si="62"/>
        <v/>
      </c>
      <c r="L1075" t="s">
        <v>16</v>
      </c>
      <c r="M1075">
        <v>4</v>
      </c>
      <c r="T1075">
        <f t="shared" si="63"/>
        <v>20</v>
      </c>
      <c r="U1075" t="s">
        <v>4089</v>
      </c>
      <c r="V1075" s="4" t="s">
        <v>4086</v>
      </c>
      <c r="W1075">
        <v>1074</v>
      </c>
      <c r="Y1075">
        <f t="shared" si="64"/>
        <v>0</v>
      </c>
      <c r="Z1075">
        <f t="shared" si="65"/>
        <v>0</v>
      </c>
    </row>
    <row r="1076" spans="1:26" x14ac:dyDescent="0.25">
      <c r="A1076" s="4">
        <v>1134</v>
      </c>
      <c r="B1076" t="s">
        <v>45</v>
      </c>
      <c r="C1076">
        <v>2</v>
      </c>
      <c r="D1076">
        <v>1</v>
      </c>
      <c r="E1076">
        <v>8</v>
      </c>
      <c r="F1076" t="s">
        <v>14</v>
      </c>
      <c r="G1076">
        <v>5.87</v>
      </c>
      <c r="I1076">
        <v>4</v>
      </c>
      <c r="J1076" t="s">
        <v>20</v>
      </c>
      <c r="K1076" t="str">
        <f t="shared" si="62"/>
        <v/>
      </c>
      <c r="L1076" t="s">
        <v>16</v>
      </c>
      <c r="M1076">
        <v>4</v>
      </c>
      <c r="T1076">
        <f t="shared" si="63"/>
        <v>20</v>
      </c>
      <c r="U1076" t="s">
        <v>4091</v>
      </c>
      <c r="V1076" s="4" t="s">
        <v>4086</v>
      </c>
      <c r="W1076">
        <v>1075</v>
      </c>
      <c r="Y1076">
        <f t="shared" si="64"/>
        <v>0</v>
      </c>
      <c r="Z1076">
        <f t="shared" si="65"/>
        <v>0</v>
      </c>
    </row>
    <row r="1077" spans="1:26" x14ac:dyDescent="0.25">
      <c r="A1077" s="4">
        <v>1134</v>
      </c>
      <c r="B1077" t="s">
        <v>45</v>
      </c>
      <c r="C1077">
        <v>2</v>
      </c>
      <c r="D1077">
        <v>1</v>
      </c>
      <c r="E1077">
        <v>5</v>
      </c>
      <c r="F1077" t="s">
        <v>14</v>
      </c>
      <c r="G1077">
        <v>5.87</v>
      </c>
      <c r="I1077">
        <v>4</v>
      </c>
      <c r="J1077" t="s">
        <v>18</v>
      </c>
      <c r="K1077" t="str">
        <f t="shared" si="62"/>
        <v/>
      </c>
      <c r="L1077" t="s">
        <v>16</v>
      </c>
      <c r="M1077">
        <v>4</v>
      </c>
      <c r="T1077">
        <f t="shared" si="63"/>
        <v>20</v>
      </c>
      <c r="U1077" t="s">
        <v>4096</v>
      </c>
      <c r="V1077" s="4" t="s">
        <v>4086</v>
      </c>
      <c r="W1077">
        <v>1076</v>
      </c>
      <c r="Y1077">
        <f t="shared" si="64"/>
        <v>0</v>
      </c>
      <c r="Z1077">
        <f t="shared" si="65"/>
        <v>0</v>
      </c>
    </row>
    <row r="1078" spans="1:26" x14ac:dyDescent="0.25">
      <c r="A1078" s="4">
        <v>1134</v>
      </c>
      <c r="B1078" t="s">
        <v>45</v>
      </c>
      <c r="C1078">
        <v>2</v>
      </c>
      <c r="D1078">
        <v>1</v>
      </c>
      <c r="E1078">
        <v>6</v>
      </c>
      <c r="F1078" t="s">
        <v>14</v>
      </c>
      <c r="G1078">
        <v>5.87</v>
      </c>
      <c r="I1078">
        <v>4</v>
      </c>
      <c r="J1078" t="s">
        <v>18</v>
      </c>
      <c r="K1078" t="str">
        <f t="shared" si="62"/>
        <v/>
      </c>
      <c r="L1078" t="s">
        <v>16</v>
      </c>
      <c r="M1078">
        <v>4</v>
      </c>
      <c r="T1078">
        <f t="shared" si="63"/>
        <v>20</v>
      </c>
      <c r="U1078" t="s">
        <v>4101</v>
      </c>
      <c r="V1078" s="4" t="s">
        <v>4086</v>
      </c>
      <c r="W1078">
        <v>1077</v>
      </c>
      <c r="Y1078">
        <f t="shared" si="64"/>
        <v>0</v>
      </c>
      <c r="Z1078">
        <f t="shared" si="65"/>
        <v>0</v>
      </c>
    </row>
    <row r="1079" spans="1:26" x14ac:dyDescent="0.25">
      <c r="A1079" s="4">
        <v>1134</v>
      </c>
      <c r="B1079" t="s">
        <v>45</v>
      </c>
      <c r="C1079">
        <v>2</v>
      </c>
      <c r="D1079">
        <v>1</v>
      </c>
      <c r="E1079">
        <v>7</v>
      </c>
      <c r="F1079" t="s">
        <v>14</v>
      </c>
      <c r="G1079">
        <v>5.87</v>
      </c>
      <c r="I1079">
        <v>4</v>
      </c>
      <c r="J1079" t="s">
        <v>18</v>
      </c>
      <c r="K1079" t="str">
        <f t="shared" si="62"/>
        <v/>
      </c>
      <c r="L1079" t="s">
        <v>16</v>
      </c>
      <c r="M1079">
        <v>4</v>
      </c>
      <c r="T1079">
        <f t="shared" si="63"/>
        <v>20</v>
      </c>
      <c r="U1079" t="s">
        <v>4104</v>
      </c>
      <c r="V1079" s="4" t="s">
        <v>4086</v>
      </c>
      <c r="W1079">
        <v>1078</v>
      </c>
      <c r="Y1079">
        <f t="shared" si="64"/>
        <v>0</v>
      </c>
      <c r="Z1079">
        <f t="shared" si="65"/>
        <v>0</v>
      </c>
    </row>
    <row r="1080" spans="1:26" x14ac:dyDescent="0.25">
      <c r="A1080" s="4">
        <v>1134</v>
      </c>
      <c r="B1080" t="s">
        <v>45</v>
      </c>
      <c r="C1080">
        <v>2</v>
      </c>
      <c r="D1080">
        <v>1</v>
      </c>
      <c r="E1080">
        <v>8</v>
      </c>
      <c r="F1080" t="s">
        <v>14</v>
      </c>
      <c r="G1080">
        <v>5.87</v>
      </c>
      <c r="I1080">
        <v>4</v>
      </c>
      <c r="J1080" t="s">
        <v>18</v>
      </c>
      <c r="K1080" t="str">
        <f t="shared" si="62"/>
        <v/>
      </c>
      <c r="L1080" t="s">
        <v>16</v>
      </c>
      <c r="M1080">
        <v>4</v>
      </c>
      <c r="Y1080">
        <f t="shared" si="64"/>
        <v>0</v>
      </c>
      <c r="Z1080">
        <f t="shared" si="65"/>
        <v>0</v>
      </c>
    </row>
    <row r="1081" spans="1:26" x14ac:dyDescent="0.25">
      <c r="A1081" s="4">
        <v>1134</v>
      </c>
      <c r="B1081" t="s">
        <v>45</v>
      </c>
      <c r="C1081">
        <v>2</v>
      </c>
      <c r="D1081">
        <v>1</v>
      </c>
      <c r="E1081">
        <v>9</v>
      </c>
      <c r="F1081" t="s">
        <v>14</v>
      </c>
      <c r="G1081">
        <v>6.64</v>
      </c>
      <c r="I1081">
        <v>4</v>
      </c>
      <c r="J1081" t="s">
        <v>20</v>
      </c>
      <c r="K1081" t="str">
        <f t="shared" si="62"/>
        <v/>
      </c>
      <c r="L1081" t="s">
        <v>16</v>
      </c>
      <c r="M1081">
        <v>2</v>
      </c>
      <c r="Y1081">
        <f t="shared" si="64"/>
        <v>0</v>
      </c>
      <c r="Z1081">
        <f t="shared" si="65"/>
        <v>0</v>
      </c>
    </row>
    <row r="1082" spans="1:26" x14ac:dyDescent="0.25">
      <c r="A1082" s="4">
        <v>1134</v>
      </c>
      <c r="B1082" t="s">
        <v>45</v>
      </c>
      <c r="C1082">
        <v>2</v>
      </c>
      <c r="D1082">
        <v>1</v>
      </c>
      <c r="E1082">
        <v>10</v>
      </c>
      <c r="F1082" t="s">
        <v>14</v>
      </c>
      <c r="G1082">
        <v>6.64</v>
      </c>
      <c r="I1082">
        <v>4</v>
      </c>
      <c r="J1082" t="s">
        <v>20</v>
      </c>
      <c r="K1082" t="str">
        <f t="shared" si="62"/>
        <v/>
      </c>
      <c r="L1082" t="s">
        <v>16</v>
      </c>
      <c r="M1082">
        <v>2</v>
      </c>
      <c r="Y1082">
        <f t="shared" si="64"/>
        <v>0</v>
      </c>
      <c r="Z1082">
        <f t="shared" si="65"/>
        <v>0</v>
      </c>
    </row>
    <row r="1083" spans="1:26" x14ac:dyDescent="0.25">
      <c r="A1083" s="4">
        <v>1134</v>
      </c>
      <c r="B1083" t="s">
        <v>45</v>
      </c>
      <c r="C1083">
        <v>2</v>
      </c>
      <c r="D1083">
        <v>1</v>
      </c>
      <c r="E1083">
        <v>11</v>
      </c>
      <c r="F1083" t="s">
        <v>14</v>
      </c>
      <c r="G1083">
        <v>6.64</v>
      </c>
      <c r="I1083">
        <v>4</v>
      </c>
      <c r="J1083" t="s">
        <v>20</v>
      </c>
      <c r="K1083" t="str">
        <f t="shared" si="62"/>
        <v/>
      </c>
      <c r="L1083" t="s">
        <v>16</v>
      </c>
      <c r="M1083">
        <v>2</v>
      </c>
      <c r="Y1083">
        <f t="shared" si="64"/>
        <v>0</v>
      </c>
      <c r="Z1083">
        <f t="shared" si="65"/>
        <v>0</v>
      </c>
    </row>
    <row r="1084" spans="1:26" x14ac:dyDescent="0.25">
      <c r="A1084" s="4">
        <v>1134</v>
      </c>
      <c r="B1084" t="s">
        <v>45</v>
      </c>
      <c r="C1084">
        <v>2</v>
      </c>
      <c r="D1084">
        <v>1</v>
      </c>
      <c r="E1084">
        <v>12</v>
      </c>
      <c r="F1084" t="s">
        <v>14</v>
      </c>
      <c r="G1084">
        <v>6.64</v>
      </c>
      <c r="I1084">
        <v>4</v>
      </c>
      <c r="J1084" t="s">
        <v>20</v>
      </c>
      <c r="K1084" t="str">
        <f t="shared" si="62"/>
        <v/>
      </c>
      <c r="L1084" t="s">
        <v>16</v>
      </c>
      <c r="M1084">
        <v>2</v>
      </c>
      <c r="Y1084">
        <f t="shared" si="64"/>
        <v>0</v>
      </c>
      <c r="Z1084">
        <f t="shared" si="65"/>
        <v>0</v>
      </c>
    </row>
    <row r="1085" spans="1:26" x14ac:dyDescent="0.25">
      <c r="A1085" s="4">
        <v>1134</v>
      </c>
      <c r="B1085" t="s">
        <v>45</v>
      </c>
      <c r="C1085">
        <v>2</v>
      </c>
      <c r="D1085">
        <v>1</v>
      </c>
      <c r="E1085">
        <v>9</v>
      </c>
      <c r="F1085" t="s">
        <v>14</v>
      </c>
      <c r="G1085">
        <v>6.64</v>
      </c>
      <c r="I1085">
        <v>4</v>
      </c>
      <c r="J1085" t="s">
        <v>18</v>
      </c>
      <c r="K1085" t="str">
        <f t="shared" si="62"/>
        <v/>
      </c>
      <c r="L1085" t="s">
        <v>16</v>
      </c>
      <c r="M1085">
        <v>2</v>
      </c>
      <c r="Y1085">
        <f t="shared" si="64"/>
        <v>0</v>
      </c>
      <c r="Z1085">
        <f t="shared" si="65"/>
        <v>0</v>
      </c>
    </row>
    <row r="1086" spans="1:26" x14ac:dyDescent="0.25">
      <c r="A1086" s="4">
        <v>1134</v>
      </c>
      <c r="B1086" t="s">
        <v>45</v>
      </c>
      <c r="C1086">
        <v>2</v>
      </c>
      <c r="D1086">
        <v>1</v>
      </c>
      <c r="E1086">
        <v>10</v>
      </c>
      <c r="F1086" t="s">
        <v>14</v>
      </c>
      <c r="G1086">
        <v>6.64</v>
      </c>
      <c r="I1086">
        <v>4</v>
      </c>
      <c r="J1086" t="s">
        <v>18</v>
      </c>
      <c r="K1086" t="str">
        <f t="shared" si="62"/>
        <v/>
      </c>
      <c r="L1086" t="s">
        <v>16</v>
      </c>
      <c r="M1086">
        <v>2</v>
      </c>
      <c r="Y1086">
        <f t="shared" si="64"/>
        <v>0</v>
      </c>
      <c r="Z1086">
        <f t="shared" si="65"/>
        <v>0</v>
      </c>
    </row>
    <row r="1087" spans="1:26" x14ac:dyDescent="0.25">
      <c r="A1087" s="4">
        <v>1134</v>
      </c>
      <c r="B1087" t="s">
        <v>45</v>
      </c>
      <c r="C1087">
        <v>2</v>
      </c>
      <c r="D1087">
        <v>1</v>
      </c>
      <c r="E1087">
        <v>11</v>
      </c>
      <c r="F1087" t="s">
        <v>14</v>
      </c>
      <c r="G1087">
        <v>6.64</v>
      </c>
      <c r="I1087">
        <v>4</v>
      </c>
      <c r="J1087" t="s">
        <v>18</v>
      </c>
      <c r="K1087" t="str">
        <f t="shared" si="62"/>
        <v/>
      </c>
      <c r="L1087" t="s">
        <v>16</v>
      </c>
      <c r="M1087">
        <v>2</v>
      </c>
      <c r="Y1087">
        <f t="shared" si="64"/>
        <v>0</v>
      </c>
      <c r="Z1087">
        <f t="shared" si="65"/>
        <v>0</v>
      </c>
    </row>
    <row r="1088" spans="1:26" x14ac:dyDescent="0.25">
      <c r="A1088" s="4">
        <v>1134</v>
      </c>
      <c r="B1088" t="s">
        <v>45</v>
      </c>
      <c r="C1088">
        <v>2</v>
      </c>
      <c r="D1088">
        <v>1</v>
      </c>
      <c r="E1088">
        <v>12</v>
      </c>
      <c r="F1088" t="s">
        <v>14</v>
      </c>
      <c r="G1088">
        <v>6.64</v>
      </c>
      <c r="I1088">
        <v>4</v>
      </c>
      <c r="J1088" t="s">
        <v>18</v>
      </c>
      <c r="K1088" t="str">
        <f t="shared" si="62"/>
        <v/>
      </c>
      <c r="L1088" t="s">
        <v>16</v>
      </c>
      <c r="M1088">
        <v>2</v>
      </c>
      <c r="Y1088">
        <f t="shared" si="64"/>
        <v>0</v>
      </c>
      <c r="Z1088">
        <f t="shared" si="65"/>
        <v>0</v>
      </c>
    </row>
    <row r="1089" spans="1:26" x14ac:dyDescent="0.25">
      <c r="A1089" s="4">
        <v>1134</v>
      </c>
      <c r="B1089" t="s">
        <v>45</v>
      </c>
      <c r="C1089">
        <v>2</v>
      </c>
      <c r="D1089">
        <v>1</v>
      </c>
      <c r="E1089">
        <v>13</v>
      </c>
      <c r="F1089" t="s">
        <v>14</v>
      </c>
      <c r="G1089">
        <v>7.54</v>
      </c>
      <c r="I1089">
        <v>4</v>
      </c>
      <c r="J1089" t="s">
        <v>20</v>
      </c>
      <c r="K1089" t="str">
        <f t="shared" si="62"/>
        <v/>
      </c>
      <c r="L1089" t="s">
        <v>16</v>
      </c>
      <c r="M1089">
        <v>3</v>
      </c>
      <c r="Y1089">
        <f t="shared" si="64"/>
        <v>0</v>
      </c>
      <c r="Z1089">
        <f t="shared" si="65"/>
        <v>0</v>
      </c>
    </row>
    <row r="1090" spans="1:26" x14ac:dyDescent="0.25">
      <c r="A1090" s="4">
        <v>1134</v>
      </c>
      <c r="B1090" t="s">
        <v>45</v>
      </c>
      <c r="C1090">
        <v>2</v>
      </c>
      <c r="D1090">
        <v>1</v>
      </c>
      <c r="E1090">
        <v>14</v>
      </c>
      <c r="F1090" t="s">
        <v>14</v>
      </c>
      <c r="G1090">
        <v>7.54</v>
      </c>
      <c r="I1090">
        <v>4</v>
      </c>
      <c r="J1090" t="s">
        <v>20</v>
      </c>
      <c r="K1090" t="str">
        <f t="shared" si="62"/>
        <v/>
      </c>
      <c r="L1090" t="s">
        <v>16</v>
      </c>
      <c r="M1090">
        <v>3</v>
      </c>
      <c r="Y1090">
        <f t="shared" si="64"/>
        <v>0</v>
      </c>
      <c r="Z1090">
        <f t="shared" si="65"/>
        <v>0</v>
      </c>
    </row>
    <row r="1091" spans="1:26" x14ac:dyDescent="0.25">
      <c r="A1091" s="4">
        <v>1134</v>
      </c>
      <c r="B1091" t="s">
        <v>45</v>
      </c>
      <c r="C1091">
        <v>2</v>
      </c>
      <c r="D1091">
        <v>1</v>
      </c>
      <c r="E1091">
        <v>15</v>
      </c>
      <c r="F1091" t="s">
        <v>14</v>
      </c>
      <c r="G1091">
        <v>7.54</v>
      </c>
      <c r="I1091">
        <v>4</v>
      </c>
      <c r="J1091" t="s">
        <v>20</v>
      </c>
      <c r="K1091" t="str">
        <f t="shared" ref="K1091:K1154" si="66">_xlfn.XLOOKUP(A1091,V:V,U:U,"",0)</f>
        <v/>
      </c>
      <c r="L1091" t="s">
        <v>16</v>
      </c>
      <c r="M1091">
        <v>3</v>
      </c>
      <c r="Y1091">
        <f t="shared" ref="Y1091:Y1154" si="67">LEN(O1091)</f>
        <v>0</v>
      </c>
      <c r="Z1091">
        <f t="shared" ref="Z1091:Z1154" si="68">LEN(P1091)</f>
        <v>0</v>
      </c>
    </row>
    <row r="1092" spans="1:26" x14ac:dyDescent="0.25">
      <c r="A1092" s="4">
        <v>1134</v>
      </c>
      <c r="B1092" t="s">
        <v>45</v>
      </c>
      <c r="C1092">
        <v>2</v>
      </c>
      <c r="D1092">
        <v>1</v>
      </c>
      <c r="E1092">
        <v>16</v>
      </c>
      <c r="F1092" t="s">
        <v>14</v>
      </c>
      <c r="G1092">
        <v>7.54</v>
      </c>
      <c r="I1092">
        <v>4</v>
      </c>
      <c r="J1092" t="s">
        <v>20</v>
      </c>
      <c r="K1092" t="str">
        <f t="shared" si="66"/>
        <v/>
      </c>
      <c r="L1092" t="s">
        <v>16</v>
      </c>
      <c r="M1092">
        <v>3</v>
      </c>
      <c r="Y1092">
        <f t="shared" si="67"/>
        <v>0</v>
      </c>
      <c r="Z1092">
        <f t="shared" si="68"/>
        <v>0</v>
      </c>
    </row>
    <row r="1093" spans="1:26" x14ac:dyDescent="0.25">
      <c r="A1093" s="4">
        <v>1134</v>
      </c>
      <c r="B1093" t="s">
        <v>45</v>
      </c>
      <c r="C1093">
        <v>2</v>
      </c>
      <c r="D1093">
        <v>1</v>
      </c>
      <c r="E1093">
        <v>13</v>
      </c>
      <c r="F1093" t="s">
        <v>14</v>
      </c>
      <c r="G1093">
        <v>7.54</v>
      </c>
      <c r="I1093">
        <v>4</v>
      </c>
      <c r="J1093" t="s">
        <v>18</v>
      </c>
      <c r="K1093" t="str">
        <f t="shared" si="66"/>
        <v/>
      </c>
      <c r="L1093" t="s">
        <v>16</v>
      </c>
      <c r="M1093">
        <v>4</v>
      </c>
      <c r="Y1093">
        <f t="shared" si="67"/>
        <v>0</v>
      </c>
      <c r="Z1093">
        <f t="shared" si="68"/>
        <v>0</v>
      </c>
    </row>
    <row r="1094" spans="1:26" x14ac:dyDescent="0.25">
      <c r="A1094" s="4">
        <v>1134</v>
      </c>
      <c r="B1094" t="s">
        <v>45</v>
      </c>
      <c r="C1094">
        <v>2</v>
      </c>
      <c r="D1094">
        <v>1</v>
      </c>
      <c r="E1094">
        <v>14</v>
      </c>
      <c r="F1094" t="s">
        <v>14</v>
      </c>
      <c r="G1094">
        <v>7.54</v>
      </c>
      <c r="I1094">
        <v>4</v>
      </c>
      <c r="J1094" t="s">
        <v>18</v>
      </c>
      <c r="K1094" t="str">
        <f t="shared" si="66"/>
        <v/>
      </c>
      <c r="L1094" t="s">
        <v>16</v>
      </c>
      <c r="M1094">
        <v>4</v>
      </c>
      <c r="Y1094">
        <f t="shared" si="67"/>
        <v>0</v>
      </c>
      <c r="Z1094">
        <f t="shared" si="68"/>
        <v>0</v>
      </c>
    </row>
    <row r="1095" spans="1:26" x14ac:dyDescent="0.25">
      <c r="A1095" s="4">
        <v>1134</v>
      </c>
      <c r="B1095" t="s">
        <v>45</v>
      </c>
      <c r="C1095">
        <v>2</v>
      </c>
      <c r="D1095">
        <v>1</v>
      </c>
      <c r="E1095">
        <v>15</v>
      </c>
      <c r="F1095" t="s">
        <v>14</v>
      </c>
      <c r="G1095">
        <v>7.54</v>
      </c>
      <c r="I1095">
        <v>4</v>
      </c>
      <c r="J1095" t="s">
        <v>18</v>
      </c>
      <c r="K1095" t="str">
        <f t="shared" si="66"/>
        <v/>
      </c>
      <c r="L1095" t="s">
        <v>16</v>
      </c>
      <c r="M1095">
        <v>4</v>
      </c>
      <c r="Y1095">
        <f t="shared" si="67"/>
        <v>0</v>
      </c>
      <c r="Z1095">
        <f t="shared" si="68"/>
        <v>0</v>
      </c>
    </row>
    <row r="1096" spans="1:26" x14ac:dyDescent="0.25">
      <c r="A1096" s="4">
        <v>1134</v>
      </c>
      <c r="B1096" t="s">
        <v>45</v>
      </c>
      <c r="C1096">
        <v>2</v>
      </c>
      <c r="D1096">
        <v>1</v>
      </c>
      <c r="E1096">
        <v>16</v>
      </c>
      <c r="F1096" t="s">
        <v>14</v>
      </c>
      <c r="G1096">
        <v>7.54</v>
      </c>
      <c r="I1096">
        <v>4</v>
      </c>
      <c r="J1096" t="s">
        <v>18</v>
      </c>
      <c r="K1096" t="str">
        <f t="shared" si="66"/>
        <v/>
      </c>
      <c r="L1096" t="s">
        <v>16</v>
      </c>
      <c r="M1096">
        <v>4</v>
      </c>
      <c r="Y1096">
        <f t="shared" si="67"/>
        <v>0</v>
      </c>
      <c r="Z1096">
        <f t="shared" si="68"/>
        <v>0</v>
      </c>
    </row>
    <row r="1097" spans="1:26" x14ac:dyDescent="0.25">
      <c r="A1097" s="4">
        <v>5089</v>
      </c>
      <c r="B1097" t="s">
        <v>46</v>
      </c>
      <c r="C1097">
        <v>6</v>
      </c>
      <c r="D1097">
        <v>1</v>
      </c>
      <c r="E1097">
        <v>5</v>
      </c>
      <c r="F1097" t="s">
        <v>14</v>
      </c>
      <c r="G1097">
        <v>5.65</v>
      </c>
      <c r="I1097">
        <v>4</v>
      </c>
      <c r="J1097" t="s">
        <v>18</v>
      </c>
      <c r="K1097" t="str">
        <f t="shared" si="66"/>
        <v/>
      </c>
      <c r="L1097" t="s">
        <v>16</v>
      </c>
      <c r="M1097">
        <v>2</v>
      </c>
      <c r="Y1097">
        <f t="shared" si="67"/>
        <v>0</v>
      </c>
      <c r="Z1097">
        <f t="shared" si="68"/>
        <v>0</v>
      </c>
    </row>
    <row r="1098" spans="1:26" x14ac:dyDescent="0.25">
      <c r="A1098" s="4">
        <v>5089</v>
      </c>
      <c r="B1098" t="s">
        <v>46</v>
      </c>
      <c r="C1098">
        <v>6</v>
      </c>
      <c r="D1098">
        <v>1</v>
      </c>
      <c r="E1098">
        <v>6</v>
      </c>
      <c r="F1098" t="s">
        <v>14</v>
      </c>
      <c r="G1098">
        <v>5.65</v>
      </c>
      <c r="I1098">
        <v>4</v>
      </c>
      <c r="J1098" t="s">
        <v>18</v>
      </c>
      <c r="K1098" t="str">
        <f t="shared" si="66"/>
        <v/>
      </c>
      <c r="L1098" t="s">
        <v>16</v>
      </c>
      <c r="M1098">
        <v>2</v>
      </c>
      <c r="Y1098">
        <f t="shared" si="67"/>
        <v>0</v>
      </c>
      <c r="Z1098">
        <f t="shared" si="68"/>
        <v>0</v>
      </c>
    </row>
    <row r="1099" spans="1:26" x14ac:dyDescent="0.25">
      <c r="A1099" s="4">
        <v>5089</v>
      </c>
      <c r="B1099" t="s">
        <v>46</v>
      </c>
      <c r="C1099">
        <v>6</v>
      </c>
      <c r="D1099">
        <v>1</v>
      </c>
      <c r="E1099">
        <v>7</v>
      </c>
      <c r="F1099" t="s">
        <v>14</v>
      </c>
      <c r="G1099">
        <v>5.65</v>
      </c>
      <c r="I1099">
        <v>4</v>
      </c>
      <c r="J1099" t="s">
        <v>18</v>
      </c>
      <c r="K1099" t="str">
        <f t="shared" si="66"/>
        <v/>
      </c>
      <c r="L1099" t="s">
        <v>16</v>
      </c>
      <c r="M1099">
        <v>2</v>
      </c>
      <c r="Y1099">
        <f t="shared" si="67"/>
        <v>0</v>
      </c>
      <c r="Z1099">
        <f t="shared" si="68"/>
        <v>0</v>
      </c>
    </row>
    <row r="1100" spans="1:26" x14ac:dyDescent="0.25">
      <c r="A1100" s="4">
        <v>5089</v>
      </c>
      <c r="B1100" t="s">
        <v>46</v>
      </c>
      <c r="C1100">
        <v>6</v>
      </c>
      <c r="D1100">
        <v>1</v>
      </c>
      <c r="E1100">
        <v>8</v>
      </c>
      <c r="F1100" t="s">
        <v>14</v>
      </c>
      <c r="G1100">
        <v>5.65</v>
      </c>
      <c r="I1100">
        <v>4</v>
      </c>
      <c r="J1100" t="s">
        <v>18</v>
      </c>
      <c r="K1100" t="str">
        <f t="shared" si="66"/>
        <v/>
      </c>
      <c r="L1100" t="s">
        <v>16</v>
      </c>
      <c r="M1100">
        <v>2</v>
      </c>
      <c r="Y1100">
        <f t="shared" si="67"/>
        <v>0</v>
      </c>
      <c r="Z1100">
        <f t="shared" si="68"/>
        <v>0</v>
      </c>
    </row>
    <row r="1101" spans="1:26" x14ac:dyDescent="0.25">
      <c r="A1101" s="4">
        <v>5089</v>
      </c>
      <c r="B1101" t="s">
        <v>46</v>
      </c>
      <c r="C1101">
        <v>6</v>
      </c>
      <c r="D1101">
        <v>1</v>
      </c>
      <c r="E1101">
        <v>13</v>
      </c>
      <c r="F1101" t="s">
        <v>14</v>
      </c>
      <c r="G1101">
        <v>7.2</v>
      </c>
      <c r="I1101">
        <v>4</v>
      </c>
      <c r="J1101" t="s">
        <v>18</v>
      </c>
      <c r="K1101" t="str">
        <f t="shared" si="66"/>
        <v/>
      </c>
      <c r="L1101" t="s">
        <v>16</v>
      </c>
      <c r="M1101">
        <v>1</v>
      </c>
      <c r="Y1101">
        <f t="shared" si="67"/>
        <v>0</v>
      </c>
      <c r="Z1101">
        <f t="shared" si="68"/>
        <v>0</v>
      </c>
    </row>
    <row r="1102" spans="1:26" x14ac:dyDescent="0.25">
      <c r="A1102" s="4">
        <v>5089</v>
      </c>
      <c r="B1102" t="s">
        <v>46</v>
      </c>
      <c r="C1102">
        <v>6</v>
      </c>
      <c r="D1102">
        <v>1</v>
      </c>
      <c r="E1102">
        <v>14</v>
      </c>
      <c r="F1102" t="s">
        <v>14</v>
      </c>
      <c r="G1102">
        <v>7.2</v>
      </c>
      <c r="I1102">
        <v>4</v>
      </c>
      <c r="J1102" t="s">
        <v>18</v>
      </c>
      <c r="K1102" t="str">
        <f t="shared" si="66"/>
        <v/>
      </c>
      <c r="L1102" t="s">
        <v>16</v>
      </c>
      <c r="M1102">
        <v>1</v>
      </c>
      <c r="Y1102">
        <f t="shared" si="67"/>
        <v>0</v>
      </c>
      <c r="Z1102">
        <f t="shared" si="68"/>
        <v>0</v>
      </c>
    </row>
    <row r="1103" spans="1:26" x14ac:dyDescent="0.25">
      <c r="A1103" s="4">
        <v>5089</v>
      </c>
      <c r="B1103" t="s">
        <v>46</v>
      </c>
      <c r="C1103">
        <v>6</v>
      </c>
      <c r="D1103">
        <v>1</v>
      </c>
      <c r="E1103">
        <v>15</v>
      </c>
      <c r="F1103" t="s">
        <v>14</v>
      </c>
      <c r="G1103">
        <v>7.2</v>
      </c>
      <c r="I1103">
        <v>4</v>
      </c>
      <c r="J1103" t="s">
        <v>18</v>
      </c>
      <c r="K1103" t="str">
        <f t="shared" si="66"/>
        <v/>
      </c>
      <c r="L1103" t="s">
        <v>16</v>
      </c>
      <c r="M1103">
        <v>1</v>
      </c>
      <c r="Y1103">
        <f t="shared" si="67"/>
        <v>0</v>
      </c>
      <c r="Z1103">
        <f t="shared" si="68"/>
        <v>0</v>
      </c>
    </row>
    <row r="1104" spans="1:26" x14ac:dyDescent="0.25">
      <c r="A1104" s="4">
        <v>5089</v>
      </c>
      <c r="B1104" t="s">
        <v>46</v>
      </c>
      <c r="C1104">
        <v>6</v>
      </c>
      <c r="D1104">
        <v>1</v>
      </c>
      <c r="E1104">
        <v>16</v>
      </c>
      <c r="F1104" t="s">
        <v>14</v>
      </c>
      <c r="G1104">
        <v>7.2</v>
      </c>
      <c r="I1104">
        <v>4</v>
      </c>
      <c r="J1104" t="s">
        <v>18</v>
      </c>
      <c r="K1104" t="str">
        <f t="shared" si="66"/>
        <v/>
      </c>
      <c r="L1104" t="s">
        <v>16</v>
      </c>
      <c r="M1104">
        <v>1</v>
      </c>
      <c r="Y1104">
        <f t="shared" si="67"/>
        <v>0</v>
      </c>
      <c r="Z1104">
        <f t="shared" si="68"/>
        <v>0</v>
      </c>
    </row>
    <row r="1105" spans="1:26" x14ac:dyDescent="0.25">
      <c r="A1105" s="4">
        <v>5094</v>
      </c>
      <c r="B1105" t="s">
        <v>47</v>
      </c>
      <c r="C1105">
        <v>6</v>
      </c>
      <c r="D1105">
        <v>1</v>
      </c>
      <c r="E1105">
        <v>1</v>
      </c>
      <c r="F1105" t="s">
        <v>14</v>
      </c>
      <c r="G1105">
        <v>5</v>
      </c>
      <c r="I1105">
        <v>4</v>
      </c>
      <c r="J1105" t="s">
        <v>17</v>
      </c>
      <c r="K1105" t="str">
        <f t="shared" si="66"/>
        <v/>
      </c>
      <c r="L1105" t="s">
        <v>16</v>
      </c>
      <c r="M1105">
        <v>2</v>
      </c>
      <c r="Y1105">
        <f t="shared" si="67"/>
        <v>0</v>
      </c>
      <c r="Z1105">
        <f t="shared" si="68"/>
        <v>0</v>
      </c>
    </row>
    <row r="1106" spans="1:26" x14ac:dyDescent="0.25">
      <c r="A1106" s="4">
        <v>5094</v>
      </c>
      <c r="B1106" t="s">
        <v>47</v>
      </c>
      <c r="C1106">
        <v>6</v>
      </c>
      <c r="D1106">
        <v>1</v>
      </c>
      <c r="E1106">
        <v>2</v>
      </c>
      <c r="F1106" t="s">
        <v>14</v>
      </c>
      <c r="G1106">
        <v>5</v>
      </c>
      <c r="I1106">
        <v>4</v>
      </c>
      <c r="J1106" t="s">
        <v>17</v>
      </c>
      <c r="K1106" t="str">
        <f t="shared" si="66"/>
        <v/>
      </c>
      <c r="L1106" t="s">
        <v>16</v>
      </c>
      <c r="M1106">
        <v>2</v>
      </c>
      <c r="Y1106">
        <f t="shared" si="67"/>
        <v>0</v>
      </c>
      <c r="Z1106">
        <f t="shared" si="68"/>
        <v>0</v>
      </c>
    </row>
    <row r="1107" spans="1:26" x14ac:dyDescent="0.25">
      <c r="A1107" s="4">
        <v>5094</v>
      </c>
      <c r="B1107" t="s">
        <v>47</v>
      </c>
      <c r="C1107">
        <v>6</v>
      </c>
      <c r="D1107">
        <v>1</v>
      </c>
      <c r="E1107">
        <v>3</v>
      </c>
      <c r="F1107" t="s">
        <v>14</v>
      </c>
      <c r="G1107">
        <v>5</v>
      </c>
      <c r="I1107">
        <v>4</v>
      </c>
      <c r="J1107" t="s">
        <v>17</v>
      </c>
      <c r="K1107" t="str">
        <f t="shared" si="66"/>
        <v/>
      </c>
      <c r="L1107" t="s">
        <v>16</v>
      </c>
      <c r="M1107">
        <v>2</v>
      </c>
      <c r="Y1107">
        <f t="shared" si="67"/>
        <v>0</v>
      </c>
      <c r="Z1107">
        <f t="shared" si="68"/>
        <v>0</v>
      </c>
    </row>
    <row r="1108" spans="1:26" x14ac:dyDescent="0.25">
      <c r="A1108" s="4">
        <v>5094</v>
      </c>
      <c r="B1108" t="s">
        <v>47</v>
      </c>
      <c r="C1108">
        <v>6</v>
      </c>
      <c r="D1108">
        <v>1</v>
      </c>
      <c r="E1108">
        <v>4</v>
      </c>
      <c r="F1108" t="s">
        <v>14</v>
      </c>
      <c r="G1108">
        <v>5</v>
      </c>
      <c r="I1108">
        <v>4</v>
      </c>
      <c r="J1108" t="s">
        <v>17</v>
      </c>
      <c r="K1108" t="str">
        <f t="shared" si="66"/>
        <v/>
      </c>
      <c r="L1108" t="s">
        <v>16</v>
      </c>
      <c r="M1108">
        <v>2</v>
      </c>
      <c r="Y1108">
        <f t="shared" si="67"/>
        <v>0</v>
      </c>
      <c r="Z1108">
        <f t="shared" si="68"/>
        <v>0</v>
      </c>
    </row>
    <row r="1109" spans="1:26" x14ac:dyDescent="0.25">
      <c r="A1109" s="4">
        <v>5094</v>
      </c>
      <c r="B1109" t="s">
        <v>47</v>
      </c>
      <c r="C1109">
        <v>6</v>
      </c>
      <c r="D1109">
        <v>1</v>
      </c>
      <c r="E1109">
        <v>1</v>
      </c>
      <c r="F1109" t="s">
        <v>14</v>
      </c>
      <c r="G1109">
        <v>5</v>
      </c>
      <c r="I1109">
        <v>4</v>
      </c>
      <c r="J1109" t="s">
        <v>18</v>
      </c>
      <c r="K1109" t="str">
        <f t="shared" si="66"/>
        <v/>
      </c>
      <c r="L1109" t="s">
        <v>16</v>
      </c>
      <c r="M1109">
        <v>6</v>
      </c>
      <c r="Y1109">
        <f t="shared" si="67"/>
        <v>0</v>
      </c>
      <c r="Z1109">
        <f t="shared" si="68"/>
        <v>0</v>
      </c>
    </row>
    <row r="1110" spans="1:26" x14ac:dyDescent="0.25">
      <c r="A1110" s="4">
        <v>5094</v>
      </c>
      <c r="B1110" t="s">
        <v>47</v>
      </c>
      <c r="C1110">
        <v>6</v>
      </c>
      <c r="D1110">
        <v>1</v>
      </c>
      <c r="E1110">
        <v>2</v>
      </c>
      <c r="F1110" t="s">
        <v>14</v>
      </c>
      <c r="G1110">
        <v>5</v>
      </c>
      <c r="I1110">
        <v>4</v>
      </c>
      <c r="J1110" t="s">
        <v>18</v>
      </c>
      <c r="K1110" t="str">
        <f t="shared" si="66"/>
        <v/>
      </c>
      <c r="L1110" t="s">
        <v>16</v>
      </c>
      <c r="M1110">
        <v>6</v>
      </c>
      <c r="Y1110">
        <f t="shared" si="67"/>
        <v>0</v>
      </c>
      <c r="Z1110">
        <f t="shared" si="68"/>
        <v>0</v>
      </c>
    </row>
    <row r="1111" spans="1:26" x14ac:dyDescent="0.25">
      <c r="A1111" s="4">
        <v>5094</v>
      </c>
      <c r="B1111" t="s">
        <v>47</v>
      </c>
      <c r="C1111">
        <v>6</v>
      </c>
      <c r="D1111">
        <v>1</v>
      </c>
      <c r="E1111">
        <v>3</v>
      </c>
      <c r="F1111" t="s">
        <v>14</v>
      </c>
      <c r="G1111">
        <v>5</v>
      </c>
      <c r="I1111">
        <v>4</v>
      </c>
      <c r="J1111" t="s">
        <v>18</v>
      </c>
      <c r="K1111" t="str">
        <f t="shared" si="66"/>
        <v/>
      </c>
      <c r="L1111" t="s">
        <v>16</v>
      </c>
      <c r="M1111">
        <v>6</v>
      </c>
      <c r="Y1111">
        <f t="shared" si="67"/>
        <v>0</v>
      </c>
      <c r="Z1111">
        <f t="shared" si="68"/>
        <v>0</v>
      </c>
    </row>
    <row r="1112" spans="1:26" x14ac:dyDescent="0.25">
      <c r="A1112" s="4">
        <v>5094</v>
      </c>
      <c r="B1112" t="s">
        <v>47</v>
      </c>
      <c r="C1112">
        <v>6</v>
      </c>
      <c r="D1112">
        <v>1</v>
      </c>
      <c r="E1112">
        <v>4</v>
      </c>
      <c r="F1112" t="s">
        <v>14</v>
      </c>
      <c r="G1112">
        <v>5</v>
      </c>
      <c r="I1112">
        <v>4</v>
      </c>
      <c r="J1112" t="s">
        <v>18</v>
      </c>
      <c r="K1112" t="str">
        <f t="shared" si="66"/>
        <v/>
      </c>
      <c r="L1112" t="s">
        <v>16</v>
      </c>
      <c r="M1112">
        <v>6</v>
      </c>
      <c r="Y1112">
        <f t="shared" si="67"/>
        <v>0</v>
      </c>
      <c r="Z1112">
        <f t="shared" si="68"/>
        <v>0</v>
      </c>
    </row>
    <row r="1113" spans="1:26" x14ac:dyDescent="0.25">
      <c r="A1113" s="4">
        <v>5094</v>
      </c>
      <c r="B1113" t="s">
        <v>47</v>
      </c>
      <c r="C1113">
        <v>6</v>
      </c>
      <c r="D1113">
        <v>1</v>
      </c>
      <c r="E1113">
        <v>5</v>
      </c>
      <c r="F1113" t="s">
        <v>14</v>
      </c>
      <c r="G1113">
        <v>5.6</v>
      </c>
      <c r="I1113">
        <v>4</v>
      </c>
      <c r="J1113" t="s">
        <v>18</v>
      </c>
      <c r="K1113" t="str">
        <f t="shared" si="66"/>
        <v/>
      </c>
      <c r="L1113" t="s">
        <v>16</v>
      </c>
      <c r="M1113">
        <v>4</v>
      </c>
      <c r="Y1113">
        <f t="shared" si="67"/>
        <v>0</v>
      </c>
      <c r="Z1113">
        <f t="shared" si="68"/>
        <v>0</v>
      </c>
    </row>
    <row r="1114" spans="1:26" x14ac:dyDescent="0.25">
      <c r="A1114" s="4">
        <v>5094</v>
      </c>
      <c r="B1114" t="s">
        <v>47</v>
      </c>
      <c r="C1114">
        <v>6</v>
      </c>
      <c r="D1114">
        <v>1</v>
      </c>
      <c r="E1114">
        <v>6</v>
      </c>
      <c r="F1114" t="s">
        <v>14</v>
      </c>
      <c r="G1114">
        <v>5.6</v>
      </c>
      <c r="I1114">
        <v>4</v>
      </c>
      <c r="J1114" t="s">
        <v>18</v>
      </c>
      <c r="K1114" t="str">
        <f t="shared" si="66"/>
        <v/>
      </c>
      <c r="L1114" t="s">
        <v>16</v>
      </c>
      <c r="M1114">
        <v>4</v>
      </c>
      <c r="Y1114">
        <f t="shared" si="67"/>
        <v>0</v>
      </c>
      <c r="Z1114">
        <f t="shared" si="68"/>
        <v>0</v>
      </c>
    </row>
    <row r="1115" spans="1:26" x14ac:dyDescent="0.25">
      <c r="A1115" s="4">
        <v>5094</v>
      </c>
      <c r="B1115" t="s">
        <v>47</v>
      </c>
      <c r="C1115">
        <v>6</v>
      </c>
      <c r="D1115">
        <v>1</v>
      </c>
      <c r="E1115">
        <v>7</v>
      </c>
      <c r="F1115" t="s">
        <v>14</v>
      </c>
      <c r="G1115">
        <v>5.6</v>
      </c>
      <c r="I1115">
        <v>4</v>
      </c>
      <c r="J1115" t="s">
        <v>18</v>
      </c>
      <c r="K1115" t="str">
        <f t="shared" si="66"/>
        <v/>
      </c>
      <c r="L1115" t="s">
        <v>16</v>
      </c>
      <c r="M1115">
        <v>4</v>
      </c>
      <c r="Y1115">
        <f t="shared" si="67"/>
        <v>0</v>
      </c>
      <c r="Z1115">
        <f t="shared" si="68"/>
        <v>0</v>
      </c>
    </row>
    <row r="1116" spans="1:26" x14ac:dyDescent="0.25">
      <c r="A1116" s="4">
        <v>5094</v>
      </c>
      <c r="B1116" t="s">
        <v>47</v>
      </c>
      <c r="C1116">
        <v>6</v>
      </c>
      <c r="D1116">
        <v>1</v>
      </c>
      <c r="E1116">
        <v>8</v>
      </c>
      <c r="F1116" t="s">
        <v>14</v>
      </c>
      <c r="G1116">
        <v>5.6</v>
      </c>
      <c r="I1116">
        <v>4</v>
      </c>
      <c r="J1116" t="s">
        <v>18</v>
      </c>
      <c r="K1116" t="str">
        <f t="shared" si="66"/>
        <v/>
      </c>
      <c r="L1116" t="s">
        <v>16</v>
      </c>
      <c r="M1116">
        <v>4</v>
      </c>
      <c r="Y1116">
        <f t="shared" si="67"/>
        <v>0</v>
      </c>
      <c r="Z1116">
        <f t="shared" si="68"/>
        <v>0</v>
      </c>
    </row>
    <row r="1117" spans="1:26" x14ac:dyDescent="0.25">
      <c r="A1117" s="4">
        <v>5094</v>
      </c>
      <c r="B1117" t="s">
        <v>47</v>
      </c>
      <c r="C1117">
        <v>6</v>
      </c>
      <c r="D1117">
        <v>1</v>
      </c>
      <c r="E1117">
        <v>5</v>
      </c>
      <c r="F1117" t="s">
        <v>14</v>
      </c>
      <c r="G1117">
        <v>5.6</v>
      </c>
      <c r="I1117">
        <v>4</v>
      </c>
      <c r="J1117" t="s">
        <v>17</v>
      </c>
      <c r="K1117" t="str">
        <f t="shared" si="66"/>
        <v/>
      </c>
      <c r="L1117" t="s">
        <v>16</v>
      </c>
      <c r="M1117">
        <v>2</v>
      </c>
      <c r="Y1117">
        <f t="shared" si="67"/>
        <v>0</v>
      </c>
      <c r="Z1117">
        <f t="shared" si="68"/>
        <v>0</v>
      </c>
    </row>
    <row r="1118" spans="1:26" x14ac:dyDescent="0.25">
      <c r="A1118" s="4">
        <v>5094</v>
      </c>
      <c r="B1118" t="s">
        <v>47</v>
      </c>
      <c r="C1118">
        <v>6</v>
      </c>
      <c r="D1118">
        <v>1</v>
      </c>
      <c r="E1118">
        <v>6</v>
      </c>
      <c r="F1118" t="s">
        <v>14</v>
      </c>
      <c r="G1118">
        <v>5.6</v>
      </c>
      <c r="I1118">
        <v>4</v>
      </c>
      <c r="J1118" t="s">
        <v>17</v>
      </c>
      <c r="K1118" t="str">
        <f t="shared" si="66"/>
        <v/>
      </c>
      <c r="L1118" t="s">
        <v>16</v>
      </c>
      <c r="M1118">
        <v>2</v>
      </c>
      <c r="Y1118">
        <f t="shared" si="67"/>
        <v>0</v>
      </c>
      <c r="Z1118">
        <f t="shared" si="68"/>
        <v>0</v>
      </c>
    </row>
    <row r="1119" spans="1:26" x14ac:dyDescent="0.25">
      <c r="A1119" s="4">
        <v>5094</v>
      </c>
      <c r="B1119" t="s">
        <v>47</v>
      </c>
      <c r="C1119">
        <v>6</v>
      </c>
      <c r="D1119">
        <v>1</v>
      </c>
      <c r="E1119">
        <v>7</v>
      </c>
      <c r="F1119" t="s">
        <v>14</v>
      </c>
      <c r="G1119">
        <v>5.6</v>
      </c>
      <c r="I1119">
        <v>4</v>
      </c>
      <c r="J1119" t="s">
        <v>17</v>
      </c>
      <c r="K1119" t="str">
        <f t="shared" si="66"/>
        <v/>
      </c>
      <c r="L1119" t="s">
        <v>16</v>
      </c>
      <c r="M1119">
        <v>2</v>
      </c>
      <c r="Y1119">
        <f t="shared" si="67"/>
        <v>0</v>
      </c>
      <c r="Z1119">
        <f t="shared" si="68"/>
        <v>0</v>
      </c>
    </row>
    <row r="1120" spans="1:26" x14ac:dyDescent="0.25">
      <c r="A1120" s="4">
        <v>5094</v>
      </c>
      <c r="B1120" t="s">
        <v>47</v>
      </c>
      <c r="C1120">
        <v>6</v>
      </c>
      <c r="D1120">
        <v>1</v>
      </c>
      <c r="E1120">
        <v>8</v>
      </c>
      <c r="F1120" t="s">
        <v>14</v>
      </c>
      <c r="G1120">
        <v>5.6</v>
      </c>
      <c r="I1120">
        <v>4</v>
      </c>
      <c r="J1120" t="s">
        <v>17</v>
      </c>
      <c r="K1120" t="str">
        <f t="shared" si="66"/>
        <v/>
      </c>
      <c r="L1120" t="s">
        <v>16</v>
      </c>
      <c r="M1120">
        <v>2</v>
      </c>
      <c r="Y1120">
        <f t="shared" si="67"/>
        <v>0</v>
      </c>
      <c r="Z1120">
        <f t="shared" si="68"/>
        <v>0</v>
      </c>
    </row>
    <row r="1121" spans="1:26" x14ac:dyDescent="0.25">
      <c r="A1121" s="4">
        <v>5094</v>
      </c>
      <c r="B1121" t="s">
        <v>47</v>
      </c>
      <c r="C1121">
        <v>6</v>
      </c>
      <c r="D1121">
        <v>1</v>
      </c>
      <c r="E1121">
        <v>9</v>
      </c>
      <c r="F1121" t="s">
        <v>14</v>
      </c>
      <c r="G1121">
        <v>6.1</v>
      </c>
      <c r="I1121">
        <v>4</v>
      </c>
      <c r="J1121" t="s">
        <v>18</v>
      </c>
      <c r="K1121" t="str">
        <f t="shared" si="66"/>
        <v/>
      </c>
      <c r="L1121" t="s">
        <v>16</v>
      </c>
      <c r="M1121">
        <v>4</v>
      </c>
      <c r="Y1121">
        <f t="shared" si="67"/>
        <v>0</v>
      </c>
      <c r="Z1121">
        <f t="shared" si="68"/>
        <v>0</v>
      </c>
    </row>
    <row r="1122" spans="1:26" x14ac:dyDescent="0.25">
      <c r="A1122" s="4">
        <v>5094</v>
      </c>
      <c r="B1122" t="s">
        <v>47</v>
      </c>
      <c r="C1122">
        <v>6</v>
      </c>
      <c r="D1122">
        <v>1</v>
      </c>
      <c r="E1122">
        <v>10</v>
      </c>
      <c r="F1122" t="s">
        <v>14</v>
      </c>
      <c r="G1122">
        <v>6.1</v>
      </c>
      <c r="I1122">
        <v>4</v>
      </c>
      <c r="J1122" t="s">
        <v>18</v>
      </c>
      <c r="K1122" t="str">
        <f t="shared" si="66"/>
        <v/>
      </c>
      <c r="L1122" t="s">
        <v>16</v>
      </c>
      <c r="M1122">
        <v>4</v>
      </c>
      <c r="Y1122">
        <f t="shared" si="67"/>
        <v>0</v>
      </c>
      <c r="Z1122">
        <f t="shared" si="68"/>
        <v>0</v>
      </c>
    </row>
    <row r="1123" spans="1:26" x14ac:dyDescent="0.25">
      <c r="A1123" s="4">
        <v>5094</v>
      </c>
      <c r="B1123" t="s">
        <v>47</v>
      </c>
      <c r="C1123">
        <v>6</v>
      </c>
      <c r="D1123">
        <v>1</v>
      </c>
      <c r="E1123">
        <v>11</v>
      </c>
      <c r="F1123" t="s">
        <v>14</v>
      </c>
      <c r="G1123">
        <v>6.1</v>
      </c>
      <c r="I1123">
        <v>4</v>
      </c>
      <c r="J1123" t="s">
        <v>18</v>
      </c>
      <c r="K1123" t="str">
        <f t="shared" si="66"/>
        <v/>
      </c>
      <c r="L1123" t="s">
        <v>16</v>
      </c>
      <c r="M1123">
        <v>4</v>
      </c>
      <c r="Y1123">
        <f t="shared" si="67"/>
        <v>0</v>
      </c>
      <c r="Z1123">
        <f t="shared" si="68"/>
        <v>0</v>
      </c>
    </row>
    <row r="1124" spans="1:26" x14ac:dyDescent="0.25">
      <c r="A1124" s="4">
        <v>5094</v>
      </c>
      <c r="B1124" t="s">
        <v>47</v>
      </c>
      <c r="C1124">
        <v>6</v>
      </c>
      <c r="D1124">
        <v>1</v>
      </c>
      <c r="E1124">
        <v>12</v>
      </c>
      <c r="F1124" t="s">
        <v>14</v>
      </c>
      <c r="G1124">
        <v>6.1</v>
      </c>
      <c r="I1124">
        <v>4</v>
      </c>
      <c r="J1124" t="s">
        <v>18</v>
      </c>
      <c r="K1124" t="str">
        <f t="shared" si="66"/>
        <v/>
      </c>
      <c r="L1124" t="s">
        <v>16</v>
      </c>
      <c r="M1124">
        <v>4</v>
      </c>
      <c r="Y1124">
        <f t="shared" si="67"/>
        <v>0</v>
      </c>
      <c r="Z1124">
        <f t="shared" si="68"/>
        <v>0</v>
      </c>
    </row>
    <row r="1125" spans="1:26" x14ac:dyDescent="0.25">
      <c r="A1125" s="4">
        <v>5094</v>
      </c>
      <c r="B1125" t="s">
        <v>47</v>
      </c>
      <c r="C1125">
        <v>6</v>
      </c>
      <c r="D1125">
        <v>1</v>
      </c>
      <c r="E1125">
        <v>9</v>
      </c>
      <c r="F1125" t="s">
        <v>14</v>
      </c>
      <c r="G1125">
        <v>6.1</v>
      </c>
      <c r="I1125">
        <v>4</v>
      </c>
      <c r="J1125" t="s">
        <v>17</v>
      </c>
      <c r="K1125" t="str">
        <f t="shared" si="66"/>
        <v/>
      </c>
      <c r="L1125" t="s">
        <v>16</v>
      </c>
      <c r="M1125">
        <v>2</v>
      </c>
      <c r="Y1125">
        <f t="shared" si="67"/>
        <v>0</v>
      </c>
      <c r="Z1125">
        <f t="shared" si="68"/>
        <v>0</v>
      </c>
    </row>
    <row r="1126" spans="1:26" x14ac:dyDescent="0.25">
      <c r="A1126" s="4">
        <v>5094</v>
      </c>
      <c r="B1126" t="s">
        <v>47</v>
      </c>
      <c r="C1126">
        <v>6</v>
      </c>
      <c r="D1126">
        <v>1</v>
      </c>
      <c r="E1126">
        <v>10</v>
      </c>
      <c r="F1126" t="s">
        <v>14</v>
      </c>
      <c r="G1126">
        <v>6.1</v>
      </c>
      <c r="I1126">
        <v>4</v>
      </c>
      <c r="J1126" t="s">
        <v>17</v>
      </c>
      <c r="K1126" t="str">
        <f t="shared" si="66"/>
        <v/>
      </c>
      <c r="L1126" t="s">
        <v>16</v>
      </c>
      <c r="M1126">
        <v>2</v>
      </c>
      <c r="Y1126">
        <f t="shared" si="67"/>
        <v>0</v>
      </c>
      <c r="Z1126">
        <f t="shared" si="68"/>
        <v>0</v>
      </c>
    </row>
    <row r="1127" spans="1:26" x14ac:dyDescent="0.25">
      <c r="A1127" s="4">
        <v>5094</v>
      </c>
      <c r="B1127" t="s">
        <v>47</v>
      </c>
      <c r="C1127">
        <v>6</v>
      </c>
      <c r="D1127">
        <v>1</v>
      </c>
      <c r="E1127">
        <v>11</v>
      </c>
      <c r="F1127" t="s">
        <v>14</v>
      </c>
      <c r="G1127">
        <v>6.1</v>
      </c>
      <c r="I1127">
        <v>4</v>
      </c>
      <c r="J1127" t="s">
        <v>17</v>
      </c>
      <c r="K1127" t="str">
        <f t="shared" si="66"/>
        <v/>
      </c>
      <c r="L1127" t="s">
        <v>16</v>
      </c>
      <c r="M1127">
        <v>2</v>
      </c>
      <c r="Y1127">
        <f t="shared" si="67"/>
        <v>0</v>
      </c>
      <c r="Z1127">
        <f t="shared" si="68"/>
        <v>0</v>
      </c>
    </row>
    <row r="1128" spans="1:26" x14ac:dyDescent="0.25">
      <c r="A1128" s="4">
        <v>5094</v>
      </c>
      <c r="B1128" t="s">
        <v>47</v>
      </c>
      <c r="C1128">
        <v>6</v>
      </c>
      <c r="D1128">
        <v>1</v>
      </c>
      <c r="E1128">
        <v>12</v>
      </c>
      <c r="F1128" t="s">
        <v>14</v>
      </c>
      <c r="G1128">
        <v>6.1</v>
      </c>
      <c r="I1128">
        <v>4</v>
      </c>
      <c r="J1128" t="s">
        <v>17</v>
      </c>
      <c r="K1128" t="str">
        <f t="shared" si="66"/>
        <v/>
      </c>
      <c r="L1128" t="s">
        <v>16</v>
      </c>
      <c r="M1128">
        <v>2</v>
      </c>
      <c r="Y1128">
        <f t="shared" si="67"/>
        <v>0</v>
      </c>
      <c r="Z1128">
        <f t="shared" si="68"/>
        <v>0</v>
      </c>
    </row>
    <row r="1129" spans="1:26" x14ac:dyDescent="0.25">
      <c r="A1129" s="4">
        <v>312</v>
      </c>
      <c r="B1129" t="s">
        <v>48</v>
      </c>
      <c r="C1129">
        <v>5</v>
      </c>
      <c r="D1129">
        <v>2</v>
      </c>
      <c r="E1129">
        <v>2</v>
      </c>
      <c r="F1129" t="s">
        <v>14</v>
      </c>
      <c r="G1129">
        <v>11.5</v>
      </c>
      <c r="I1129">
        <v>4</v>
      </c>
      <c r="J1129" t="s">
        <v>17</v>
      </c>
      <c r="K1129" t="str">
        <f t="shared" si="66"/>
        <v/>
      </c>
      <c r="L1129" t="s">
        <v>16</v>
      </c>
      <c r="M1129">
        <v>12</v>
      </c>
      <c r="Y1129">
        <f t="shared" si="67"/>
        <v>0</v>
      </c>
      <c r="Z1129">
        <f t="shared" si="68"/>
        <v>0</v>
      </c>
    </row>
    <row r="1130" spans="1:26" x14ac:dyDescent="0.25">
      <c r="A1130" s="4">
        <v>312</v>
      </c>
      <c r="B1130" t="s">
        <v>48</v>
      </c>
      <c r="C1130">
        <v>5</v>
      </c>
      <c r="D1130">
        <v>2</v>
      </c>
      <c r="E1130">
        <v>3</v>
      </c>
      <c r="F1130" t="s">
        <v>14</v>
      </c>
      <c r="G1130">
        <v>11.5</v>
      </c>
      <c r="I1130">
        <v>4</v>
      </c>
      <c r="J1130" t="s">
        <v>17</v>
      </c>
      <c r="K1130" t="str">
        <f t="shared" si="66"/>
        <v/>
      </c>
      <c r="L1130" t="s">
        <v>16</v>
      </c>
      <c r="M1130">
        <v>12</v>
      </c>
      <c r="Y1130">
        <f t="shared" si="67"/>
        <v>0</v>
      </c>
      <c r="Z1130">
        <f t="shared" si="68"/>
        <v>0</v>
      </c>
    </row>
    <row r="1131" spans="1:26" x14ac:dyDescent="0.25">
      <c r="A1131" s="4">
        <v>312</v>
      </c>
      <c r="B1131" t="s">
        <v>48</v>
      </c>
      <c r="C1131">
        <v>5</v>
      </c>
      <c r="D1131">
        <v>2</v>
      </c>
      <c r="E1131">
        <v>4</v>
      </c>
      <c r="F1131" t="s">
        <v>14</v>
      </c>
      <c r="G1131">
        <v>11.5</v>
      </c>
      <c r="I1131">
        <v>4</v>
      </c>
      <c r="J1131" t="s">
        <v>17</v>
      </c>
      <c r="K1131" t="str">
        <f t="shared" si="66"/>
        <v/>
      </c>
      <c r="L1131" t="s">
        <v>16</v>
      </c>
      <c r="M1131">
        <v>12</v>
      </c>
      <c r="Y1131">
        <f t="shared" si="67"/>
        <v>0</v>
      </c>
      <c r="Z1131">
        <f t="shared" si="68"/>
        <v>0</v>
      </c>
    </row>
    <row r="1132" spans="1:26" x14ac:dyDescent="0.25">
      <c r="A1132" s="4">
        <v>312</v>
      </c>
      <c r="B1132" t="s">
        <v>48</v>
      </c>
      <c r="C1132">
        <v>5</v>
      </c>
      <c r="D1132">
        <v>2</v>
      </c>
      <c r="E1132">
        <v>5</v>
      </c>
      <c r="F1132" t="s">
        <v>14</v>
      </c>
      <c r="G1132">
        <v>11.5</v>
      </c>
      <c r="I1132">
        <v>4</v>
      </c>
      <c r="J1132" t="s">
        <v>17</v>
      </c>
      <c r="K1132" t="str">
        <f t="shared" si="66"/>
        <v/>
      </c>
      <c r="L1132" t="s">
        <v>16</v>
      </c>
      <c r="M1132">
        <v>12</v>
      </c>
      <c r="Y1132">
        <f t="shared" si="67"/>
        <v>0</v>
      </c>
      <c r="Z1132">
        <f t="shared" si="68"/>
        <v>0</v>
      </c>
    </row>
    <row r="1133" spans="1:26" x14ac:dyDescent="0.25">
      <c r="A1133" s="4">
        <v>313</v>
      </c>
      <c r="B1133" t="s">
        <v>48</v>
      </c>
      <c r="C1133">
        <v>5</v>
      </c>
      <c r="D1133">
        <v>2</v>
      </c>
      <c r="E1133">
        <v>2</v>
      </c>
      <c r="F1133" t="s">
        <v>14</v>
      </c>
      <c r="G1133">
        <v>4.5</v>
      </c>
      <c r="I1133">
        <v>4</v>
      </c>
      <c r="J1133" t="s">
        <v>17</v>
      </c>
      <c r="K1133" t="str">
        <f t="shared" si="66"/>
        <v/>
      </c>
      <c r="L1133" t="s">
        <v>16</v>
      </c>
      <c r="M1133">
        <v>24</v>
      </c>
      <c r="Y1133">
        <f t="shared" si="67"/>
        <v>0</v>
      </c>
      <c r="Z1133">
        <f t="shared" si="68"/>
        <v>0</v>
      </c>
    </row>
    <row r="1134" spans="1:26" x14ac:dyDescent="0.25">
      <c r="A1134" s="4">
        <v>313</v>
      </c>
      <c r="B1134" t="s">
        <v>48</v>
      </c>
      <c r="C1134">
        <v>5</v>
      </c>
      <c r="D1134">
        <v>2</v>
      </c>
      <c r="E1134">
        <v>3</v>
      </c>
      <c r="F1134" t="s">
        <v>14</v>
      </c>
      <c r="G1134">
        <v>4.5</v>
      </c>
      <c r="I1134">
        <v>4</v>
      </c>
      <c r="J1134" t="s">
        <v>17</v>
      </c>
      <c r="K1134" t="str">
        <f t="shared" si="66"/>
        <v/>
      </c>
      <c r="L1134" t="s">
        <v>16</v>
      </c>
      <c r="M1134">
        <v>24</v>
      </c>
      <c r="Y1134">
        <f t="shared" si="67"/>
        <v>0</v>
      </c>
      <c r="Z1134">
        <f t="shared" si="68"/>
        <v>0</v>
      </c>
    </row>
    <row r="1135" spans="1:26" x14ac:dyDescent="0.25">
      <c r="A1135" s="4">
        <v>313</v>
      </c>
      <c r="B1135" t="s">
        <v>48</v>
      </c>
      <c r="C1135">
        <v>5</v>
      </c>
      <c r="D1135">
        <v>2</v>
      </c>
      <c r="E1135">
        <v>4</v>
      </c>
      <c r="F1135" t="s">
        <v>14</v>
      </c>
      <c r="G1135">
        <v>4.5</v>
      </c>
      <c r="I1135">
        <v>4</v>
      </c>
      <c r="J1135" t="s">
        <v>17</v>
      </c>
      <c r="K1135" t="str">
        <f t="shared" si="66"/>
        <v/>
      </c>
      <c r="L1135" t="s">
        <v>16</v>
      </c>
      <c r="M1135">
        <v>24</v>
      </c>
      <c r="Y1135">
        <f t="shared" si="67"/>
        <v>0</v>
      </c>
      <c r="Z1135">
        <f t="shared" si="68"/>
        <v>0</v>
      </c>
    </row>
    <row r="1136" spans="1:26" x14ac:dyDescent="0.25">
      <c r="A1136" s="4">
        <v>313</v>
      </c>
      <c r="B1136" t="s">
        <v>48</v>
      </c>
      <c r="C1136">
        <v>5</v>
      </c>
      <c r="D1136">
        <v>2</v>
      </c>
      <c r="E1136">
        <v>5</v>
      </c>
      <c r="F1136" t="s">
        <v>14</v>
      </c>
      <c r="G1136">
        <v>4.5</v>
      </c>
      <c r="I1136">
        <v>4</v>
      </c>
      <c r="J1136" t="s">
        <v>17</v>
      </c>
      <c r="K1136" t="str">
        <f t="shared" si="66"/>
        <v/>
      </c>
      <c r="L1136" t="s">
        <v>16</v>
      </c>
      <c r="M1136">
        <v>24</v>
      </c>
      <c r="Y1136">
        <f t="shared" si="67"/>
        <v>0</v>
      </c>
      <c r="Z1136">
        <f t="shared" si="68"/>
        <v>0</v>
      </c>
    </row>
    <row r="1137" spans="1:26" x14ac:dyDescent="0.25">
      <c r="A1137" s="4">
        <v>314</v>
      </c>
      <c r="B1137" t="s">
        <v>49</v>
      </c>
      <c r="C1137">
        <v>8</v>
      </c>
      <c r="D1137">
        <v>2</v>
      </c>
      <c r="E1137">
        <v>2</v>
      </c>
      <c r="F1137" t="s">
        <v>14</v>
      </c>
      <c r="G1137">
        <v>4.5</v>
      </c>
      <c r="I1137">
        <v>3</v>
      </c>
      <c r="J1137" t="s">
        <v>17</v>
      </c>
      <c r="K1137" t="str">
        <f t="shared" si="66"/>
        <v/>
      </c>
      <c r="L1137" t="s">
        <v>16</v>
      </c>
      <c r="M1137">
        <v>24</v>
      </c>
      <c r="Y1137">
        <f t="shared" si="67"/>
        <v>0</v>
      </c>
      <c r="Z1137">
        <f t="shared" si="68"/>
        <v>0</v>
      </c>
    </row>
    <row r="1138" spans="1:26" x14ac:dyDescent="0.25">
      <c r="A1138" s="4">
        <v>314</v>
      </c>
      <c r="B1138" t="s">
        <v>49</v>
      </c>
      <c r="C1138">
        <v>8</v>
      </c>
      <c r="D1138">
        <v>2</v>
      </c>
      <c r="E1138">
        <v>3</v>
      </c>
      <c r="F1138" t="s">
        <v>14</v>
      </c>
      <c r="G1138">
        <v>4.5</v>
      </c>
      <c r="I1138">
        <v>3</v>
      </c>
      <c r="J1138" t="s">
        <v>17</v>
      </c>
      <c r="K1138" t="str">
        <f t="shared" si="66"/>
        <v/>
      </c>
      <c r="L1138" t="s">
        <v>16</v>
      </c>
      <c r="M1138">
        <v>24</v>
      </c>
      <c r="Y1138">
        <f t="shared" si="67"/>
        <v>0</v>
      </c>
      <c r="Z1138">
        <f t="shared" si="68"/>
        <v>0</v>
      </c>
    </row>
    <row r="1139" spans="1:26" x14ac:dyDescent="0.25">
      <c r="A1139" s="4">
        <v>314</v>
      </c>
      <c r="B1139" t="s">
        <v>49</v>
      </c>
      <c r="C1139">
        <v>8</v>
      </c>
      <c r="D1139">
        <v>2</v>
      </c>
      <c r="E1139">
        <v>4</v>
      </c>
      <c r="F1139" t="s">
        <v>14</v>
      </c>
      <c r="G1139">
        <v>4.5</v>
      </c>
      <c r="I1139">
        <v>3</v>
      </c>
      <c r="J1139" t="s">
        <v>17</v>
      </c>
      <c r="K1139" t="str">
        <f t="shared" si="66"/>
        <v/>
      </c>
      <c r="L1139" t="s">
        <v>16</v>
      </c>
      <c r="M1139">
        <v>24</v>
      </c>
      <c r="Y1139">
        <f t="shared" si="67"/>
        <v>0</v>
      </c>
      <c r="Z1139">
        <f t="shared" si="68"/>
        <v>0</v>
      </c>
    </row>
    <row r="1140" spans="1:26" x14ac:dyDescent="0.25">
      <c r="A1140" s="4">
        <v>419</v>
      </c>
      <c r="B1140" t="s">
        <v>49</v>
      </c>
      <c r="C1140">
        <v>8</v>
      </c>
      <c r="D1140">
        <v>2</v>
      </c>
      <c r="E1140">
        <v>6</v>
      </c>
      <c r="F1140" t="s">
        <v>14</v>
      </c>
      <c r="G1140">
        <v>4.25</v>
      </c>
      <c r="I1140">
        <v>3</v>
      </c>
      <c r="J1140" t="s">
        <v>17</v>
      </c>
      <c r="K1140" t="str">
        <f t="shared" si="66"/>
        <v/>
      </c>
      <c r="L1140" t="s">
        <v>16</v>
      </c>
      <c r="M1140">
        <v>12</v>
      </c>
      <c r="Y1140">
        <f t="shared" si="67"/>
        <v>0</v>
      </c>
      <c r="Z1140">
        <f t="shared" si="68"/>
        <v>0</v>
      </c>
    </row>
    <row r="1141" spans="1:26" x14ac:dyDescent="0.25">
      <c r="A1141" s="4">
        <v>419</v>
      </c>
      <c r="B1141" t="s">
        <v>49</v>
      </c>
      <c r="C1141">
        <v>8</v>
      </c>
      <c r="D1141">
        <v>2</v>
      </c>
      <c r="E1141">
        <v>8</v>
      </c>
      <c r="F1141" t="s">
        <v>14</v>
      </c>
      <c r="G1141">
        <v>4.25</v>
      </c>
      <c r="I1141">
        <v>3</v>
      </c>
      <c r="J1141" t="s">
        <v>17</v>
      </c>
      <c r="K1141" t="str">
        <f t="shared" si="66"/>
        <v/>
      </c>
      <c r="L1141" t="s">
        <v>16</v>
      </c>
      <c r="M1141">
        <v>12</v>
      </c>
      <c r="Y1141">
        <f t="shared" si="67"/>
        <v>0</v>
      </c>
      <c r="Z1141">
        <f t="shared" si="68"/>
        <v>0</v>
      </c>
    </row>
    <row r="1142" spans="1:26" x14ac:dyDescent="0.25">
      <c r="A1142" s="4">
        <v>419</v>
      </c>
      <c r="B1142" t="s">
        <v>49</v>
      </c>
      <c r="C1142">
        <v>8</v>
      </c>
      <c r="D1142">
        <v>2</v>
      </c>
      <c r="E1142">
        <v>10</v>
      </c>
      <c r="F1142" t="s">
        <v>14</v>
      </c>
      <c r="G1142">
        <v>4.25</v>
      </c>
      <c r="I1142">
        <v>3</v>
      </c>
      <c r="J1142" t="s">
        <v>17</v>
      </c>
      <c r="K1142" t="str">
        <f t="shared" si="66"/>
        <v/>
      </c>
      <c r="L1142" t="s">
        <v>16</v>
      </c>
      <c r="M1142">
        <v>12</v>
      </c>
      <c r="Y1142">
        <f t="shared" si="67"/>
        <v>0</v>
      </c>
      <c r="Z1142">
        <f t="shared" si="68"/>
        <v>0</v>
      </c>
    </row>
    <row r="1143" spans="1:26" x14ac:dyDescent="0.25">
      <c r="A1143" s="4">
        <v>418</v>
      </c>
      <c r="B1143" t="s">
        <v>49</v>
      </c>
      <c r="C1143">
        <v>8</v>
      </c>
      <c r="D1143">
        <v>2</v>
      </c>
      <c r="E1143">
        <v>6</v>
      </c>
      <c r="F1143" t="s">
        <v>14</v>
      </c>
      <c r="G1143">
        <v>4.25</v>
      </c>
      <c r="I1143">
        <v>3</v>
      </c>
      <c r="J1143" t="s">
        <v>17</v>
      </c>
      <c r="K1143" t="str">
        <f t="shared" si="66"/>
        <v/>
      </c>
      <c r="L1143" t="s">
        <v>16</v>
      </c>
      <c r="M1143">
        <v>12</v>
      </c>
      <c r="Y1143">
        <f t="shared" si="67"/>
        <v>0</v>
      </c>
      <c r="Z1143">
        <f t="shared" si="68"/>
        <v>0</v>
      </c>
    </row>
    <row r="1144" spans="1:26" x14ac:dyDescent="0.25">
      <c r="A1144" s="4">
        <v>418</v>
      </c>
      <c r="B1144" t="s">
        <v>49</v>
      </c>
      <c r="C1144">
        <v>8</v>
      </c>
      <c r="D1144">
        <v>2</v>
      </c>
      <c r="E1144">
        <v>8</v>
      </c>
      <c r="F1144" t="s">
        <v>14</v>
      </c>
      <c r="G1144">
        <v>4.25</v>
      </c>
      <c r="I1144">
        <v>3</v>
      </c>
      <c r="J1144" t="s">
        <v>17</v>
      </c>
      <c r="K1144" t="str">
        <f t="shared" si="66"/>
        <v/>
      </c>
      <c r="L1144" t="s">
        <v>16</v>
      </c>
      <c r="M1144">
        <v>12</v>
      </c>
      <c r="Y1144">
        <f t="shared" si="67"/>
        <v>0</v>
      </c>
      <c r="Z1144">
        <f t="shared" si="68"/>
        <v>0</v>
      </c>
    </row>
    <row r="1145" spans="1:26" x14ac:dyDescent="0.25">
      <c r="A1145" s="4">
        <v>418</v>
      </c>
      <c r="B1145" t="s">
        <v>49</v>
      </c>
      <c r="C1145">
        <v>8</v>
      </c>
      <c r="D1145">
        <v>2</v>
      </c>
      <c r="E1145">
        <v>10</v>
      </c>
      <c r="F1145" t="s">
        <v>14</v>
      </c>
      <c r="G1145">
        <v>4.25</v>
      </c>
      <c r="I1145">
        <v>3</v>
      </c>
      <c r="J1145" t="s">
        <v>17</v>
      </c>
      <c r="K1145" t="str">
        <f t="shared" si="66"/>
        <v/>
      </c>
      <c r="L1145" t="s">
        <v>16</v>
      </c>
      <c r="M1145">
        <v>12</v>
      </c>
      <c r="Y1145">
        <f t="shared" si="67"/>
        <v>0</v>
      </c>
      <c r="Z1145">
        <f t="shared" si="68"/>
        <v>0</v>
      </c>
    </row>
    <row r="1146" spans="1:26" x14ac:dyDescent="0.25">
      <c r="A1146" s="4">
        <v>57</v>
      </c>
      <c r="B1146" t="s">
        <v>50</v>
      </c>
      <c r="C1146">
        <v>1</v>
      </c>
      <c r="D1146">
        <v>3</v>
      </c>
      <c r="E1146">
        <v>1</v>
      </c>
      <c r="F1146" t="s">
        <v>14</v>
      </c>
      <c r="G1146">
        <v>13.5</v>
      </c>
      <c r="I1146">
        <v>4</v>
      </c>
      <c r="J1146" t="s">
        <v>17</v>
      </c>
      <c r="K1146" t="str">
        <f t="shared" si="66"/>
        <v/>
      </c>
      <c r="L1146" t="s">
        <v>16</v>
      </c>
      <c r="M1146">
        <v>16</v>
      </c>
      <c r="Y1146">
        <f t="shared" si="67"/>
        <v>0</v>
      </c>
      <c r="Z1146">
        <f t="shared" si="68"/>
        <v>0</v>
      </c>
    </row>
    <row r="1147" spans="1:26" x14ac:dyDescent="0.25">
      <c r="A1147" s="4">
        <v>57</v>
      </c>
      <c r="B1147" t="s">
        <v>50</v>
      </c>
      <c r="C1147">
        <v>1</v>
      </c>
      <c r="D1147">
        <v>3</v>
      </c>
      <c r="E1147">
        <v>2</v>
      </c>
      <c r="F1147" t="s">
        <v>14</v>
      </c>
      <c r="G1147">
        <v>13.5</v>
      </c>
      <c r="I1147">
        <v>4</v>
      </c>
      <c r="J1147" t="s">
        <v>17</v>
      </c>
      <c r="K1147" t="str">
        <f t="shared" si="66"/>
        <v/>
      </c>
      <c r="L1147" t="s">
        <v>16</v>
      </c>
      <c r="M1147">
        <v>16</v>
      </c>
      <c r="Y1147">
        <f t="shared" si="67"/>
        <v>0</v>
      </c>
      <c r="Z1147">
        <f t="shared" si="68"/>
        <v>0</v>
      </c>
    </row>
    <row r="1148" spans="1:26" x14ac:dyDescent="0.25">
      <c r="A1148" s="4">
        <v>57</v>
      </c>
      <c r="B1148" t="s">
        <v>50</v>
      </c>
      <c r="C1148">
        <v>1</v>
      </c>
      <c r="D1148">
        <v>3</v>
      </c>
      <c r="E1148">
        <v>3</v>
      </c>
      <c r="F1148" t="s">
        <v>14</v>
      </c>
      <c r="G1148">
        <v>13.5</v>
      </c>
      <c r="I1148">
        <v>4</v>
      </c>
      <c r="J1148" t="s">
        <v>17</v>
      </c>
      <c r="K1148" t="str">
        <f t="shared" si="66"/>
        <v/>
      </c>
      <c r="L1148" t="s">
        <v>16</v>
      </c>
      <c r="M1148">
        <v>16</v>
      </c>
      <c r="Y1148">
        <f t="shared" si="67"/>
        <v>0</v>
      </c>
      <c r="Z1148">
        <f t="shared" si="68"/>
        <v>0</v>
      </c>
    </row>
    <row r="1149" spans="1:26" x14ac:dyDescent="0.25">
      <c r="A1149" s="4">
        <v>57</v>
      </c>
      <c r="B1149" t="s">
        <v>50</v>
      </c>
      <c r="C1149">
        <v>1</v>
      </c>
      <c r="D1149">
        <v>3</v>
      </c>
      <c r="E1149">
        <v>4</v>
      </c>
      <c r="F1149" t="s">
        <v>14</v>
      </c>
      <c r="G1149">
        <v>13.5</v>
      </c>
      <c r="I1149">
        <v>4</v>
      </c>
      <c r="J1149" t="s">
        <v>17</v>
      </c>
      <c r="K1149" t="str">
        <f t="shared" si="66"/>
        <v/>
      </c>
      <c r="L1149" t="s">
        <v>16</v>
      </c>
      <c r="M1149">
        <v>16</v>
      </c>
      <c r="Y1149">
        <f t="shared" si="67"/>
        <v>0</v>
      </c>
      <c r="Z1149">
        <f t="shared" si="68"/>
        <v>0</v>
      </c>
    </row>
    <row r="1150" spans="1:26" x14ac:dyDescent="0.25">
      <c r="A1150" s="4">
        <v>62</v>
      </c>
      <c r="B1150" t="s">
        <v>51</v>
      </c>
      <c r="C1150">
        <v>3</v>
      </c>
      <c r="D1150">
        <v>3</v>
      </c>
      <c r="E1150">
        <v>4</v>
      </c>
      <c r="F1150" t="s">
        <v>14</v>
      </c>
      <c r="G1150">
        <v>6.5</v>
      </c>
      <c r="I1150">
        <v>4</v>
      </c>
      <c r="J1150" t="s">
        <v>17</v>
      </c>
      <c r="K1150" t="str">
        <f t="shared" si="66"/>
        <v/>
      </c>
      <c r="L1150" t="s">
        <v>16</v>
      </c>
      <c r="M1150">
        <v>8</v>
      </c>
      <c r="Y1150">
        <f t="shared" si="67"/>
        <v>0</v>
      </c>
      <c r="Z1150">
        <f t="shared" si="68"/>
        <v>0</v>
      </c>
    </row>
    <row r="1151" spans="1:26" x14ac:dyDescent="0.25">
      <c r="A1151" s="4">
        <v>62</v>
      </c>
      <c r="B1151" t="s">
        <v>51</v>
      </c>
      <c r="C1151">
        <v>3</v>
      </c>
      <c r="D1151">
        <v>3</v>
      </c>
      <c r="E1151">
        <v>5</v>
      </c>
      <c r="F1151" t="s">
        <v>14</v>
      </c>
      <c r="G1151">
        <v>6.5</v>
      </c>
      <c r="I1151">
        <v>4</v>
      </c>
      <c r="J1151" t="s">
        <v>17</v>
      </c>
      <c r="K1151" t="str">
        <f t="shared" si="66"/>
        <v/>
      </c>
      <c r="L1151" t="s">
        <v>16</v>
      </c>
      <c r="M1151">
        <v>8</v>
      </c>
      <c r="Y1151">
        <f t="shared" si="67"/>
        <v>0</v>
      </c>
      <c r="Z1151">
        <f t="shared" si="68"/>
        <v>0</v>
      </c>
    </row>
    <row r="1152" spans="1:26" x14ac:dyDescent="0.25">
      <c r="A1152" s="4">
        <v>62</v>
      </c>
      <c r="B1152" t="s">
        <v>51</v>
      </c>
      <c r="C1152">
        <v>3</v>
      </c>
      <c r="D1152">
        <v>3</v>
      </c>
      <c r="E1152">
        <v>6</v>
      </c>
      <c r="F1152" t="s">
        <v>14</v>
      </c>
      <c r="G1152">
        <v>6.5</v>
      </c>
      <c r="I1152">
        <v>4</v>
      </c>
      <c r="J1152" t="s">
        <v>17</v>
      </c>
      <c r="K1152" t="str">
        <f t="shared" si="66"/>
        <v/>
      </c>
      <c r="L1152" t="s">
        <v>16</v>
      </c>
      <c r="M1152">
        <v>8</v>
      </c>
      <c r="Y1152">
        <f t="shared" si="67"/>
        <v>0</v>
      </c>
      <c r="Z1152">
        <f t="shared" si="68"/>
        <v>0</v>
      </c>
    </row>
    <row r="1153" spans="1:26" x14ac:dyDescent="0.25">
      <c r="A1153" s="4">
        <v>62</v>
      </c>
      <c r="B1153" t="s">
        <v>51</v>
      </c>
      <c r="C1153">
        <v>3</v>
      </c>
      <c r="D1153">
        <v>3</v>
      </c>
      <c r="E1153">
        <v>7</v>
      </c>
      <c r="F1153" t="s">
        <v>14</v>
      </c>
      <c r="G1153">
        <v>6.5</v>
      </c>
      <c r="I1153">
        <v>4</v>
      </c>
      <c r="J1153" t="s">
        <v>17</v>
      </c>
      <c r="K1153" t="str">
        <f t="shared" si="66"/>
        <v/>
      </c>
      <c r="L1153" t="s">
        <v>16</v>
      </c>
      <c r="M1153">
        <v>8</v>
      </c>
      <c r="Y1153">
        <f t="shared" si="67"/>
        <v>0</v>
      </c>
      <c r="Z1153">
        <f t="shared" si="68"/>
        <v>0</v>
      </c>
    </row>
    <row r="1154" spans="1:26" x14ac:dyDescent="0.25">
      <c r="A1154" s="4" t="s">
        <v>171</v>
      </c>
      <c r="B1154" t="s">
        <v>51</v>
      </c>
      <c r="C1154">
        <v>3</v>
      </c>
      <c r="D1154">
        <v>3</v>
      </c>
      <c r="E1154">
        <v>6</v>
      </c>
      <c r="F1154" t="s">
        <v>23</v>
      </c>
      <c r="G1154">
        <v>5.5</v>
      </c>
      <c r="I1154">
        <v>4</v>
      </c>
      <c r="J1154" t="s">
        <v>17</v>
      </c>
      <c r="K1154" t="str">
        <f t="shared" si="66"/>
        <v>84626909670815000000</v>
      </c>
      <c r="L1154" t="s">
        <v>16</v>
      </c>
      <c r="M1154">
        <v>8</v>
      </c>
      <c r="Y1154">
        <f t="shared" si="67"/>
        <v>0</v>
      </c>
      <c r="Z1154">
        <f t="shared" si="68"/>
        <v>0</v>
      </c>
    </row>
    <row r="1155" spans="1:26" x14ac:dyDescent="0.25">
      <c r="A1155" s="4" t="s">
        <v>171</v>
      </c>
      <c r="B1155" t="s">
        <v>51</v>
      </c>
      <c r="C1155">
        <v>3</v>
      </c>
      <c r="D1155">
        <v>3</v>
      </c>
      <c r="E1155">
        <v>12</v>
      </c>
      <c r="F1155" t="s">
        <v>23</v>
      </c>
      <c r="G1155">
        <v>5.5</v>
      </c>
      <c r="I1155">
        <v>4</v>
      </c>
      <c r="J1155" t="s">
        <v>17</v>
      </c>
      <c r="K1155" t="str">
        <f t="shared" ref="K1155:K1218" si="69">_xlfn.XLOOKUP(A1155,V:V,U:U,"",0)</f>
        <v>84626909670815000000</v>
      </c>
      <c r="L1155" t="s">
        <v>16</v>
      </c>
      <c r="M1155">
        <v>8</v>
      </c>
      <c r="Y1155">
        <f t="shared" ref="Y1155:Y1218" si="70">LEN(O1155)</f>
        <v>0</v>
      </c>
      <c r="Z1155">
        <f t="shared" ref="Z1155:Z1218" si="71">LEN(P1155)</f>
        <v>0</v>
      </c>
    </row>
    <row r="1156" spans="1:26" x14ac:dyDescent="0.25">
      <c r="A1156" s="4" t="s">
        <v>171</v>
      </c>
      <c r="B1156" t="s">
        <v>51</v>
      </c>
      <c r="C1156">
        <v>3</v>
      </c>
      <c r="D1156">
        <v>3</v>
      </c>
      <c r="E1156">
        <v>18</v>
      </c>
      <c r="F1156" t="s">
        <v>23</v>
      </c>
      <c r="G1156">
        <v>5.5</v>
      </c>
      <c r="I1156">
        <v>4</v>
      </c>
      <c r="J1156" t="s">
        <v>17</v>
      </c>
      <c r="K1156" t="str">
        <f t="shared" si="69"/>
        <v>84626909670815000000</v>
      </c>
      <c r="L1156" t="s">
        <v>16</v>
      </c>
      <c r="M1156">
        <v>8</v>
      </c>
      <c r="Y1156">
        <f t="shared" si="70"/>
        <v>0</v>
      </c>
      <c r="Z1156">
        <f t="shared" si="71"/>
        <v>0</v>
      </c>
    </row>
    <row r="1157" spans="1:26" x14ac:dyDescent="0.25">
      <c r="A1157" s="4" t="s">
        <v>171</v>
      </c>
      <c r="B1157" t="s">
        <v>51</v>
      </c>
      <c r="C1157">
        <v>3</v>
      </c>
      <c r="D1157">
        <v>3</v>
      </c>
      <c r="E1157">
        <v>24</v>
      </c>
      <c r="F1157" t="s">
        <v>23</v>
      </c>
      <c r="G1157">
        <v>5.5</v>
      </c>
      <c r="I1157">
        <v>4</v>
      </c>
      <c r="J1157" t="s">
        <v>17</v>
      </c>
      <c r="K1157" t="str">
        <f t="shared" si="69"/>
        <v>84626909670815000000</v>
      </c>
      <c r="L1157" t="s">
        <v>16</v>
      </c>
      <c r="M1157">
        <v>8</v>
      </c>
      <c r="Y1157">
        <f t="shared" si="70"/>
        <v>0</v>
      </c>
      <c r="Z1157">
        <f t="shared" si="71"/>
        <v>0</v>
      </c>
    </row>
    <row r="1158" spans="1:26" x14ac:dyDescent="0.25">
      <c r="A1158" s="4">
        <v>2329</v>
      </c>
      <c r="B1158" t="s">
        <v>28</v>
      </c>
      <c r="C1158">
        <v>5</v>
      </c>
      <c r="D1158">
        <v>6</v>
      </c>
      <c r="E1158">
        <v>2</v>
      </c>
      <c r="F1158" t="s">
        <v>14</v>
      </c>
      <c r="G1158">
        <v>9.5</v>
      </c>
      <c r="I1158">
        <v>3</v>
      </c>
      <c r="J1158" t="s">
        <v>17</v>
      </c>
      <c r="K1158" t="str">
        <f t="shared" si="69"/>
        <v/>
      </c>
      <c r="L1158" t="s">
        <v>16</v>
      </c>
      <c r="M1158">
        <v>15</v>
      </c>
      <c r="Y1158">
        <f t="shared" si="70"/>
        <v>0</v>
      </c>
      <c r="Z1158">
        <f t="shared" si="71"/>
        <v>0</v>
      </c>
    </row>
    <row r="1159" spans="1:26" x14ac:dyDescent="0.25">
      <c r="A1159" s="4">
        <v>2329</v>
      </c>
      <c r="B1159" t="s">
        <v>28</v>
      </c>
      <c r="C1159">
        <v>5</v>
      </c>
      <c r="D1159">
        <v>6</v>
      </c>
      <c r="E1159">
        <v>3</v>
      </c>
      <c r="F1159" t="s">
        <v>14</v>
      </c>
      <c r="G1159">
        <v>9.5</v>
      </c>
      <c r="I1159">
        <v>3</v>
      </c>
      <c r="J1159" t="s">
        <v>17</v>
      </c>
      <c r="K1159" t="str">
        <f t="shared" si="69"/>
        <v/>
      </c>
      <c r="L1159" t="s">
        <v>16</v>
      </c>
      <c r="M1159">
        <v>15</v>
      </c>
      <c r="Y1159">
        <f t="shared" si="70"/>
        <v>0</v>
      </c>
      <c r="Z1159">
        <f t="shared" si="71"/>
        <v>0</v>
      </c>
    </row>
    <row r="1160" spans="1:26" x14ac:dyDescent="0.25">
      <c r="A1160" s="4">
        <v>2329</v>
      </c>
      <c r="B1160" t="s">
        <v>28</v>
      </c>
      <c r="C1160">
        <v>5</v>
      </c>
      <c r="D1160">
        <v>6</v>
      </c>
      <c r="E1160">
        <v>4</v>
      </c>
      <c r="F1160" t="s">
        <v>14</v>
      </c>
      <c r="G1160">
        <v>9.5</v>
      </c>
      <c r="I1160">
        <v>3</v>
      </c>
      <c r="J1160" t="s">
        <v>17</v>
      </c>
      <c r="K1160" t="str">
        <f t="shared" si="69"/>
        <v/>
      </c>
      <c r="L1160" t="s">
        <v>16</v>
      </c>
      <c r="M1160">
        <v>15</v>
      </c>
      <c r="Y1160">
        <f t="shared" si="70"/>
        <v>0</v>
      </c>
      <c r="Z1160">
        <f t="shared" si="71"/>
        <v>0</v>
      </c>
    </row>
    <row r="1161" spans="1:26" x14ac:dyDescent="0.25">
      <c r="A1161" s="4">
        <v>26312</v>
      </c>
      <c r="B1161" t="s">
        <v>52</v>
      </c>
      <c r="C1161">
        <v>9</v>
      </c>
      <c r="D1161">
        <v>4</v>
      </c>
      <c r="E1161">
        <v>3</v>
      </c>
      <c r="F1161" t="s">
        <v>14</v>
      </c>
      <c r="G1161">
        <v>13</v>
      </c>
      <c r="I1161">
        <v>6</v>
      </c>
      <c r="J1161" t="s">
        <v>17</v>
      </c>
      <c r="K1161" t="str">
        <f t="shared" si="69"/>
        <v/>
      </c>
      <c r="L1161" t="s">
        <v>16</v>
      </c>
      <c r="M1161">
        <v>6</v>
      </c>
      <c r="Y1161">
        <f t="shared" si="70"/>
        <v>0</v>
      </c>
      <c r="Z1161">
        <f t="shared" si="71"/>
        <v>0</v>
      </c>
    </row>
    <row r="1162" spans="1:26" x14ac:dyDescent="0.25">
      <c r="A1162" s="4">
        <v>26312</v>
      </c>
      <c r="B1162" t="s">
        <v>52</v>
      </c>
      <c r="C1162">
        <v>9</v>
      </c>
      <c r="D1162">
        <v>4</v>
      </c>
      <c r="E1162">
        <v>4</v>
      </c>
      <c r="F1162" t="s">
        <v>14</v>
      </c>
      <c r="G1162">
        <v>13</v>
      </c>
      <c r="I1162">
        <v>6</v>
      </c>
      <c r="J1162" t="s">
        <v>17</v>
      </c>
      <c r="K1162" t="str">
        <f t="shared" si="69"/>
        <v/>
      </c>
      <c r="L1162" t="s">
        <v>16</v>
      </c>
      <c r="M1162">
        <v>6</v>
      </c>
      <c r="Y1162">
        <f t="shared" si="70"/>
        <v>0</v>
      </c>
      <c r="Z1162">
        <f t="shared" si="71"/>
        <v>0</v>
      </c>
    </row>
    <row r="1163" spans="1:26" x14ac:dyDescent="0.25">
      <c r="A1163" s="4">
        <v>26312</v>
      </c>
      <c r="B1163" t="s">
        <v>52</v>
      </c>
      <c r="C1163">
        <v>9</v>
      </c>
      <c r="D1163">
        <v>4</v>
      </c>
      <c r="E1163">
        <v>5</v>
      </c>
      <c r="F1163" t="s">
        <v>14</v>
      </c>
      <c r="G1163">
        <v>13</v>
      </c>
      <c r="I1163">
        <v>6</v>
      </c>
      <c r="J1163" t="s">
        <v>17</v>
      </c>
      <c r="K1163" t="str">
        <f t="shared" si="69"/>
        <v/>
      </c>
      <c r="L1163" t="s">
        <v>16</v>
      </c>
      <c r="M1163">
        <v>6</v>
      </c>
      <c r="Y1163">
        <f t="shared" si="70"/>
        <v>0</v>
      </c>
      <c r="Z1163">
        <f t="shared" si="71"/>
        <v>0</v>
      </c>
    </row>
    <row r="1164" spans="1:26" x14ac:dyDescent="0.25">
      <c r="A1164" s="4">
        <v>26312</v>
      </c>
      <c r="B1164" t="s">
        <v>52</v>
      </c>
      <c r="C1164">
        <v>9</v>
      </c>
      <c r="D1164">
        <v>4</v>
      </c>
      <c r="E1164">
        <v>6</v>
      </c>
      <c r="F1164" t="s">
        <v>14</v>
      </c>
      <c r="G1164">
        <v>13</v>
      </c>
      <c r="I1164">
        <v>6</v>
      </c>
      <c r="J1164" t="s">
        <v>17</v>
      </c>
      <c r="K1164" t="str">
        <f t="shared" si="69"/>
        <v/>
      </c>
      <c r="L1164" t="s">
        <v>16</v>
      </c>
      <c r="M1164">
        <v>6</v>
      </c>
      <c r="Y1164">
        <f t="shared" si="70"/>
        <v>0</v>
      </c>
      <c r="Z1164">
        <f t="shared" si="71"/>
        <v>0</v>
      </c>
    </row>
    <row r="1165" spans="1:26" x14ac:dyDescent="0.25">
      <c r="A1165" s="4">
        <v>26312</v>
      </c>
      <c r="B1165" t="s">
        <v>52</v>
      </c>
      <c r="C1165">
        <v>9</v>
      </c>
      <c r="D1165">
        <v>4</v>
      </c>
      <c r="E1165">
        <v>7</v>
      </c>
      <c r="F1165" t="s">
        <v>14</v>
      </c>
      <c r="G1165">
        <v>13</v>
      </c>
      <c r="I1165">
        <v>6</v>
      </c>
      <c r="J1165" t="s">
        <v>17</v>
      </c>
      <c r="K1165" t="str">
        <f t="shared" si="69"/>
        <v/>
      </c>
      <c r="L1165" t="s">
        <v>16</v>
      </c>
      <c r="M1165">
        <v>6</v>
      </c>
      <c r="Y1165">
        <f t="shared" si="70"/>
        <v>0</v>
      </c>
      <c r="Z1165">
        <f t="shared" si="71"/>
        <v>0</v>
      </c>
    </row>
    <row r="1166" spans="1:26" x14ac:dyDescent="0.25">
      <c r="A1166" s="4">
        <v>26312</v>
      </c>
      <c r="B1166" t="s">
        <v>52</v>
      </c>
      <c r="C1166">
        <v>9</v>
      </c>
      <c r="D1166">
        <v>4</v>
      </c>
      <c r="E1166">
        <v>8</v>
      </c>
      <c r="F1166" t="s">
        <v>14</v>
      </c>
      <c r="G1166">
        <v>13</v>
      </c>
      <c r="I1166">
        <v>6</v>
      </c>
      <c r="J1166" t="s">
        <v>17</v>
      </c>
      <c r="K1166" t="str">
        <f t="shared" si="69"/>
        <v/>
      </c>
      <c r="L1166" t="s">
        <v>16</v>
      </c>
      <c r="M1166">
        <v>6</v>
      </c>
      <c r="Y1166">
        <f t="shared" si="70"/>
        <v>0</v>
      </c>
      <c r="Z1166">
        <f t="shared" si="71"/>
        <v>0</v>
      </c>
    </row>
    <row r="1167" spans="1:26" x14ac:dyDescent="0.25">
      <c r="A1167" s="4">
        <v>26314</v>
      </c>
      <c r="B1167" t="s">
        <v>52</v>
      </c>
      <c r="C1167">
        <v>9</v>
      </c>
      <c r="D1167">
        <v>4</v>
      </c>
      <c r="E1167">
        <v>3</v>
      </c>
      <c r="F1167" t="s">
        <v>14</v>
      </c>
      <c r="G1167">
        <v>13</v>
      </c>
      <c r="I1167">
        <v>6</v>
      </c>
      <c r="J1167" t="s">
        <v>17</v>
      </c>
      <c r="K1167" t="str">
        <f t="shared" si="69"/>
        <v/>
      </c>
      <c r="L1167" t="s">
        <v>16</v>
      </c>
      <c r="M1167">
        <v>6</v>
      </c>
      <c r="Y1167">
        <f t="shared" si="70"/>
        <v>0</v>
      </c>
      <c r="Z1167">
        <f t="shared" si="71"/>
        <v>0</v>
      </c>
    </row>
    <row r="1168" spans="1:26" x14ac:dyDescent="0.25">
      <c r="A1168" s="4">
        <v>26314</v>
      </c>
      <c r="B1168" t="s">
        <v>52</v>
      </c>
      <c r="C1168">
        <v>9</v>
      </c>
      <c r="D1168">
        <v>4</v>
      </c>
      <c r="E1168">
        <v>4</v>
      </c>
      <c r="F1168" t="s">
        <v>14</v>
      </c>
      <c r="G1168">
        <v>13</v>
      </c>
      <c r="I1168">
        <v>6</v>
      </c>
      <c r="J1168" t="s">
        <v>17</v>
      </c>
      <c r="K1168" t="str">
        <f t="shared" si="69"/>
        <v/>
      </c>
      <c r="L1168" t="s">
        <v>16</v>
      </c>
      <c r="M1168">
        <v>6</v>
      </c>
      <c r="Y1168">
        <f t="shared" si="70"/>
        <v>0</v>
      </c>
      <c r="Z1168">
        <f t="shared" si="71"/>
        <v>0</v>
      </c>
    </row>
    <row r="1169" spans="1:26" x14ac:dyDescent="0.25">
      <c r="A1169" s="4">
        <v>26314</v>
      </c>
      <c r="B1169" t="s">
        <v>52</v>
      </c>
      <c r="C1169">
        <v>9</v>
      </c>
      <c r="D1169">
        <v>4</v>
      </c>
      <c r="E1169">
        <v>5</v>
      </c>
      <c r="F1169" t="s">
        <v>14</v>
      </c>
      <c r="G1169">
        <v>13</v>
      </c>
      <c r="I1169">
        <v>6</v>
      </c>
      <c r="J1169" t="s">
        <v>17</v>
      </c>
      <c r="K1169" t="str">
        <f t="shared" si="69"/>
        <v/>
      </c>
      <c r="L1169" t="s">
        <v>16</v>
      </c>
      <c r="M1169">
        <v>6</v>
      </c>
      <c r="Y1169">
        <f t="shared" si="70"/>
        <v>0</v>
      </c>
      <c r="Z1169">
        <f t="shared" si="71"/>
        <v>0</v>
      </c>
    </row>
    <row r="1170" spans="1:26" x14ac:dyDescent="0.25">
      <c r="A1170" s="4">
        <v>26314</v>
      </c>
      <c r="B1170" t="s">
        <v>52</v>
      </c>
      <c r="C1170">
        <v>9</v>
      </c>
      <c r="D1170">
        <v>4</v>
      </c>
      <c r="E1170">
        <v>6</v>
      </c>
      <c r="F1170" t="s">
        <v>14</v>
      </c>
      <c r="G1170">
        <v>13</v>
      </c>
      <c r="I1170">
        <v>6</v>
      </c>
      <c r="J1170" t="s">
        <v>17</v>
      </c>
      <c r="K1170" t="str">
        <f t="shared" si="69"/>
        <v/>
      </c>
      <c r="L1170" t="s">
        <v>16</v>
      </c>
      <c r="M1170">
        <v>6</v>
      </c>
      <c r="Y1170">
        <f t="shared" si="70"/>
        <v>0</v>
      </c>
      <c r="Z1170">
        <f t="shared" si="71"/>
        <v>0</v>
      </c>
    </row>
    <row r="1171" spans="1:26" x14ac:dyDescent="0.25">
      <c r="A1171" s="4">
        <v>26314</v>
      </c>
      <c r="B1171" t="s">
        <v>52</v>
      </c>
      <c r="C1171">
        <v>9</v>
      </c>
      <c r="D1171">
        <v>4</v>
      </c>
      <c r="E1171">
        <v>7</v>
      </c>
      <c r="F1171" t="s">
        <v>14</v>
      </c>
      <c r="G1171">
        <v>13</v>
      </c>
      <c r="I1171">
        <v>6</v>
      </c>
      <c r="J1171" t="s">
        <v>17</v>
      </c>
      <c r="K1171" t="str">
        <f t="shared" si="69"/>
        <v/>
      </c>
      <c r="L1171" t="s">
        <v>16</v>
      </c>
      <c r="M1171">
        <v>6</v>
      </c>
      <c r="Y1171">
        <f t="shared" si="70"/>
        <v>0</v>
      </c>
      <c r="Z1171">
        <f t="shared" si="71"/>
        <v>0</v>
      </c>
    </row>
    <row r="1172" spans="1:26" x14ac:dyDescent="0.25">
      <c r="A1172" s="4">
        <v>26314</v>
      </c>
      <c r="B1172" t="s">
        <v>52</v>
      </c>
      <c r="C1172">
        <v>9</v>
      </c>
      <c r="D1172">
        <v>4</v>
      </c>
      <c r="E1172">
        <v>8</v>
      </c>
      <c r="F1172" t="s">
        <v>14</v>
      </c>
      <c r="G1172">
        <v>13</v>
      </c>
      <c r="I1172">
        <v>6</v>
      </c>
      <c r="J1172" t="s">
        <v>17</v>
      </c>
      <c r="K1172" t="str">
        <f t="shared" si="69"/>
        <v/>
      </c>
      <c r="L1172" t="s">
        <v>16</v>
      </c>
      <c r="M1172">
        <v>6</v>
      </c>
      <c r="Y1172">
        <f t="shared" si="70"/>
        <v>0</v>
      </c>
      <c r="Z1172">
        <f t="shared" si="71"/>
        <v>0</v>
      </c>
    </row>
    <row r="1173" spans="1:26" x14ac:dyDescent="0.25">
      <c r="A1173" s="4">
        <v>26007</v>
      </c>
      <c r="B1173" t="s">
        <v>52</v>
      </c>
      <c r="C1173">
        <v>9</v>
      </c>
      <c r="D1173">
        <v>4</v>
      </c>
      <c r="E1173">
        <v>1</v>
      </c>
      <c r="F1173" t="s">
        <v>14</v>
      </c>
      <c r="G1173">
        <v>10</v>
      </c>
      <c r="I1173">
        <v>4</v>
      </c>
      <c r="J1173" t="s">
        <v>17</v>
      </c>
      <c r="K1173" t="str">
        <f t="shared" si="69"/>
        <v/>
      </c>
      <c r="L1173" t="s">
        <v>16</v>
      </c>
      <c r="M1173">
        <v>4</v>
      </c>
      <c r="Y1173">
        <f t="shared" si="70"/>
        <v>0</v>
      </c>
      <c r="Z1173">
        <f t="shared" si="71"/>
        <v>0</v>
      </c>
    </row>
    <row r="1174" spans="1:26" x14ac:dyDescent="0.25">
      <c r="A1174" s="4">
        <v>26007</v>
      </c>
      <c r="B1174" t="s">
        <v>52</v>
      </c>
      <c r="C1174">
        <v>9</v>
      </c>
      <c r="D1174">
        <v>4</v>
      </c>
      <c r="E1174">
        <v>2</v>
      </c>
      <c r="F1174" t="s">
        <v>14</v>
      </c>
      <c r="G1174">
        <v>10</v>
      </c>
      <c r="I1174">
        <v>4</v>
      </c>
      <c r="J1174" t="s">
        <v>17</v>
      </c>
      <c r="K1174" t="str">
        <f t="shared" si="69"/>
        <v/>
      </c>
      <c r="L1174" t="s">
        <v>16</v>
      </c>
      <c r="M1174">
        <v>4</v>
      </c>
      <c r="Y1174">
        <f t="shared" si="70"/>
        <v>0</v>
      </c>
      <c r="Z1174">
        <f t="shared" si="71"/>
        <v>0</v>
      </c>
    </row>
    <row r="1175" spans="1:26" x14ac:dyDescent="0.25">
      <c r="A1175" s="4">
        <v>26007</v>
      </c>
      <c r="B1175" t="s">
        <v>52</v>
      </c>
      <c r="C1175">
        <v>9</v>
      </c>
      <c r="D1175">
        <v>4</v>
      </c>
      <c r="E1175">
        <v>3</v>
      </c>
      <c r="F1175" t="s">
        <v>14</v>
      </c>
      <c r="G1175">
        <v>10</v>
      </c>
      <c r="I1175">
        <v>4</v>
      </c>
      <c r="J1175" t="s">
        <v>17</v>
      </c>
      <c r="K1175" t="str">
        <f t="shared" si="69"/>
        <v/>
      </c>
      <c r="L1175" t="s">
        <v>16</v>
      </c>
      <c r="M1175">
        <v>4</v>
      </c>
      <c r="Y1175">
        <f t="shared" si="70"/>
        <v>0</v>
      </c>
      <c r="Z1175">
        <f t="shared" si="71"/>
        <v>0</v>
      </c>
    </row>
    <row r="1176" spans="1:26" x14ac:dyDescent="0.25">
      <c r="A1176" s="4">
        <v>26007</v>
      </c>
      <c r="B1176" t="s">
        <v>52</v>
      </c>
      <c r="C1176">
        <v>9</v>
      </c>
      <c r="D1176">
        <v>4</v>
      </c>
      <c r="E1176">
        <v>4</v>
      </c>
      <c r="F1176" t="s">
        <v>14</v>
      </c>
      <c r="G1176">
        <v>10</v>
      </c>
      <c r="I1176">
        <v>4</v>
      </c>
      <c r="J1176" t="s">
        <v>17</v>
      </c>
      <c r="K1176" t="str">
        <f t="shared" si="69"/>
        <v/>
      </c>
      <c r="L1176" t="s">
        <v>16</v>
      </c>
      <c r="M1176">
        <v>4</v>
      </c>
      <c r="Y1176">
        <f t="shared" si="70"/>
        <v>0</v>
      </c>
      <c r="Z1176">
        <f t="shared" si="71"/>
        <v>0</v>
      </c>
    </row>
    <row r="1177" spans="1:26" x14ac:dyDescent="0.25">
      <c r="A1177" s="4">
        <v>26009</v>
      </c>
      <c r="B1177" t="s">
        <v>52</v>
      </c>
      <c r="C1177">
        <v>9</v>
      </c>
      <c r="D1177">
        <v>4</v>
      </c>
      <c r="E1177">
        <v>1</v>
      </c>
      <c r="F1177" t="s">
        <v>14</v>
      </c>
      <c r="G1177">
        <v>10</v>
      </c>
      <c r="I1177">
        <v>4</v>
      </c>
      <c r="J1177" t="s">
        <v>17</v>
      </c>
      <c r="K1177" t="str">
        <f t="shared" si="69"/>
        <v/>
      </c>
      <c r="L1177" t="s">
        <v>16</v>
      </c>
      <c r="M1177">
        <v>8</v>
      </c>
      <c r="Y1177">
        <f t="shared" si="70"/>
        <v>0</v>
      </c>
      <c r="Z1177">
        <f t="shared" si="71"/>
        <v>0</v>
      </c>
    </row>
    <row r="1178" spans="1:26" x14ac:dyDescent="0.25">
      <c r="A1178" s="4">
        <v>26009</v>
      </c>
      <c r="B1178" t="s">
        <v>52</v>
      </c>
      <c r="C1178">
        <v>9</v>
      </c>
      <c r="D1178">
        <v>4</v>
      </c>
      <c r="E1178">
        <v>2</v>
      </c>
      <c r="F1178" t="s">
        <v>14</v>
      </c>
      <c r="G1178">
        <v>10</v>
      </c>
      <c r="I1178">
        <v>4</v>
      </c>
      <c r="J1178" t="s">
        <v>17</v>
      </c>
      <c r="K1178" t="str">
        <f t="shared" si="69"/>
        <v/>
      </c>
      <c r="L1178" t="s">
        <v>16</v>
      </c>
      <c r="M1178">
        <v>8</v>
      </c>
      <c r="Y1178">
        <f t="shared" si="70"/>
        <v>0</v>
      </c>
      <c r="Z1178">
        <f t="shared" si="71"/>
        <v>0</v>
      </c>
    </row>
    <row r="1179" spans="1:26" x14ac:dyDescent="0.25">
      <c r="A1179" s="4">
        <v>26009</v>
      </c>
      <c r="B1179" t="s">
        <v>52</v>
      </c>
      <c r="C1179">
        <v>9</v>
      </c>
      <c r="D1179">
        <v>4</v>
      </c>
      <c r="E1179">
        <v>3</v>
      </c>
      <c r="F1179" t="s">
        <v>14</v>
      </c>
      <c r="G1179">
        <v>10</v>
      </c>
      <c r="I1179">
        <v>4</v>
      </c>
      <c r="J1179" t="s">
        <v>17</v>
      </c>
      <c r="K1179" t="str">
        <f t="shared" si="69"/>
        <v/>
      </c>
      <c r="L1179" t="s">
        <v>16</v>
      </c>
      <c r="M1179">
        <v>8</v>
      </c>
      <c r="Y1179">
        <f t="shared" si="70"/>
        <v>0</v>
      </c>
      <c r="Z1179">
        <f t="shared" si="71"/>
        <v>0</v>
      </c>
    </row>
    <row r="1180" spans="1:26" x14ac:dyDescent="0.25">
      <c r="A1180" s="4">
        <v>26009</v>
      </c>
      <c r="B1180" t="s">
        <v>52</v>
      </c>
      <c r="C1180">
        <v>9</v>
      </c>
      <c r="D1180">
        <v>4</v>
      </c>
      <c r="E1180">
        <v>4</v>
      </c>
      <c r="F1180" t="s">
        <v>14</v>
      </c>
      <c r="G1180">
        <v>10</v>
      </c>
      <c r="I1180">
        <v>4</v>
      </c>
      <c r="J1180" t="s">
        <v>17</v>
      </c>
      <c r="K1180" t="str">
        <f t="shared" si="69"/>
        <v/>
      </c>
      <c r="L1180" t="s">
        <v>16</v>
      </c>
      <c r="M1180">
        <v>8</v>
      </c>
      <c r="Y1180">
        <f t="shared" si="70"/>
        <v>0</v>
      </c>
      <c r="Z1180">
        <f t="shared" si="71"/>
        <v>0</v>
      </c>
    </row>
    <row r="1181" spans="1:26" x14ac:dyDescent="0.25">
      <c r="A1181" s="4">
        <v>26114</v>
      </c>
      <c r="B1181" t="s">
        <v>52</v>
      </c>
      <c r="C1181">
        <v>9</v>
      </c>
      <c r="D1181">
        <v>4</v>
      </c>
      <c r="E1181">
        <v>1</v>
      </c>
      <c r="F1181" t="s">
        <v>14</v>
      </c>
      <c r="G1181">
        <v>12</v>
      </c>
      <c r="I1181">
        <v>4</v>
      </c>
      <c r="J1181" t="s">
        <v>17</v>
      </c>
      <c r="K1181" t="str">
        <f t="shared" si="69"/>
        <v/>
      </c>
      <c r="L1181" t="s">
        <v>16</v>
      </c>
      <c r="M1181">
        <v>4</v>
      </c>
      <c r="Y1181">
        <f t="shared" si="70"/>
        <v>0</v>
      </c>
      <c r="Z1181">
        <f t="shared" si="71"/>
        <v>0</v>
      </c>
    </row>
    <row r="1182" spans="1:26" x14ac:dyDescent="0.25">
      <c r="A1182" s="4">
        <v>26114</v>
      </c>
      <c r="B1182" t="s">
        <v>52</v>
      </c>
      <c r="C1182">
        <v>9</v>
      </c>
      <c r="D1182">
        <v>4</v>
      </c>
      <c r="E1182">
        <v>2</v>
      </c>
      <c r="F1182" t="s">
        <v>14</v>
      </c>
      <c r="G1182">
        <v>12</v>
      </c>
      <c r="I1182">
        <v>4</v>
      </c>
      <c r="J1182" t="s">
        <v>17</v>
      </c>
      <c r="K1182" t="str">
        <f t="shared" si="69"/>
        <v/>
      </c>
      <c r="L1182" t="s">
        <v>16</v>
      </c>
      <c r="M1182">
        <v>4</v>
      </c>
      <c r="Y1182">
        <f t="shared" si="70"/>
        <v>0</v>
      </c>
      <c r="Z1182">
        <f t="shared" si="71"/>
        <v>0</v>
      </c>
    </row>
    <row r="1183" spans="1:26" x14ac:dyDescent="0.25">
      <c r="A1183" s="4">
        <v>26114</v>
      </c>
      <c r="B1183" t="s">
        <v>52</v>
      </c>
      <c r="C1183">
        <v>9</v>
      </c>
      <c r="D1183">
        <v>4</v>
      </c>
      <c r="E1183">
        <v>3</v>
      </c>
      <c r="F1183" t="s">
        <v>14</v>
      </c>
      <c r="G1183">
        <v>12</v>
      </c>
      <c r="I1183">
        <v>4</v>
      </c>
      <c r="J1183" t="s">
        <v>17</v>
      </c>
      <c r="K1183" t="str">
        <f t="shared" si="69"/>
        <v/>
      </c>
      <c r="L1183" t="s">
        <v>16</v>
      </c>
      <c r="M1183">
        <v>4</v>
      </c>
      <c r="Y1183">
        <f t="shared" si="70"/>
        <v>0</v>
      </c>
      <c r="Z1183">
        <f t="shared" si="71"/>
        <v>0</v>
      </c>
    </row>
    <row r="1184" spans="1:26" x14ac:dyDescent="0.25">
      <c r="A1184" s="4">
        <v>26114</v>
      </c>
      <c r="B1184" t="s">
        <v>52</v>
      </c>
      <c r="C1184">
        <v>9</v>
      </c>
      <c r="D1184">
        <v>4</v>
      </c>
      <c r="E1184">
        <v>4</v>
      </c>
      <c r="F1184" t="s">
        <v>14</v>
      </c>
      <c r="G1184">
        <v>12</v>
      </c>
      <c r="I1184">
        <v>4</v>
      </c>
      <c r="J1184" t="s">
        <v>17</v>
      </c>
      <c r="K1184" t="str">
        <f t="shared" si="69"/>
        <v/>
      </c>
      <c r="L1184" t="s">
        <v>16</v>
      </c>
      <c r="M1184">
        <v>4</v>
      </c>
      <c r="Y1184">
        <f t="shared" si="70"/>
        <v>0</v>
      </c>
      <c r="Z1184">
        <f t="shared" si="71"/>
        <v>0</v>
      </c>
    </row>
    <row r="1185" spans="1:26" x14ac:dyDescent="0.25">
      <c r="A1185" s="4">
        <v>26164</v>
      </c>
      <c r="B1185" t="s">
        <v>52</v>
      </c>
      <c r="C1185">
        <v>9</v>
      </c>
      <c r="D1185">
        <v>4</v>
      </c>
      <c r="E1185">
        <v>1</v>
      </c>
      <c r="F1185" t="s">
        <v>14</v>
      </c>
      <c r="G1185">
        <v>12</v>
      </c>
      <c r="I1185">
        <v>4</v>
      </c>
      <c r="J1185" t="s">
        <v>17</v>
      </c>
      <c r="K1185" t="str">
        <f t="shared" si="69"/>
        <v/>
      </c>
      <c r="L1185" t="s">
        <v>16</v>
      </c>
      <c r="M1185">
        <v>4</v>
      </c>
      <c r="Y1185">
        <f t="shared" si="70"/>
        <v>0</v>
      </c>
      <c r="Z1185">
        <f t="shared" si="71"/>
        <v>0</v>
      </c>
    </row>
    <row r="1186" spans="1:26" x14ac:dyDescent="0.25">
      <c r="A1186" s="4">
        <v>26164</v>
      </c>
      <c r="B1186" t="s">
        <v>52</v>
      </c>
      <c r="C1186">
        <v>9</v>
      </c>
      <c r="D1186">
        <v>4</v>
      </c>
      <c r="E1186">
        <v>2</v>
      </c>
      <c r="F1186" t="s">
        <v>14</v>
      </c>
      <c r="G1186">
        <v>12</v>
      </c>
      <c r="I1186">
        <v>4</v>
      </c>
      <c r="J1186" t="s">
        <v>17</v>
      </c>
      <c r="K1186" t="str">
        <f t="shared" si="69"/>
        <v/>
      </c>
      <c r="L1186" t="s">
        <v>16</v>
      </c>
      <c r="M1186">
        <v>4</v>
      </c>
      <c r="Y1186">
        <f t="shared" si="70"/>
        <v>0</v>
      </c>
      <c r="Z1186">
        <f t="shared" si="71"/>
        <v>0</v>
      </c>
    </row>
    <row r="1187" spans="1:26" x14ac:dyDescent="0.25">
      <c r="A1187" s="4">
        <v>26164</v>
      </c>
      <c r="B1187" t="s">
        <v>52</v>
      </c>
      <c r="C1187">
        <v>9</v>
      </c>
      <c r="D1187">
        <v>4</v>
      </c>
      <c r="E1187">
        <v>3</v>
      </c>
      <c r="F1187" t="s">
        <v>14</v>
      </c>
      <c r="G1187">
        <v>12</v>
      </c>
      <c r="I1187">
        <v>4</v>
      </c>
      <c r="J1187" t="s">
        <v>17</v>
      </c>
      <c r="K1187" t="str">
        <f t="shared" si="69"/>
        <v/>
      </c>
      <c r="L1187" t="s">
        <v>16</v>
      </c>
      <c r="M1187">
        <v>4</v>
      </c>
      <c r="Y1187">
        <f t="shared" si="70"/>
        <v>0</v>
      </c>
      <c r="Z1187">
        <f t="shared" si="71"/>
        <v>0</v>
      </c>
    </row>
    <row r="1188" spans="1:26" x14ac:dyDescent="0.25">
      <c r="A1188" s="4">
        <v>26164</v>
      </c>
      <c r="B1188" t="s">
        <v>52</v>
      </c>
      <c r="C1188">
        <v>9</v>
      </c>
      <c r="D1188">
        <v>4</v>
      </c>
      <c r="E1188">
        <v>4</v>
      </c>
      <c r="F1188" t="s">
        <v>14</v>
      </c>
      <c r="G1188">
        <v>12</v>
      </c>
      <c r="I1188">
        <v>4</v>
      </c>
      <c r="J1188" t="s">
        <v>17</v>
      </c>
      <c r="K1188" t="str">
        <f t="shared" si="69"/>
        <v/>
      </c>
      <c r="L1188" t="s">
        <v>16</v>
      </c>
      <c r="M1188">
        <v>4</v>
      </c>
      <c r="Y1188">
        <f t="shared" si="70"/>
        <v>0</v>
      </c>
      <c r="Z1188">
        <f t="shared" si="71"/>
        <v>0</v>
      </c>
    </row>
    <row r="1189" spans="1:26" x14ac:dyDescent="0.25">
      <c r="A1189" s="4">
        <v>339</v>
      </c>
      <c r="B1189" t="s">
        <v>53</v>
      </c>
      <c r="C1189">
        <v>3</v>
      </c>
      <c r="D1189">
        <v>10</v>
      </c>
      <c r="E1189">
        <v>12</v>
      </c>
      <c r="F1189" t="s">
        <v>14</v>
      </c>
      <c r="G1189">
        <v>12</v>
      </c>
      <c r="I1189">
        <v>3</v>
      </c>
      <c r="J1189" t="s">
        <v>17</v>
      </c>
      <c r="K1189" t="str">
        <f t="shared" si="69"/>
        <v/>
      </c>
      <c r="L1189" t="s">
        <v>16</v>
      </c>
      <c r="M1189">
        <v>3</v>
      </c>
      <c r="Y1189">
        <f t="shared" si="70"/>
        <v>0</v>
      </c>
      <c r="Z1189">
        <f t="shared" si="71"/>
        <v>0</v>
      </c>
    </row>
    <row r="1190" spans="1:26" x14ac:dyDescent="0.25">
      <c r="A1190" s="4">
        <v>339</v>
      </c>
      <c r="B1190" t="s">
        <v>53</v>
      </c>
      <c r="C1190">
        <v>3</v>
      </c>
      <c r="D1190">
        <v>10</v>
      </c>
      <c r="E1190">
        <v>14</v>
      </c>
      <c r="F1190" t="s">
        <v>14</v>
      </c>
      <c r="G1190">
        <v>12</v>
      </c>
      <c r="I1190">
        <v>3</v>
      </c>
      <c r="J1190" t="s">
        <v>17</v>
      </c>
      <c r="K1190" t="str">
        <f t="shared" si="69"/>
        <v/>
      </c>
      <c r="L1190" t="s">
        <v>16</v>
      </c>
      <c r="M1190">
        <v>3</v>
      </c>
      <c r="Y1190">
        <f t="shared" si="70"/>
        <v>0</v>
      </c>
      <c r="Z1190">
        <f t="shared" si="71"/>
        <v>0</v>
      </c>
    </row>
    <row r="1191" spans="1:26" x14ac:dyDescent="0.25">
      <c r="A1191" s="4">
        <v>339</v>
      </c>
      <c r="B1191" t="s">
        <v>53</v>
      </c>
      <c r="C1191">
        <v>3</v>
      </c>
      <c r="D1191">
        <v>10</v>
      </c>
      <c r="E1191">
        <v>16</v>
      </c>
      <c r="F1191" t="s">
        <v>14</v>
      </c>
      <c r="G1191">
        <v>12</v>
      </c>
      <c r="I1191">
        <v>3</v>
      </c>
      <c r="J1191" t="s">
        <v>17</v>
      </c>
      <c r="K1191" t="str">
        <f t="shared" si="69"/>
        <v/>
      </c>
      <c r="L1191" t="s">
        <v>16</v>
      </c>
      <c r="M1191">
        <v>3</v>
      </c>
      <c r="Y1191">
        <f t="shared" si="70"/>
        <v>0</v>
      </c>
      <c r="Z1191">
        <f t="shared" si="71"/>
        <v>0</v>
      </c>
    </row>
    <row r="1192" spans="1:26" x14ac:dyDescent="0.25">
      <c r="A1192" s="4">
        <v>336</v>
      </c>
      <c r="B1192" t="s">
        <v>54</v>
      </c>
      <c r="C1192">
        <v>4</v>
      </c>
      <c r="D1192">
        <v>10</v>
      </c>
      <c r="E1192">
        <v>12</v>
      </c>
      <c r="F1192" t="s">
        <v>14</v>
      </c>
      <c r="G1192">
        <v>6</v>
      </c>
      <c r="I1192">
        <v>3</v>
      </c>
      <c r="J1192" t="s">
        <v>17</v>
      </c>
      <c r="K1192" t="str">
        <f t="shared" si="69"/>
        <v/>
      </c>
      <c r="L1192" t="s">
        <v>16</v>
      </c>
      <c r="M1192">
        <v>9</v>
      </c>
      <c r="Y1192">
        <f t="shared" si="70"/>
        <v>0</v>
      </c>
      <c r="Z1192">
        <f t="shared" si="71"/>
        <v>0</v>
      </c>
    </row>
    <row r="1193" spans="1:26" x14ac:dyDescent="0.25">
      <c r="A1193" s="4">
        <v>336</v>
      </c>
      <c r="B1193" t="s">
        <v>54</v>
      </c>
      <c r="C1193">
        <v>4</v>
      </c>
      <c r="D1193">
        <v>10</v>
      </c>
      <c r="E1193">
        <v>14</v>
      </c>
      <c r="F1193" t="s">
        <v>14</v>
      </c>
      <c r="G1193">
        <v>6</v>
      </c>
      <c r="I1193">
        <v>3</v>
      </c>
      <c r="J1193" t="s">
        <v>17</v>
      </c>
      <c r="K1193" t="str">
        <f t="shared" si="69"/>
        <v/>
      </c>
      <c r="L1193" t="s">
        <v>16</v>
      </c>
      <c r="M1193">
        <v>9</v>
      </c>
      <c r="Y1193">
        <f t="shared" si="70"/>
        <v>0</v>
      </c>
      <c r="Z1193">
        <f t="shared" si="71"/>
        <v>0</v>
      </c>
    </row>
    <row r="1194" spans="1:26" x14ac:dyDescent="0.25">
      <c r="A1194" s="4">
        <v>336</v>
      </c>
      <c r="B1194" t="s">
        <v>54</v>
      </c>
      <c r="C1194">
        <v>4</v>
      </c>
      <c r="D1194">
        <v>10</v>
      </c>
      <c r="E1194">
        <v>16</v>
      </c>
      <c r="F1194" t="s">
        <v>14</v>
      </c>
      <c r="G1194">
        <v>6</v>
      </c>
      <c r="I1194">
        <v>3</v>
      </c>
      <c r="J1194" t="s">
        <v>17</v>
      </c>
      <c r="K1194" t="str">
        <f t="shared" si="69"/>
        <v/>
      </c>
      <c r="L1194" t="s">
        <v>16</v>
      </c>
      <c r="M1194">
        <v>9</v>
      </c>
      <c r="Y1194">
        <f t="shared" si="70"/>
        <v>0</v>
      </c>
      <c r="Z1194">
        <f t="shared" si="71"/>
        <v>0</v>
      </c>
    </row>
    <row r="1195" spans="1:26" x14ac:dyDescent="0.25">
      <c r="A1195" s="4">
        <v>343</v>
      </c>
      <c r="B1195" t="s">
        <v>55</v>
      </c>
      <c r="C1195">
        <v>1</v>
      </c>
      <c r="D1195">
        <v>9</v>
      </c>
      <c r="E1195">
        <v>6</v>
      </c>
      <c r="F1195" t="s">
        <v>14</v>
      </c>
      <c r="G1195">
        <v>12.5</v>
      </c>
      <c r="I1195">
        <v>4</v>
      </c>
      <c r="J1195" t="s">
        <v>17</v>
      </c>
      <c r="K1195" t="str">
        <f t="shared" si="69"/>
        <v/>
      </c>
      <c r="L1195" t="s">
        <v>16</v>
      </c>
      <c r="M1195">
        <v>16</v>
      </c>
      <c r="Y1195">
        <f t="shared" si="70"/>
        <v>0</v>
      </c>
      <c r="Z1195">
        <f t="shared" si="71"/>
        <v>0</v>
      </c>
    </row>
    <row r="1196" spans="1:26" x14ac:dyDescent="0.25">
      <c r="A1196" s="4">
        <v>343</v>
      </c>
      <c r="B1196" t="s">
        <v>55</v>
      </c>
      <c r="C1196">
        <v>1</v>
      </c>
      <c r="D1196">
        <v>9</v>
      </c>
      <c r="E1196">
        <v>8</v>
      </c>
      <c r="F1196" t="s">
        <v>14</v>
      </c>
      <c r="G1196">
        <v>12.5</v>
      </c>
      <c r="I1196">
        <v>4</v>
      </c>
      <c r="J1196" t="s">
        <v>17</v>
      </c>
      <c r="K1196" t="str">
        <f t="shared" si="69"/>
        <v/>
      </c>
      <c r="L1196" t="s">
        <v>16</v>
      </c>
      <c r="M1196">
        <v>16</v>
      </c>
      <c r="Y1196">
        <f t="shared" si="70"/>
        <v>0</v>
      </c>
      <c r="Z1196">
        <f t="shared" si="71"/>
        <v>0</v>
      </c>
    </row>
    <row r="1197" spans="1:26" x14ac:dyDescent="0.25">
      <c r="A1197" s="4">
        <v>343</v>
      </c>
      <c r="B1197" t="s">
        <v>55</v>
      </c>
      <c r="C1197">
        <v>1</v>
      </c>
      <c r="D1197">
        <v>9</v>
      </c>
      <c r="E1197">
        <v>10</v>
      </c>
      <c r="F1197" t="s">
        <v>14</v>
      </c>
      <c r="G1197">
        <v>12.5</v>
      </c>
      <c r="I1197">
        <v>4</v>
      </c>
      <c r="J1197" t="s">
        <v>17</v>
      </c>
      <c r="K1197" t="str">
        <f t="shared" si="69"/>
        <v/>
      </c>
      <c r="L1197" t="s">
        <v>16</v>
      </c>
      <c r="M1197">
        <v>16</v>
      </c>
      <c r="Y1197">
        <f t="shared" si="70"/>
        <v>0</v>
      </c>
      <c r="Z1197">
        <f t="shared" si="71"/>
        <v>0</v>
      </c>
    </row>
    <row r="1198" spans="1:26" x14ac:dyDescent="0.25">
      <c r="A1198" s="4">
        <v>343</v>
      </c>
      <c r="B1198" t="s">
        <v>55</v>
      </c>
      <c r="C1198">
        <v>1</v>
      </c>
      <c r="D1198">
        <v>9</v>
      </c>
      <c r="E1198">
        <v>12</v>
      </c>
      <c r="F1198" t="s">
        <v>14</v>
      </c>
      <c r="G1198">
        <v>12.5</v>
      </c>
      <c r="I1198">
        <v>4</v>
      </c>
      <c r="J1198" t="s">
        <v>17</v>
      </c>
      <c r="K1198" t="str">
        <f t="shared" si="69"/>
        <v/>
      </c>
      <c r="L1198" t="s">
        <v>16</v>
      </c>
      <c r="M1198">
        <v>16</v>
      </c>
      <c r="Y1198">
        <f t="shared" si="70"/>
        <v>0</v>
      </c>
      <c r="Z1198">
        <f t="shared" si="71"/>
        <v>0</v>
      </c>
    </row>
    <row r="1199" spans="1:26" x14ac:dyDescent="0.25">
      <c r="A1199" s="4">
        <v>450</v>
      </c>
      <c r="B1199" t="s">
        <v>56</v>
      </c>
      <c r="C1199">
        <v>1</v>
      </c>
      <c r="D1199">
        <v>9</v>
      </c>
      <c r="E1199">
        <v>14</v>
      </c>
      <c r="F1199" t="s">
        <v>14</v>
      </c>
      <c r="G1199">
        <v>16.5</v>
      </c>
      <c r="I1199">
        <v>3</v>
      </c>
      <c r="J1199" t="s">
        <v>17</v>
      </c>
      <c r="K1199" t="str">
        <f t="shared" si="69"/>
        <v/>
      </c>
      <c r="L1199" t="s">
        <v>16</v>
      </c>
      <c r="M1199">
        <v>18</v>
      </c>
      <c r="Y1199">
        <f t="shared" si="70"/>
        <v>0</v>
      </c>
      <c r="Z1199">
        <f t="shared" si="71"/>
        <v>0</v>
      </c>
    </row>
    <row r="1200" spans="1:26" x14ac:dyDescent="0.25">
      <c r="A1200" s="4">
        <v>450</v>
      </c>
      <c r="B1200" t="s">
        <v>56</v>
      </c>
      <c r="C1200">
        <v>1</v>
      </c>
      <c r="D1200">
        <v>9</v>
      </c>
      <c r="E1200">
        <v>16</v>
      </c>
      <c r="F1200" t="s">
        <v>14</v>
      </c>
      <c r="G1200">
        <v>16.5</v>
      </c>
      <c r="I1200">
        <v>3</v>
      </c>
      <c r="J1200" t="s">
        <v>17</v>
      </c>
      <c r="K1200" t="str">
        <f t="shared" si="69"/>
        <v/>
      </c>
      <c r="L1200" t="s">
        <v>16</v>
      </c>
      <c r="M1200">
        <v>18</v>
      </c>
      <c r="Y1200">
        <f t="shared" si="70"/>
        <v>0</v>
      </c>
      <c r="Z1200">
        <f t="shared" si="71"/>
        <v>0</v>
      </c>
    </row>
    <row r="1201" spans="1:26" x14ac:dyDescent="0.25">
      <c r="A1201" s="4">
        <v>450</v>
      </c>
      <c r="B1201" t="s">
        <v>56</v>
      </c>
      <c r="C1201">
        <v>1</v>
      </c>
      <c r="D1201">
        <v>9</v>
      </c>
      <c r="E1201">
        <v>18</v>
      </c>
      <c r="F1201" t="s">
        <v>14</v>
      </c>
      <c r="G1201">
        <v>16.5</v>
      </c>
      <c r="I1201">
        <v>3</v>
      </c>
      <c r="J1201" t="s">
        <v>17</v>
      </c>
      <c r="K1201" t="str">
        <f t="shared" si="69"/>
        <v/>
      </c>
      <c r="L1201" t="s">
        <v>16</v>
      </c>
      <c r="M1201">
        <v>18</v>
      </c>
      <c r="Y1201">
        <f t="shared" si="70"/>
        <v>0</v>
      </c>
      <c r="Z1201">
        <f t="shared" si="71"/>
        <v>0</v>
      </c>
    </row>
    <row r="1202" spans="1:26" x14ac:dyDescent="0.25">
      <c r="A1202" s="4">
        <v>124</v>
      </c>
      <c r="B1202" t="s">
        <v>28</v>
      </c>
      <c r="C1202">
        <v>5</v>
      </c>
      <c r="D1202">
        <v>8</v>
      </c>
      <c r="E1202">
        <v>2</v>
      </c>
      <c r="F1202" t="s">
        <v>14</v>
      </c>
      <c r="G1202">
        <v>13</v>
      </c>
      <c r="I1202">
        <v>4</v>
      </c>
      <c r="J1202" t="s">
        <v>17</v>
      </c>
      <c r="K1202" t="str">
        <f t="shared" si="69"/>
        <v/>
      </c>
      <c r="L1202" t="s">
        <v>16</v>
      </c>
      <c r="M1202">
        <v>16</v>
      </c>
      <c r="Y1202">
        <f t="shared" si="70"/>
        <v>0</v>
      </c>
      <c r="Z1202">
        <f t="shared" si="71"/>
        <v>0</v>
      </c>
    </row>
    <row r="1203" spans="1:26" x14ac:dyDescent="0.25">
      <c r="A1203" s="4">
        <v>124</v>
      </c>
      <c r="B1203" t="s">
        <v>28</v>
      </c>
      <c r="C1203">
        <v>5</v>
      </c>
      <c r="D1203">
        <v>8</v>
      </c>
      <c r="E1203">
        <v>3</v>
      </c>
      <c r="F1203" t="s">
        <v>14</v>
      </c>
      <c r="G1203">
        <v>13</v>
      </c>
      <c r="I1203">
        <v>4</v>
      </c>
      <c r="J1203" t="s">
        <v>17</v>
      </c>
      <c r="K1203" t="str">
        <f t="shared" si="69"/>
        <v/>
      </c>
      <c r="L1203" t="s">
        <v>16</v>
      </c>
      <c r="M1203">
        <v>16</v>
      </c>
      <c r="Y1203">
        <f t="shared" si="70"/>
        <v>0</v>
      </c>
      <c r="Z1203">
        <f t="shared" si="71"/>
        <v>0</v>
      </c>
    </row>
    <row r="1204" spans="1:26" x14ac:dyDescent="0.25">
      <c r="A1204" s="4">
        <v>124</v>
      </c>
      <c r="B1204" t="s">
        <v>28</v>
      </c>
      <c r="C1204">
        <v>5</v>
      </c>
      <c r="D1204">
        <v>8</v>
      </c>
      <c r="E1204">
        <v>4</v>
      </c>
      <c r="F1204" t="s">
        <v>14</v>
      </c>
      <c r="G1204">
        <v>13</v>
      </c>
      <c r="I1204">
        <v>4</v>
      </c>
      <c r="J1204" t="s">
        <v>17</v>
      </c>
      <c r="K1204" t="str">
        <f t="shared" si="69"/>
        <v/>
      </c>
      <c r="L1204" t="s">
        <v>16</v>
      </c>
      <c r="M1204">
        <v>16</v>
      </c>
      <c r="Y1204">
        <f t="shared" si="70"/>
        <v>0</v>
      </c>
      <c r="Z1204">
        <f t="shared" si="71"/>
        <v>0</v>
      </c>
    </row>
    <row r="1205" spans="1:26" x14ac:dyDescent="0.25">
      <c r="A1205" s="4">
        <v>124</v>
      </c>
      <c r="B1205" t="s">
        <v>28</v>
      </c>
      <c r="C1205">
        <v>5</v>
      </c>
      <c r="D1205">
        <v>8</v>
      </c>
      <c r="E1205">
        <v>5</v>
      </c>
      <c r="F1205" t="s">
        <v>14</v>
      </c>
      <c r="G1205">
        <v>13</v>
      </c>
      <c r="I1205">
        <v>4</v>
      </c>
      <c r="J1205" t="s">
        <v>17</v>
      </c>
      <c r="K1205" t="str">
        <f t="shared" si="69"/>
        <v/>
      </c>
      <c r="L1205" t="s">
        <v>16</v>
      </c>
      <c r="M1205">
        <v>16</v>
      </c>
      <c r="Y1205">
        <f t="shared" si="70"/>
        <v>0</v>
      </c>
      <c r="Z1205">
        <f t="shared" si="71"/>
        <v>0</v>
      </c>
    </row>
    <row r="1206" spans="1:26" x14ac:dyDescent="0.25">
      <c r="A1206" s="4">
        <v>132</v>
      </c>
      <c r="B1206" t="s">
        <v>28</v>
      </c>
      <c r="C1206">
        <v>5</v>
      </c>
      <c r="D1206">
        <v>8</v>
      </c>
      <c r="E1206">
        <v>2</v>
      </c>
      <c r="F1206" t="s">
        <v>14</v>
      </c>
      <c r="G1206">
        <v>13</v>
      </c>
      <c r="I1206">
        <v>4</v>
      </c>
      <c r="J1206" t="s">
        <v>17</v>
      </c>
      <c r="K1206" t="str">
        <f t="shared" si="69"/>
        <v/>
      </c>
      <c r="L1206" t="s">
        <v>16</v>
      </c>
      <c r="M1206">
        <v>16</v>
      </c>
      <c r="Y1206">
        <f t="shared" si="70"/>
        <v>0</v>
      </c>
      <c r="Z1206">
        <f t="shared" si="71"/>
        <v>0</v>
      </c>
    </row>
    <row r="1207" spans="1:26" x14ac:dyDescent="0.25">
      <c r="A1207" s="4">
        <v>132</v>
      </c>
      <c r="B1207" t="s">
        <v>28</v>
      </c>
      <c r="C1207">
        <v>5</v>
      </c>
      <c r="D1207">
        <v>8</v>
      </c>
      <c r="E1207">
        <v>3</v>
      </c>
      <c r="F1207" t="s">
        <v>14</v>
      </c>
      <c r="G1207">
        <v>13</v>
      </c>
      <c r="I1207">
        <v>4</v>
      </c>
      <c r="J1207" t="s">
        <v>17</v>
      </c>
      <c r="K1207" t="str">
        <f t="shared" si="69"/>
        <v/>
      </c>
      <c r="L1207" t="s">
        <v>16</v>
      </c>
      <c r="M1207">
        <v>16</v>
      </c>
      <c r="Y1207">
        <f t="shared" si="70"/>
        <v>0</v>
      </c>
      <c r="Z1207">
        <f t="shared" si="71"/>
        <v>0</v>
      </c>
    </row>
    <row r="1208" spans="1:26" x14ac:dyDescent="0.25">
      <c r="A1208" s="4">
        <v>132</v>
      </c>
      <c r="B1208" t="s">
        <v>28</v>
      </c>
      <c r="C1208">
        <v>5</v>
      </c>
      <c r="D1208">
        <v>8</v>
      </c>
      <c r="E1208">
        <v>4</v>
      </c>
      <c r="F1208" t="s">
        <v>14</v>
      </c>
      <c r="G1208">
        <v>13</v>
      </c>
      <c r="I1208">
        <v>4</v>
      </c>
      <c r="J1208" t="s">
        <v>17</v>
      </c>
      <c r="K1208" t="str">
        <f t="shared" si="69"/>
        <v/>
      </c>
      <c r="L1208" t="s">
        <v>16</v>
      </c>
      <c r="M1208">
        <v>16</v>
      </c>
      <c r="Y1208">
        <f t="shared" si="70"/>
        <v>0</v>
      </c>
      <c r="Z1208">
        <f t="shared" si="71"/>
        <v>0</v>
      </c>
    </row>
    <row r="1209" spans="1:26" x14ac:dyDescent="0.25">
      <c r="A1209" s="4">
        <v>132</v>
      </c>
      <c r="B1209" t="s">
        <v>28</v>
      </c>
      <c r="C1209">
        <v>5</v>
      </c>
      <c r="D1209">
        <v>8</v>
      </c>
      <c r="E1209">
        <v>5</v>
      </c>
      <c r="F1209" t="s">
        <v>14</v>
      </c>
      <c r="G1209">
        <v>13</v>
      </c>
      <c r="I1209">
        <v>4</v>
      </c>
      <c r="J1209" t="s">
        <v>17</v>
      </c>
      <c r="K1209" t="str">
        <f t="shared" si="69"/>
        <v/>
      </c>
      <c r="L1209" t="s">
        <v>16</v>
      </c>
      <c r="M1209">
        <v>16</v>
      </c>
      <c r="Y1209">
        <f t="shared" si="70"/>
        <v>0</v>
      </c>
      <c r="Z1209">
        <f t="shared" si="71"/>
        <v>0</v>
      </c>
    </row>
    <row r="1210" spans="1:26" x14ac:dyDescent="0.25">
      <c r="A1210" s="4">
        <v>129</v>
      </c>
      <c r="B1210" t="s">
        <v>28</v>
      </c>
      <c r="C1210">
        <v>5</v>
      </c>
      <c r="D1210">
        <v>8</v>
      </c>
      <c r="E1210">
        <v>2</v>
      </c>
      <c r="F1210" t="s">
        <v>14</v>
      </c>
      <c r="G1210">
        <v>13</v>
      </c>
      <c r="I1210">
        <v>4</v>
      </c>
      <c r="J1210" t="s">
        <v>17</v>
      </c>
      <c r="K1210" t="str">
        <f t="shared" si="69"/>
        <v/>
      </c>
      <c r="L1210" t="s">
        <v>16</v>
      </c>
      <c r="M1210">
        <v>16</v>
      </c>
      <c r="Y1210">
        <f t="shared" si="70"/>
        <v>0</v>
      </c>
      <c r="Z1210">
        <f t="shared" si="71"/>
        <v>0</v>
      </c>
    </row>
    <row r="1211" spans="1:26" x14ac:dyDescent="0.25">
      <c r="A1211" s="4">
        <v>129</v>
      </c>
      <c r="B1211" t="s">
        <v>28</v>
      </c>
      <c r="C1211">
        <v>5</v>
      </c>
      <c r="D1211">
        <v>8</v>
      </c>
      <c r="E1211">
        <v>3</v>
      </c>
      <c r="F1211" t="s">
        <v>14</v>
      </c>
      <c r="G1211">
        <v>13</v>
      </c>
      <c r="I1211">
        <v>4</v>
      </c>
      <c r="J1211" t="s">
        <v>17</v>
      </c>
      <c r="K1211" t="str">
        <f t="shared" si="69"/>
        <v/>
      </c>
      <c r="L1211" t="s">
        <v>16</v>
      </c>
      <c r="M1211">
        <v>16</v>
      </c>
      <c r="Y1211">
        <f t="shared" si="70"/>
        <v>0</v>
      </c>
      <c r="Z1211">
        <f t="shared" si="71"/>
        <v>0</v>
      </c>
    </row>
    <row r="1212" spans="1:26" x14ac:dyDescent="0.25">
      <c r="A1212" s="4">
        <v>129</v>
      </c>
      <c r="B1212" t="s">
        <v>28</v>
      </c>
      <c r="C1212">
        <v>5</v>
      </c>
      <c r="D1212">
        <v>8</v>
      </c>
      <c r="E1212">
        <v>4</v>
      </c>
      <c r="F1212" t="s">
        <v>14</v>
      </c>
      <c r="G1212">
        <v>13</v>
      </c>
      <c r="I1212">
        <v>4</v>
      </c>
      <c r="J1212" t="s">
        <v>17</v>
      </c>
      <c r="K1212" t="str">
        <f t="shared" si="69"/>
        <v/>
      </c>
      <c r="L1212" t="s">
        <v>16</v>
      </c>
      <c r="M1212">
        <v>16</v>
      </c>
      <c r="Y1212">
        <f t="shared" si="70"/>
        <v>0</v>
      </c>
      <c r="Z1212">
        <f t="shared" si="71"/>
        <v>0</v>
      </c>
    </row>
    <row r="1213" spans="1:26" x14ac:dyDescent="0.25">
      <c r="A1213" s="4">
        <v>129</v>
      </c>
      <c r="B1213" t="s">
        <v>28</v>
      </c>
      <c r="C1213">
        <v>5</v>
      </c>
      <c r="D1213">
        <v>8</v>
      </c>
      <c r="E1213">
        <v>5</v>
      </c>
      <c r="F1213" t="s">
        <v>14</v>
      </c>
      <c r="G1213">
        <v>13</v>
      </c>
      <c r="I1213">
        <v>4</v>
      </c>
      <c r="J1213" t="s">
        <v>17</v>
      </c>
      <c r="K1213" t="str">
        <f t="shared" si="69"/>
        <v/>
      </c>
      <c r="L1213" t="s">
        <v>16</v>
      </c>
      <c r="M1213">
        <v>16</v>
      </c>
      <c r="Y1213">
        <f t="shared" si="70"/>
        <v>0</v>
      </c>
      <c r="Z1213">
        <f t="shared" si="71"/>
        <v>0</v>
      </c>
    </row>
    <row r="1214" spans="1:26" x14ac:dyDescent="0.25">
      <c r="A1214" s="4">
        <v>3451</v>
      </c>
      <c r="B1214" t="s">
        <v>52</v>
      </c>
      <c r="C1214">
        <v>9</v>
      </c>
      <c r="D1214">
        <v>11</v>
      </c>
      <c r="E1214">
        <v>2</v>
      </c>
      <c r="F1214" t="s">
        <v>14</v>
      </c>
      <c r="G1214">
        <v>16</v>
      </c>
      <c r="I1214">
        <v>4</v>
      </c>
      <c r="J1214" t="s">
        <v>17</v>
      </c>
      <c r="K1214" t="str">
        <f t="shared" si="69"/>
        <v/>
      </c>
      <c r="L1214" t="s">
        <v>16</v>
      </c>
      <c r="M1214">
        <v>12</v>
      </c>
      <c r="Y1214">
        <f t="shared" si="70"/>
        <v>0</v>
      </c>
      <c r="Z1214">
        <f t="shared" si="71"/>
        <v>0</v>
      </c>
    </row>
    <row r="1215" spans="1:26" x14ac:dyDescent="0.25">
      <c r="A1215" s="4">
        <v>3451</v>
      </c>
      <c r="B1215" t="s">
        <v>52</v>
      </c>
      <c r="C1215">
        <v>9</v>
      </c>
      <c r="D1215">
        <v>11</v>
      </c>
      <c r="E1215">
        <v>3</v>
      </c>
      <c r="F1215" t="s">
        <v>14</v>
      </c>
      <c r="G1215">
        <v>16</v>
      </c>
      <c r="I1215">
        <v>4</v>
      </c>
      <c r="J1215" t="s">
        <v>17</v>
      </c>
      <c r="K1215" t="str">
        <f t="shared" si="69"/>
        <v/>
      </c>
      <c r="L1215" t="s">
        <v>16</v>
      </c>
      <c r="M1215">
        <v>12</v>
      </c>
      <c r="Y1215">
        <f t="shared" si="70"/>
        <v>0</v>
      </c>
      <c r="Z1215">
        <f t="shared" si="71"/>
        <v>0</v>
      </c>
    </row>
    <row r="1216" spans="1:26" x14ac:dyDescent="0.25">
      <c r="A1216" s="4">
        <v>3451</v>
      </c>
      <c r="B1216" t="s">
        <v>52</v>
      </c>
      <c r="C1216">
        <v>9</v>
      </c>
      <c r="D1216">
        <v>11</v>
      </c>
      <c r="E1216">
        <v>4</v>
      </c>
      <c r="F1216" t="s">
        <v>14</v>
      </c>
      <c r="G1216">
        <v>16</v>
      </c>
      <c r="I1216">
        <v>4</v>
      </c>
      <c r="J1216" t="s">
        <v>17</v>
      </c>
      <c r="K1216" t="str">
        <f t="shared" si="69"/>
        <v/>
      </c>
      <c r="L1216" t="s">
        <v>16</v>
      </c>
      <c r="M1216">
        <v>12</v>
      </c>
      <c r="Y1216">
        <f t="shared" si="70"/>
        <v>0</v>
      </c>
      <c r="Z1216">
        <f t="shared" si="71"/>
        <v>0</v>
      </c>
    </row>
    <row r="1217" spans="1:26" x14ac:dyDescent="0.25">
      <c r="A1217" s="4">
        <v>3451</v>
      </c>
      <c r="B1217" t="s">
        <v>52</v>
      </c>
      <c r="C1217">
        <v>9</v>
      </c>
      <c r="D1217">
        <v>11</v>
      </c>
      <c r="E1217">
        <v>5</v>
      </c>
      <c r="F1217" t="s">
        <v>14</v>
      </c>
      <c r="G1217">
        <v>16</v>
      </c>
      <c r="I1217">
        <v>4</v>
      </c>
      <c r="J1217" t="s">
        <v>17</v>
      </c>
      <c r="K1217" t="str">
        <f t="shared" si="69"/>
        <v/>
      </c>
      <c r="L1217" t="s">
        <v>16</v>
      </c>
      <c r="M1217">
        <v>12</v>
      </c>
      <c r="Y1217">
        <f t="shared" si="70"/>
        <v>0</v>
      </c>
      <c r="Z1217">
        <f t="shared" si="71"/>
        <v>0</v>
      </c>
    </row>
    <row r="1218" spans="1:26" x14ac:dyDescent="0.25">
      <c r="A1218" s="4">
        <v>3452</v>
      </c>
      <c r="B1218" t="s">
        <v>52</v>
      </c>
      <c r="C1218">
        <v>9</v>
      </c>
      <c r="D1218">
        <v>11</v>
      </c>
      <c r="E1218">
        <v>6</v>
      </c>
      <c r="F1218" t="s">
        <v>14</v>
      </c>
      <c r="G1218">
        <v>17</v>
      </c>
      <c r="I1218">
        <v>3</v>
      </c>
      <c r="J1218" t="s">
        <v>17</v>
      </c>
      <c r="K1218" t="str">
        <f t="shared" si="69"/>
        <v/>
      </c>
      <c r="L1218" t="s">
        <v>16</v>
      </c>
      <c r="M1218">
        <v>9</v>
      </c>
      <c r="Y1218">
        <f t="shared" si="70"/>
        <v>0</v>
      </c>
      <c r="Z1218">
        <f t="shared" si="71"/>
        <v>0</v>
      </c>
    </row>
    <row r="1219" spans="1:26" x14ac:dyDescent="0.25">
      <c r="A1219" s="4">
        <v>3452</v>
      </c>
      <c r="B1219" t="s">
        <v>52</v>
      </c>
      <c r="C1219">
        <v>9</v>
      </c>
      <c r="D1219">
        <v>11</v>
      </c>
      <c r="E1219">
        <v>8</v>
      </c>
      <c r="F1219" t="s">
        <v>14</v>
      </c>
      <c r="G1219">
        <v>17</v>
      </c>
      <c r="I1219">
        <v>3</v>
      </c>
      <c r="J1219" t="s">
        <v>17</v>
      </c>
      <c r="K1219" t="str">
        <f t="shared" ref="K1219:K1282" si="72">_xlfn.XLOOKUP(A1219,V:V,U:U,"",0)</f>
        <v/>
      </c>
      <c r="L1219" t="s">
        <v>16</v>
      </c>
      <c r="M1219">
        <v>9</v>
      </c>
      <c r="Y1219">
        <f t="shared" ref="Y1219:Y1282" si="73">LEN(O1219)</f>
        <v>0</v>
      </c>
      <c r="Z1219">
        <f t="shared" ref="Z1219:Z1282" si="74">LEN(P1219)</f>
        <v>0</v>
      </c>
    </row>
    <row r="1220" spans="1:26" x14ac:dyDescent="0.25">
      <c r="A1220" s="4">
        <v>3452</v>
      </c>
      <c r="B1220" t="s">
        <v>52</v>
      </c>
      <c r="C1220">
        <v>9</v>
      </c>
      <c r="D1220">
        <v>11</v>
      </c>
      <c r="E1220">
        <v>10</v>
      </c>
      <c r="F1220" t="s">
        <v>14</v>
      </c>
      <c r="G1220">
        <v>17</v>
      </c>
      <c r="I1220">
        <v>3</v>
      </c>
      <c r="J1220" t="s">
        <v>17</v>
      </c>
      <c r="K1220" t="str">
        <f t="shared" si="72"/>
        <v/>
      </c>
      <c r="L1220" t="s">
        <v>16</v>
      </c>
      <c r="M1220">
        <v>9</v>
      </c>
      <c r="Y1220">
        <f t="shared" si="73"/>
        <v>0</v>
      </c>
      <c r="Z1220">
        <f t="shared" si="74"/>
        <v>0</v>
      </c>
    </row>
    <row r="1221" spans="1:26" x14ac:dyDescent="0.25">
      <c r="A1221" s="4">
        <v>3426</v>
      </c>
      <c r="B1221" t="s">
        <v>52</v>
      </c>
      <c r="C1221">
        <v>9</v>
      </c>
      <c r="D1221">
        <v>11</v>
      </c>
      <c r="E1221">
        <v>2</v>
      </c>
      <c r="F1221" t="s">
        <v>14</v>
      </c>
      <c r="G1221">
        <v>14</v>
      </c>
      <c r="I1221">
        <v>4</v>
      </c>
      <c r="J1221" t="s">
        <v>17</v>
      </c>
      <c r="K1221" t="str">
        <f t="shared" si="72"/>
        <v/>
      </c>
      <c r="L1221" t="s">
        <v>16</v>
      </c>
      <c r="M1221">
        <v>8</v>
      </c>
      <c r="Y1221">
        <f t="shared" si="73"/>
        <v>0</v>
      </c>
      <c r="Z1221">
        <f t="shared" si="74"/>
        <v>0</v>
      </c>
    </row>
    <row r="1222" spans="1:26" x14ac:dyDescent="0.25">
      <c r="A1222" s="4">
        <v>3426</v>
      </c>
      <c r="B1222" t="s">
        <v>52</v>
      </c>
      <c r="C1222">
        <v>9</v>
      </c>
      <c r="D1222">
        <v>11</v>
      </c>
      <c r="E1222">
        <v>3</v>
      </c>
      <c r="F1222" t="s">
        <v>14</v>
      </c>
      <c r="G1222">
        <v>14</v>
      </c>
      <c r="I1222">
        <v>4</v>
      </c>
      <c r="J1222" t="s">
        <v>17</v>
      </c>
      <c r="K1222" t="str">
        <f t="shared" si="72"/>
        <v/>
      </c>
      <c r="L1222" t="s">
        <v>16</v>
      </c>
      <c r="M1222">
        <v>8</v>
      </c>
      <c r="Y1222">
        <f t="shared" si="73"/>
        <v>0</v>
      </c>
      <c r="Z1222">
        <f t="shared" si="74"/>
        <v>0</v>
      </c>
    </row>
    <row r="1223" spans="1:26" x14ac:dyDescent="0.25">
      <c r="A1223" s="4">
        <v>3426</v>
      </c>
      <c r="B1223" t="s">
        <v>52</v>
      </c>
      <c r="C1223">
        <v>9</v>
      </c>
      <c r="D1223">
        <v>11</v>
      </c>
      <c r="E1223">
        <v>4</v>
      </c>
      <c r="F1223" t="s">
        <v>14</v>
      </c>
      <c r="G1223">
        <v>14</v>
      </c>
      <c r="I1223">
        <v>4</v>
      </c>
      <c r="J1223" t="s">
        <v>17</v>
      </c>
      <c r="K1223" t="str">
        <f t="shared" si="72"/>
        <v/>
      </c>
      <c r="L1223" t="s">
        <v>16</v>
      </c>
      <c r="M1223">
        <v>8</v>
      </c>
      <c r="Y1223">
        <f t="shared" si="73"/>
        <v>0</v>
      </c>
      <c r="Z1223">
        <f t="shared" si="74"/>
        <v>0</v>
      </c>
    </row>
    <row r="1224" spans="1:26" x14ac:dyDescent="0.25">
      <c r="A1224" s="4">
        <v>3426</v>
      </c>
      <c r="B1224" t="s">
        <v>52</v>
      </c>
      <c r="C1224">
        <v>9</v>
      </c>
      <c r="D1224">
        <v>11</v>
      </c>
      <c r="E1224">
        <v>5</v>
      </c>
      <c r="F1224" t="s">
        <v>14</v>
      </c>
      <c r="G1224">
        <v>14</v>
      </c>
      <c r="I1224">
        <v>4</v>
      </c>
      <c r="J1224" t="s">
        <v>17</v>
      </c>
      <c r="K1224" t="str">
        <f t="shared" si="72"/>
        <v/>
      </c>
      <c r="L1224" t="s">
        <v>16</v>
      </c>
      <c r="M1224">
        <v>8</v>
      </c>
      <c r="Y1224">
        <f t="shared" si="73"/>
        <v>0</v>
      </c>
      <c r="Z1224">
        <f t="shared" si="74"/>
        <v>0</v>
      </c>
    </row>
    <row r="1225" spans="1:26" x14ac:dyDescent="0.25">
      <c r="A1225" s="4">
        <v>3436</v>
      </c>
      <c r="B1225" t="s">
        <v>28</v>
      </c>
      <c r="C1225">
        <v>5</v>
      </c>
      <c r="D1225">
        <v>11</v>
      </c>
      <c r="E1225">
        <v>2</v>
      </c>
      <c r="F1225" t="s">
        <v>14</v>
      </c>
      <c r="G1225">
        <v>13</v>
      </c>
      <c r="I1225">
        <v>4</v>
      </c>
      <c r="J1225" t="s">
        <v>17</v>
      </c>
      <c r="K1225" t="str">
        <f t="shared" si="72"/>
        <v/>
      </c>
      <c r="L1225" t="s">
        <v>16</v>
      </c>
      <c r="M1225">
        <v>8</v>
      </c>
      <c r="Y1225">
        <f t="shared" si="73"/>
        <v>0</v>
      </c>
      <c r="Z1225">
        <f t="shared" si="74"/>
        <v>0</v>
      </c>
    </row>
    <row r="1226" spans="1:26" x14ac:dyDescent="0.25">
      <c r="A1226" s="4">
        <v>3436</v>
      </c>
      <c r="B1226" t="s">
        <v>28</v>
      </c>
      <c r="C1226">
        <v>5</v>
      </c>
      <c r="D1226">
        <v>11</v>
      </c>
      <c r="E1226">
        <v>3</v>
      </c>
      <c r="F1226" t="s">
        <v>14</v>
      </c>
      <c r="G1226">
        <v>13</v>
      </c>
      <c r="I1226">
        <v>4</v>
      </c>
      <c r="J1226" t="s">
        <v>17</v>
      </c>
      <c r="K1226" t="str">
        <f t="shared" si="72"/>
        <v/>
      </c>
      <c r="L1226" t="s">
        <v>16</v>
      </c>
      <c r="M1226">
        <v>8</v>
      </c>
      <c r="Y1226">
        <f t="shared" si="73"/>
        <v>0</v>
      </c>
      <c r="Z1226">
        <f t="shared" si="74"/>
        <v>0</v>
      </c>
    </row>
    <row r="1227" spans="1:26" x14ac:dyDescent="0.25">
      <c r="A1227" s="4">
        <v>3436</v>
      </c>
      <c r="B1227" t="s">
        <v>28</v>
      </c>
      <c r="C1227">
        <v>5</v>
      </c>
      <c r="D1227">
        <v>11</v>
      </c>
      <c r="E1227">
        <v>4</v>
      </c>
      <c r="F1227" t="s">
        <v>14</v>
      </c>
      <c r="G1227">
        <v>13</v>
      </c>
      <c r="I1227">
        <v>4</v>
      </c>
      <c r="J1227" t="s">
        <v>17</v>
      </c>
      <c r="K1227" t="str">
        <f t="shared" si="72"/>
        <v/>
      </c>
      <c r="L1227" t="s">
        <v>16</v>
      </c>
      <c r="M1227">
        <v>8</v>
      </c>
      <c r="Y1227">
        <f t="shared" si="73"/>
        <v>0</v>
      </c>
      <c r="Z1227">
        <f t="shared" si="74"/>
        <v>0</v>
      </c>
    </row>
    <row r="1228" spans="1:26" x14ac:dyDescent="0.25">
      <c r="A1228" s="4">
        <v>3436</v>
      </c>
      <c r="B1228" t="s">
        <v>28</v>
      </c>
      <c r="C1228">
        <v>5</v>
      </c>
      <c r="D1228">
        <v>11</v>
      </c>
      <c r="E1228">
        <v>5</v>
      </c>
      <c r="F1228" t="s">
        <v>14</v>
      </c>
      <c r="G1228">
        <v>13</v>
      </c>
      <c r="I1228">
        <v>4</v>
      </c>
      <c r="J1228" t="s">
        <v>17</v>
      </c>
      <c r="K1228" t="str">
        <f t="shared" si="72"/>
        <v/>
      </c>
      <c r="L1228" t="s">
        <v>16</v>
      </c>
      <c r="M1228">
        <v>8</v>
      </c>
      <c r="Y1228">
        <f t="shared" si="73"/>
        <v>0</v>
      </c>
      <c r="Z1228">
        <f t="shared" si="74"/>
        <v>0</v>
      </c>
    </row>
    <row r="1229" spans="1:26" x14ac:dyDescent="0.25">
      <c r="A1229" s="4">
        <v>3437</v>
      </c>
      <c r="B1229" t="s">
        <v>28</v>
      </c>
      <c r="C1229">
        <v>5</v>
      </c>
      <c r="D1229">
        <v>11</v>
      </c>
      <c r="E1229">
        <v>6</v>
      </c>
      <c r="F1229" t="s">
        <v>14</v>
      </c>
      <c r="G1229">
        <v>14</v>
      </c>
      <c r="I1229">
        <v>3</v>
      </c>
      <c r="J1229" t="s">
        <v>17</v>
      </c>
      <c r="K1229" t="str">
        <f t="shared" si="72"/>
        <v/>
      </c>
      <c r="L1229" t="s">
        <v>16</v>
      </c>
      <c r="M1229">
        <v>12</v>
      </c>
      <c r="Y1229">
        <f t="shared" si="73"/>
        <v>0</v>
      </c>
      <c r="Z1229">
        <f t="shared" si="74"/>
        <v>0</v>
      </c>
    </row>
    <row r="1230" spans="1:26" x14ac:dyDescent="0.25">
      <c r="A1230" s="4">
        <v>3437</v>
      </c>
      <c r="B1230" t="s">
        <v>28</v>
      </c>
      <c r="C1230">
        <v>5</v>
      </c>
      <c r="D1230">
        <v>11</v>
      </c>
      <c r="E1230">
        <v>8</v>
      </c>
      <c r="F1230" t="s">
        <v>14</v>
      </c>
      <c r="G1230">
        <v>14</v>
      </c>
      <c r="I1230">
        <v>3</v>
      </c>
      <c r="J1230" t="s">
        <v>17</v>
      </c>
      <c r="K1230" t="str">
        <f t="shared" si="72"/>
        <v/>
      </c>
      <c r="L1230" t="s">
        <v>16</v>
      </c>
      <c r="M1230">
        <v>12</v>
      </c>
      <c r="Y1230">
        <f t="shared" si="73"/>
        <v>0</v>
      </c>
      <c r="Z1230">
        <f t="shared" si="74"/>
        <v>0</v>
      </c>
    </row>
    <row r="1231" spans="1:26" x14ac:dyDescent="0.25">
      <c r="A1231" s="4">
        <v>3437</v>
      </c>
      <c r="B1231" t="s">
        <v>28</v>
      </c>
      <c r="C1231">
        <v>5</v>
      </c>
      <c r="D1231">
        <v>11</v>
      </c>
      <c r="E1231">
        <v>10</v>
      </c>
      <c r="F1231" t="s">
        <v>14</v>
      </c>
      <c r="G1231">
        <v>14</v>
      </c>
      <c r="I1231">
        <v>3</v>
      </c>
      <c r="J1231" t="s">
        <v>17</v>
      </c>
      <c r="K1231" t="str">
        <f t="shared" si="72"/>
        <v/>
      </c>
      <c r="L1231" t="s">
        <v>16</v>
      </c>
      <c r="M1231">
        <v>12</v>
      </c>
      <c r="Y1231">
        <f t="shared" si="73"/>
        <v>0</v>
      </c>
      <c r="Z1231">
        <f t="shared" si="74"/>
        <v>0</v>
      </c>
    </row>
    <row r="1232" spans="1:26" x14ac:dyDescent="0.25">
      <c r="A1232" s="4">
        <v>3438</v>
      </c>
      <c r="B1232" t="s">
        <v>28</v>
      </c>
      <c r="C1232">
        <v>5</v>
      </c>
      <c r="D1232">
        <v>11</v>
      </c>
      <c r="E1232">
        <v>6</v>
      </c>
      <c r="F1232" t="s">
        <v>14</v>
      </c>
      <c r="G1232">
        <v>13</v>
      </c>
      <c r="I1232">
        <v>3</v>
      </c>
      <c r="J1232" t="s">
        <v>17</v>
      </c>
      <c r="K1232" t="str">
        <f t="shared" si="72"/>
        <v/>
      </c>
      <c r="L1232" t="s">
        <v>16</v>
      </c>
      <c r="M1232">
        <v>9</v>
      </c>
      <c r="Y1232">
        <f t="shared" si="73"/>
        <v>0</v>
      </c>
      <c r="Z1232">
        <f t="shared" si="74"/>
        <v>0</v>
      </c>
    </row>
    <row r="1233" spans="1:26" x14ac:dyDescent="0.25">
      <c r="A1233" s="4">
        <v>3438</v>
      </c>
      <c r="B1233" t="s">
        <v>28</v>
      </c>
      <c r="C1233">
        <v>5</v>
      </c>
      <c r="D1233">
        <v>11</v>
      </c>
      <c r="E1233">
        <v>8</v>
      </c>
      <c r="F1233" t="s">
        <v>14</v>
      </c>
      <c r="G1233">
        <v>13</v>
      </c>
      <c r="I1233">
        <v>3</v>
      </c>
      <c r="J1233" t="s">
        <v>17</v>
      </c>
      <c r="K1233" t="str">
        <f t="shared" si="72"/>
        <v/>
      </c>
      <c r="L1233" t="s">
        <v>16</v>
      </c>
      <c r="M1233">
        <v>9</v>
      </c>
      <c r="Y1233">
        <f t="shared" si="73"/>
        <v>0</v>
      </c>
      <c r="Z1233">
        <f t="shared" si="74"/>
        <v>0</v>
      </c>
    </row>
    <row r="1234" spans="1:26" x14ac:dyDescent="0.25">
      <c r="A1234" s="4">
        <v>3438</v>
      </c>
      <c r="B1234" t="s">
        <v>28</v>
      </c>
      <c r="C1234">
        <v>5</v>
      </c>
      <c r="D1234">
        <v>11</v>
      </c>
      <c r="E1234">
        <v>10</v>
      </c>
      <c r="F1234" t="s">
        <v>14</v>
      </c>
      <c r="G1234">
        <v>13</v>
      </c>
      <c r="I1234">
        <v>3</v>
      </c>
      <c r="J1234" t="s">
        <v>17</v>
      </c>
      <c r="K1234" t="str">
        <f t="shared" si="72"/>
        <v/>
      </c>
      <c r="L1234" t="s">
        <v>16</v>
      </c>
      <c r="M1234">
        <v>9</v>
      </c>
      <c r="Y1234">
        <f t="shared" si="73"/>
        <v>0</v>
      </c>
      <c r="Z1234">
        <f t="shared" si="74"/>
        <v>0</v>
      </c>
    </row>
    <row r="1235" spans="1:26" x14ac:dyDescent="0.25">
      <c r="A1235" s="4">
        <v>3432</v>
      </c>
      <c r="B1235" t="s">
        <v>28</v>
      </c>
      <c r="C1235">
        <v>5</v>
      </c>
      <c r="D1235">
        <v>11</v>
      </c>
      <c r="E1235">
        <v>2</v>
      </c>
      <c r="F1235" t="s">
        <v>14</v>
      </c>
      <c r="G1235">
        <v>13</v>
      </c>
      <c r="I1235">
        <v>4</v>
      </c>
      <c r="J1235" t="s">
        <v>17</v>
      </c>
      <c r="K1235" t="str">
        <f t="shared" si="72"/>
        <v/>
      </c>
      <c r="L1235" t="s">
        <v>16</v>
      </c>
      <c r="M1235">
        <v>16</v>
      </c>
      <c r="Y1235">
        <f t="shared" si="73"/>
        <v>0</v>
      </c>
      <c r="Z1235">
        <f t="shared" si="74"/>
        <v>0</v>
      </c>
    </row>
    <row r="1236" spans="1:26" x14ac:dyDescent="0.25">
      <c r="A1236" s="4">
        <v>3432</v>
      </c>
      <c r="B1236" t="s">
        <v>28</v>
      </c>
      <c r="C1236">
        <v>5</v>
      </c>
      <c r="D1236">
        <v>11</v>
      </c>
      <c r="E1236">
        <v>3</v>
      </c>
      <c r="F1236" t="s">
        <v>14</v>
      </c>
      <c r="G1236">
        <v>13</v>
      </c>
      <c r="I1236">
        <v>4</v>
      </c>
      <c r="J1236" t="s">
        <v>17</v>
      </c>
      <c r="K1236" t="str">
        <f t="shared" si="72"/>
        <v/>
      </c>
      <c r="L1236" t="s">
        <v>16</v>
      </c>
      <c r="M1236">
        <v>16</v>
      </c>
      <c r="Y1236">
        <f t="shared" si="73"/>
        <v>0</v>
      </c>
      <c r="Z1236">
        <f t="shared" si="74"/>
        <v>0</v>
      </c>
    </row>
    <row r="1237" spans="1:26" x14ac:dyDescent="0.25">
      <c r="A1237" s="4">
        <v>3432</v>
      </c>
      <c r="B1237" t="s">
        <v>28</v>
      </c>
      <c r="C1237">
        <v>5</v>
      </c>
      <c r="D1237">
        <v>11</v>
      </c>
      <c r="E1237">
        <v>4</v>
      </c>
      <c r="F1237" t="s">
        <v>14</v>
      </c>
      <c r="G1237">
        <v>13</v>
      </c>
      <c r="I1237">
        <v>4</v>
      </c>
      <c r="J1237" t="s">
        <v>17</v>
      </c>
      <c r="K1237" t="str">
        <f t="shared" si="72"/>
        <v/>
      </c>
      <c r="L1237" t="s">
        <v>16</v>
      </c>
      <c r="M1237">
        <v>16</v>
      </c>
      <c r="Y1237">
        <f t="shared" si="73"/>
        <v>0</v>
      </c>
      <c r="Z1237">
        <f t="shared" si="74"/>
        <v>0</v>
      </c>
    </row>
    <row r="1238" spans="1:26" x14ac:dyDescent="0.25">
      <c r="A1238" s="4">
        <v>3432</v>
      </c>
      <c r="B1238" t="s">
        <v>28</v>
      </c>
      <c r="C1238">
        <v>5</v>
      </c>
      <c r="D1238">
        <v>11</v>
      </c>
      <c r="E1238">
        <v>5</v>
      </c>
      <c r="F1238" t="s">
        <v>14</v>
      </c>
      <c r="G1238">
        <v>13</v>
      </c>
      <c r="I1238">
        <v>4</v>
      </c>
      <c r="J1238" t="s">
        <v>17</v>
      </c>
      <c r="K1238" t="str">
        <f t="shared" si="72"/>
        <v/>
      </c>
      <c r="L1238" t="s">
        <v>16</v>
      </c>
      <c r="M1238">
        <v>16</v>
      </c>
      <c r="Y1238">
        <f t="shared" si="73"/>
        <v>0</v>
      </c>
      <c r="Z1238">
        <f t="shared" si="74"/>
        <v>0</v>
      </c>
    </row>
    <row r="1239" spans="1:26" x14ac:dyDescent="0.25">
      <c r="A1239" s="4">
        <v>814</v>
      </c>
      <c r="B1239" t="s">
        <v>28</v>
      </c>
      <c r="C1239">
        <v>5</v>
      </c>
      <c r="D1239">
        <v>7</v>
      </c>
      <c r="E1239">
        <v>8</v>
      </c>
      <c r="F1239" t="s">
        <v>14</v>
      </c>
      <c r="G1239">
        <v>17</v>
      </c>
      <c r="I1239">
        <v>4</v>
      </c>
      <c r="J1239" t="s">
        <v>17</v>
      </c>
      <c r="K1239" t="str">
        <f t="shared" si="72"/>
        <v/>
      </c>
      <c r="L1239" t="s">
        <v>16</v>
      </c>
      <c r="M1239">
        <v>8</v>
      </c>
      <c r="Y1239">
        <f t="shared" si="73"/>
        <v>0</v>
      </c>
      <c r="Z1239">
        <f t="shared" si="74"/>
        <v>0</v>
      </c>
    </row>
    <row r="1240" spans="1:26" x14ac:dyDescent="0.25">
      <c r="A1240" s="4">
        <v>814</v>
      </c>
      <c r="B1240" t="s">
        <v>28</v>
      </c>
      <c r="C1240">
        <v>5</v>
      </c>
      <c r="D1240">
        <v>7</v>
      </c>
      <c r="E1240">
        <v>10</v>
      </c>
      <c r="F1240" t="s">
        <v>14</v>
      </c>
      <c r="G1240">
        <v>17</v>
      </c>
      <c r="I1240">
        <v>4</v>
      </c>
      <c r="J1240" t="s">
        <v>17</v>
      </c>
      <c r="K1240" t="str">
        <f t="shared" si="72"/>
        <v/>
      </c>
      <c r="L1240" t="s">
        <v>16</v>
      </c>
      <c r="M1240">
        <v>8</v>
      </c>
      <c r="Y1240">
        <f t="shared" si="73"/>
        <v>0</v>
      </c>
      <c r="Z1240">
        <f t="shared" si="74"/>
        <v>0</v>
      </c>
    </row>
    <row r="1241" spans="1:26" x14ac:dyDescent="0.25">
      <c r="A1241" s="4">
        <v>814</v>
      </c>
      <c r="B1241" t="s">
        <v>28</v>
      </c>
      <c r="C1241">
        <v>5</v>
      </c>
      <c r="D1241">
        <v>7</v>
      </c>
      <c r="E1241">
        <v>12</v>
      </c>
      <c r="F1241" t="s">
        <v>14</v>
      </c>
      <c r="G1241">
        <v>17</v>
      </c>
      <c r="I1241">
        <v>4</v>
      </c>
      <c r="J1241" t="s">
        <v>17</v>
      </c>
      <c r="K1241" t="str">
        <f t="shared" si="72"/>
        <v/>
      </c>
      <c r="L1241" t="s">
        <v>16</v>
      </c>
      <c r="M1241">
        <v>8</v>
      </c>
      <c r="Y1241">
        <f t="shared" si="73"/>
        <v>0</v>
      </c>
      <c r="Z1241">
        <f t="shared" si="74"/>
        <v>0</v>
      </c>
    </row>
    <row r="1242" spans="1:26" x14ac:dyDescent="0.25">
      <c r="A1242" s="4">
        <v>814</v>
      </c>
      <c r="B1242" t="s">
        <v>28</v>
      </c>
      <c r="C1242">
        <v>5</v>
      </c>
      <c r="D1242">
        <v>7</v>
      </c>
      <c r="E1242">
        <v>14</v>
      </c>
      <c r="F1242" t="s">
        <v>14</v>
      </c>
      <c r="G1242">
        <v>17</v>
      </c>
      <c r="I1242">
        <v>4</v>
      </c>
      <c r="J1242" t="s">
        <v>17</v>
      </c>
      <c r="K1242" t="str">
        <f t="shared" si="72"/>
        <v/>
      </c>
      <c r="L1242" t="s">
        <v>16</v>
      </c>
      <c r="M1242">
        <v>8</v>
      </c>
      <c r="Y1242">
        <f t="shared" si="73"/>
        <v>0</v>
      </c>
      <c r="Z1242">
        <f t="shared" si="74"/>
        <v>0</v>
      </c>
    </row>
    <row r="1243" spans="1:26" x14ac:dyDescent="0.25">
      <c r="A1243" s="4">
        <v>1101</v>
      </c>
      <c r="B1243" t="s">
        <v>28</v>
      </c>
      <c r="C1243">
        <v>1</v>
      </c>
      <c r="D1243">
        <v>7</v>
      </c>
      <c r="E1243">
        <v>2</v>
      </c>
      <c r="F1243" t="s">
        <v>14</v>
      </c>
      <c r="G1243">
        <v>12</v>
      </c>
      <c r="I1243">
        <v>4</v>
      </c>
      <c r="J1243" t="s">
        <v>17</v>
      </c>
      <c r="K1243" t="str">
        <f t="shared" si="72"/>
        <v/>
      </c>
      <c r="L1243" t="s">
        <v>16</v>
      </c>
      <c r="M1243">
        <v>8</v>
      </c>
      <c r="Y1243">
        <f t="shared" si="73"/>
        <v>0</v>
      </c>
      <c r="Z1243">
        <f t="shared" si="74"/>
        <v>0</v>
      </c>
    </row>
    <row r="1244" spans="1:26" x14ac:dyDescent="0.25">
      <c r="A1244" s="4">
        <v>1101</v>
      </c>
      <c r="B1244" t="s">
        <v>28</v>
      </c>
      <c r="C1244">
        <v>1</v>
      </c>
      <c r="D1244">
        <v>7</v>
      </c>
      <c r="E1244">
        <v>3</v>
      </c>
      <c r="F1244" t="s">
        <v>14</v>
      </c>
      <c r="G1244">
        <v>12</v>
      </c>
      <c r="I1244">
        <v>4</v>
      </c>
      <c r="J1244" t="s">
        <v>17</v>
      </c>
      <c r="K1244" t="str">
        <f t="shared" si="72"/>
        <v/>
      </c>
      <c r="L1244" t="s">
        <v>16</v>
      </c>
      <c r="M1244">
        <v>8</v>
      </c>
      <c r="Y1244">
        <f t="shared" si="73"/>
        <v>0</v>
      </c>
      <c r="Z1244">
        <f t="shared" si="74"/>
        <v>0</v>
      </c>
    </row>
    <row r="1245" spans="1:26" x14ac:dyDescent="0.25">
      <c r="A1245" s="4">
        <v>1101</v>
      </c>
      <c r="B1245" t="s">
        <v>28</v>
      </c>
      <c r="C1245">
        <v>1</v>
      </c>
      <c r="D1245">
        <v>7</v>
      </c>
      <c r="E1245">
        <v>4</v>
      </c>
      <c r="F1245" t="s">
        <v>14</v>
      </c>
      <c r="G1245">
        <v>12</v>
      </c>
      <c r="I1245">
        <v>4</v>
      </c>
      <c r="J1245" t="s">
        <v>17</v>
      </c>
      <c r="K1245" t="str">
        <f t="shared" si="72"/>
        <v/>
      </c>
      <c r="L1245" t="s">
        <v>16</v>
      </c>
      <c r="M1245">
        <v>8</v>
      </c>
      <c r="Y1245">
        <f t="shared" si="73"/>
        <v>0</v>
      </c>
      <c r="Z1245">
        <f t="shared" si="74"/>
        <v>0</v>
      </c>
    </row>
    <row r="1246" spans="1:26" x14ac:dyDescent="0.25">
      <c r="A1246" s="4">
        <v>1101</v>
      </c>
      <c r="B1246" t="s">
        <v>28</v>
      </c>
      <c r="C1246">
        <v>1</v>
      </c>
      <c r="D1246">
        <v>7</v>
      </c>
      <c r="E1246">
        <v>5</v>
      </c>
      <c r="F1246" t="s">
        <v>14</v>
      </c>
      <c r="G1246">
        <v>12</v>
      </c>
      <c r="I1246">
        <v>4</v>
      </c>
      <c r="J1246" t="s">
        <v>17</v>
      </c>
      <c r="K1246" t="str">
        <f t="shared" si="72"/>
        <v/>
      </c>
      <c r="L1246" t="s">
        <v>16</v>
      </c>
      <c r="M1246">
        <v>8</v>
      </c>
      <c r="Y1246">
        <f t="shared" si="73"/>
        <v>0</v>
      </c>
      <c r="Z1246">
        <f t="shared" si="74"/>
        <v>0</v>
      </c>
    </row>
    <row r="1247" spans="1:26" x14ac:dyDescent="0.25">
      <c r="A1247" s="4">
        <v>7128</v>
      </c>
      <c r="B1247" t="s">
        <v>51</v>
      </c>
      <c r="C1247">
        <v>3</v>
      </c>
      <c r="D1247">
        <v>7</v>
      </c>
      <c r="E1247">
        <v>2</v>
      </c>
      <c r="F1247" t="s">
        <v>14</v>
      </c>
      <c r="G1247">
        <v>8.25</v>
      </c>
      <c r="I1247">
        <v>4</v>
      </c>
      <c r="J1247" t="s">
        <v>17</v>
      </c>
      <c r="K1247" t="str">
        <f t="shared" si="72"/>
        <v/>
      </c>
      <c r="L1247" t="s">
        <v>16</v>
      </c>
      <c r="M1247">
        <v>12</v>
      </c>
      <c r="Y1247">
        <f t="shared" si="73"/>
        <v>0</v>
      </c>
      <c r="Z1247">
        <f t="shared" si="74"/>
        <v>0</v>
      </c>
    </row>
    <row r="1248" spans="1:26" x14ac:dyDescent="0.25">
      <c r="A1248" s="4">
        <v>7128</v>
      </c>
      <c r="B1248" t="s">
        <v>51</v>
      </c>
      <c r="C1248">
        <v>3</v>
      </c>
      <c r="D1248">
        <v>7</v>
      </c>
      <c r="E1248">
        <v>3</v>
      </c>
      <c r="F1248" t="s">
        <v>14</v>
      </c>
      <c r="G1248">
        <v>8.25</v>
      </c>
      <c r="I1248">
        <v>4</v>
      </c>
      <c r="J1248" t="s">
        <v>17</v>
      </c>
      <c r="K1248" t="str">
        <f t="shared" si="72"/>
        <v/>
      </c>
      <c r="L1248" t="s">
        <v>16</v>
      </c>
      <c r="M1248">
        <v>12</v>
      </c>
      <c r="Y1248">
        <f t="shared" si="73"/>
        <v>0</v>
      </c>
      <c r="Z1248">
        <f t="shared" si="74"/>
        <v>0</v>
      </c>
    </row>
    <row r="1249" spans="1:26" x14ac:dyDescent="0.25">
      <c r="A1249" s="4">
        <v>7128</v>
      </c>
      <c r="B1249" t="s">
        <v>51</v>
      </c>
      <c r="C1249">
        <v>3</v>
      </c>
      <c r="D1249">
        <v>7</v>
      </c>
      <c r="E1249">
        <v>4</v>
      </c>
      <c r="F1249" t="s">
        <v>14</v>
      </c>
      <c r="G1249">
        <v>8.25</v>
      </c>
      <c r="I1249">
        <v>4</v>
      </c>
      <c r="J1249" t="s">
        <v>17</v>
      </c>
      <c r="K1249" t="str">
        <f t="shared" si="72"/>
        <v/>
      </c>
      <c r="L1249" t="s">
        <v>16</v>
      </c>
      <c r="M1249">
        <v>12</v>
      </c>
      <c r="Y1249">
        <f t="shared" si="73"/>
        <v>0</v>
      </c>
      <c r="Z1249">
        <f t="shared" si="74"/>
        <v>0</v>
      </c>
    </row>
    <row r="1250" spans="1:26" x14ac:dyDescent="0.25">
      <c r="A1250" s="4">
        <v>7128</v>
      </c>
      <c r="B1250" t="s">
        <v>51</v>
      </c>
      <c r="C1250">
        <v>3</v>
      </c>
      <c r="D1250">
        <v>7</v>
      </c>
      <c r="E1250">
        <v>5</v>
      </c>
      <c r="F1250" t="s">
        <v>14</v>
      </c>
      <c r="G1250">
        <v>8.25</v>
      </c>
      <c r="I1250">
        <v>4</v>
      </c>
      <c r="J1250" t="s">
        <v>17</v>
      </c>
      <c r="K1250" t="str">
        <f t="shared" si="72"/>
        <v/>
      </c>
      <c r="L1250" t="s">
        <v>16</v>
      </c>
      <c r="M1250">
        <v>12</v>
      </c>
      <c r="Y1250">
        <f t="shared" si="73"/>
        <v>0</v>
      </c>
      <c r="Z1250">
        <f t="shared" si="74"/>
        <v>0</v>
      </c>
    </row>
    <row r="1251" spans="1:26" x14ac:dyDescent="0.25">
      <c r="A1251" s="4">
        <v>7122</v>
      </c>
      <c r="B1251" t="s">
        <v>51</v>
      </c>
      <c r="C1251">
        <v>7</v>
      </c>
      <c r="D1251">
        <v>7</v>
      </c>
      <c r="E1251">
        <v>2</v>
      </c>
      <c r="F1251" t="s">
        <v>14</v>
      </c>
      <c r="G1251">
        <v>7.5</v>
      </c>
      <c r="I1251">
        <v>4</v>
      </c>
      <c r="J1251" t="s">
        <v>17</v>
      </c>
      <c r="K1251" t="str">
        <f t="shared" si="72"/>
        <v/>
      </c>
      <c r="L1251" t="s">
        <v>16</v>
      </c>
      <c r="M1251">
        <v>12</v>
      </c>
      <c r="Y1251">
        <f t="shared" si="73"/>
        <v>0</v>
      </c>
      <c r="Z1251">
        <f t="shared" si="74"/>
        <v>0</v>
      </c>
    </row>
    <row r="1252" spans="1:26" x14ac:dyDescent="0.25">
      <c r="A1252" s="4">
        <v>7122</v>
      </c>
      <c r="B1252" t="s">
        <v>51</v>
      </c>
      <c r="C1252">
        <v>7</v>
      </c>
      <c r="D1252">
        <v>7</v>
      </c>
      <c r="E1252">
        <v>3</v>
      </c>
      <c r="F1252" t="s">
        <v>14</v>
      </c>
      <c r="G1252">
        <v>7.5</v>
      </c>
      <c r="I1252">
        <v>4</v>
      </c>
      <c r="J1252" t="s">
        <v>17</v>
      </c>
      <c r="K1252" t="str">
        <f t="shared" si="72"/>
        <v/>
      </c>
      <c r="L1252" t="s">
        <v>16</v>
      </c>
      <c r="M1252">
        <v>12</v>
      </c>
      <c r="Y1252">
        <f t="shared" si="73"/>
        <v>0</v>
      </c>
      <c r="Z1252">
        <f t="shared" si="74"/>
        <v>0</v>
      </c>
    </row>
    <row r="1253" spans="1:26" x14ac:dyDescent="0.25">
      <c r="A1253" s="4">
        <v>7122</v>
      </c>
      <c r="B1253" t="s">
        <v>51</v>
      </c>
      <c r="C1253">
        <v>7</v>
      </c>
      <c r="D1253">
        <v>7</v>
      </c>
      <c r="E1253">
        <v>4</v>
      </c>
      <c r="F1253" t="s">
        <v>14</v>
      </c>
      <c r="G1253">
        <v>7.5</v>
      </c>
      <c r="I1253">
        <v>4</v>
      </c>
      <c r="J1253" t="s">
        <v>17</v>
      </c>
      <c r="K1253" t="str">
        <f t="shared" si="72"/>
        <v/>
      </c>
      <c r="L1253" t="s">
        <v>16</v>
      </c>
      <c r="M1253">
        <v>12</v>
      </c>
      <c r="Y1253">
        <f t="shared" si="73"/>
        <v>0</v>
      </c>
      <c r="Z1253">
        <f t="shared" si="74"/>
        <v>0</v>
      </c>
    </row>
    <row r="1254" spans="1:26" x14ac:dyDescent="0.25">
      <c r="A1254" s="4">
        <v>7122</v>
      </c>
      <c r="B1254" t="s">
        <v>51</v>
      </c>
      <c r="C1254">
        <v>7</v>
      </c>
      <c r="D1254">
        <v>7</v>
      </c>
      <c r="E1254">
        <v>5</v>
      </c>
      <c r="F1254" t="s">
        <v>14</v>
      </c>
      <c r="G1254">
        <v>7.5</v>
      </c>
      <c r="I1254">
        <v>4</v>
      </c>
      <c r="J1254" t="s">
        <v>17</v>
      </c>
      <c r="K1254" t="str">
        <f t="shared" si="72"/>
        <v/>
      </c>
      <c r="L1254" t="s">
        <v>16</v>
      </c>
      <c r="M1254">
        <v>12</v>
      </c>
      <c r="Y1254">
        <f t="shared" si="73"/>
        <v>0</v>
      </c>
      <c r="Z1254">
        <f t="shared" si="74"/>
        <v>0</v>
      </c>
    </row>
    <row r="1255" spans="1:26" x14ac:dyDescent="0.25">
      <c r="A1255" s="4">
        <v>662</v>
      </c>
      <c r="B1255" t="s">
        <v>57</v>
      </c>
      <c r="C1255">
        <v>5</v>
      </c>
      <c r="D1255">
        <v>7</v>
      </c>
      <c r="E1255">
        <v>2</v>
      </c>
      <c r="F1255" t="s">
        <v>14</v>
      </c>
      <c r="G1255">
        <v>14.5</v>
      </c>
      <c r="I1255">
        <v>3</v>
      </c>
      <c r="J1255" t="s">
        <v>17</v>
      </c>
      <c r="K1255" t="str">
        <f t="shared" si="72"/>
        <v/>
      </c>
      <c r="L1255" t="s">
        <v>16</v>
      </c>
      <c r="M1255">
        <v>12</v>
      </c>
      <c r="Y1255">
        <f t="shared" si="73"/>
        <v>0</v>
      </c>
      <c r="Z1255">
        <f t="shared" si="74"/>
        <v>0</v>
      </c>
    </row>
    <row r="1256" spans="1:26" x14ac:dyDescent="0.25">
      <c r="A1256" s="4">
        <v>662</v>
      </c>
      <c r="B1256" t="s">
        <v>57</v>
      </c>
      <c r="C1256">
        <v>5</v>
      </c>
      <c r="D1256">
        <v>7</v>
      </c>
      <c r="E1256">
        <v>3</v>
      </c>
      <c r="F1256" t="s">
        <v>14</v>
      </c>
      <c r="G1256">
        <v>14.5</v>
      </c>
      <c r="I1256">
        <v>3</v>
      </c>
      <c r="J1256" t="s">
        <v>17</v>
      </c>
      <c r="K1256" t="str">
        <f t="shared" si="72"/>
        <v/>
      </c>
      <c r="L1256" t="s">
        <v>16</v>
      </c>
      <c r="M1256">
        <v>12</v>
      </c>
      <c r="Y1256">
        <f t="shared" si="73"/>
        <v>0</v>
      </c>
      <c r="Z1256">
        <f t="shared" si="74"/>
        <v>0</v>
      </c>
    </row>
    <row r="1257" spans="1:26" x14ac:dyDescent="0.25">
      <c r="A1257" s="4">
        <v>662</v>
      </c>
      <c r="B1257" t="s">
        <v>57</v>
      </c>
      <c r="C1257">
        <v>5</v>
      </c>
      <c r="D1257">
        <v>7</v>
      </c>
      <c r="E1257">
        <v>4</v>
      </c>
      <c r="F1257" t="s">
        <v>14</v>
      </c>
      <c r="G1257">
        <v>14.5</v>
      </c>
      <c r="I1257">
        <v>3</v>
      </c>
      <c r="J1257" t="s">
        <v>17</v>
      </c>
      <c r="K1257" t="str">
        <f t="shared" si="72"/>
        <v/>
      </c>
      <c r="L1257" t="s">
        <v>16</v>
      </c>
      <c r="M1257">
        <v>12</v>
      </c>
      <c r="Y1257">
        <f t="shared" si="73"/>
        <v>0</v>
      </c>
      <c r="Z1257">
        <f t="shared" si="74"/>
        <v>0</v>
      </c>
    </row>
    <row r="1258" spans="1:26" x14ac:dyDescent="0.25">
      <c r="A1258" s="4">
        <v>476</v>
      </c>
      <c r="B1258" t="s">
        <v>38</v>
      </c>
      <c r="C1258">
        <v>5</v>
      </c>
      <c r="D1258">
        <v>7</v>
      </c>
      <c r="E1258">
        <v>3</v>
      </c>
      <c r="F1258" t="s">
        <v>14</v>
      </c>
      <c r="G1258">
        <v>10</v>
      </c>
      <c r="I1258">
        <v>3</v>
      </c>
      <c r="J1258" t="s">
        <v>17</v>
      </c>
      <c r="K1258" t="str">
        <f t="shared" si="72"/>
        <v/>
      </c>
      <c r="L1258" t="s">
        <v>16</v>
      </c>
      <c r="M1258">
        <v>12</v>
      </c>
      <c r="Y1258">
        <f t="shared" si="73"/>
        <v>0</v>
      </c>
      <c r="Z1258">
        <f t="shared" si="74"/>
        <v>0</v>
      </c>
    </row>
    <row r="1259" spans="1:26" x14ac:dyDescent="0.25">
      <c r="A1259" s="4">
        <v>476</v>
      </c>
      <c r="B1259" t="s">
        <v>38</v>
      </c>
      <c r="C1259">
        <v>5</v>
      </c>
      <c r="D1259">
        <v>7</v>
      </c>
      <c r="E1259">
        <v>4</v>
      </c>
      <c r="F1259" t="s">
        <v>14</v>
      </c>
      <c r="G1259">
        <v>10</v>
      </c>
      <c r="I1259">
        <v>3</v>
      </c>
      <c r="J1259" t="s">
        <v>17</v>
      </c>
      <c r="K1259" t="str">
        <f t="shared" si="72"/>
        <v/>
      </c>
      <c r="L1259" t="s">
        <v>16</v>
      </c>
      <c r="M1259">
        <v>12</v>
      </c>
      <c r="Y1259">
        <f t="shared" si="73"/>
        <v>0</v>
      </c>
      <c r="Z1259">
        <f t="shared" si="74"/>
        <v>0</v>
      </c>
    </row>
    <row r="1260" spans="1:26" x14ac:dyDescent="0.25">
      <c r="A1260" s="4">
        <v>476</v>
      </c>
      <c r="B1260" t="s">
        <v>38</v>
      </c>
      <c r="C1260">
        <v>5</v>
      </c>
      <c r="D1260">
        <v>7</v>
      </c>
      <c r="E1260">
        <v>5</v>
      </c>
      <c r="F1260" t="s">
        <v>14</v>
      </c>
      <c r="G1260">
        <v>10</v>
      </c>
      <c r="I1260">
        <v>3</v>
      </c>
      <c r="J1260" t="s">
        <v>17</v>
      </c>
      <c r="K1260" t="str">
        <f t="shared" si="72"/>
        <v/>
      </c>
      <c r="L1260" t="s">
        <v>16</v>
      </c>
      <c r="M1260">
        <v>12</v>
      </c>
      <c r="Y1260">
        <f t="shared" si="73"/>
        <v>0</v>
      </c>
      <c r="Z1260">
        <f t="shared" si="74"/>
        <v>0</v>
      </c>
    </row>
    <row r="1261" spans="1:26" x14ac:dyDescent="0.25">
      <c r="A1261" s="4">
        <v>576</v>
      </c>
      <c r="B1261" t="s">
        <v>38</v>
      </c>
      <c r="C1261">
        <v>5</v>
      </c>
      <c r="D1261">
        <v>7</v>
      </c>
      <c r="E1261">
        <v>6</v>
      </c>
      <c r="F1261" t="s">
        <v>14</v>
      </c>
      <c r="G1261">
        <v>11</v>
      </c>
      <c r="I1261">
        <v>4</v>
      </c>
      <c r="J1261" t="s">
        <v>17</v>
      </c>
      <c r="K1261" t="str">
        <f t="shared" si="72"/>
        <v/>
      </c>
      <c r="L1261" t="s">
        <v>16</v>
      </c>
      <c r="M1261">
        <v>16</v>
      </c>
      <c r="Y1261">
        <f t="shared" si="73"/>
        <v>0</v>
      </c>
      <c r="Z1261">
        <f t="shared" si="74"/>
        <v>0</v>
      </c>
    </row>
    <row r="1262" spans="1:26" x14ac:dyDescent="0.25">
      <c r="A1262" s="4">
        <v>576</v>
      </c>
      <c r="B1262" t="s">
        <v>38</v>
      </c>
      <c r="C1262">
        <v>5</v>
      </c>
      <c r="D1262">
        <v>7</v>
      </c>
      <c r="E1262">
        <v>8</v>
      </c>
      <c r="F1262" t="s">
        <v>14</v>
      </c>
      <c r="G1262">
        <v>11</v>
      </c>
      <c r="I1262">
        <v>4</v>
      </c>
      <c r="J1262" t="s">
        <v>17</v>
      </c>
      <c r="K1262" t="str">
        <f t="shared" si="72"/>
        <v/>
      </c>
      <c r="L1262" t="s">
        <v>16</v>
      </c>
      <c r="M1262">
        <v>16</v>
      </c>
      <c r="Y1262">
        <f t="shared" si="73"/>
        <v>0</v>
      </c>
      <c r="Z1262">
        <f t="shared" si="74"/>
        <v>0</v>
      </c>
    </row>
    <row r="1263" spans="1:26" x14ac:dyDescent="0.25">
      <c r="A1263" s="4">
        <v>576</v>
      </c>
      <c r="B1263" t="s">
        <v>38</v>
      </c>
      <c r="C1263">
        <v>5</v>
      </c>
      <c r="D1263">
        <v>7</v>
      </c>
      <c r="E1263">
        <v>10</v>
      </c>
      <c r="F1263" t="s">
        <v>14</v>
      </c>
      <c r="G1263">
        <v>11</v>
      </c>
      <c r="I1263">
        <v>4</v>
      </c>
      <c r="J1263" t="s">
        <v>17</v>
      </c>
      <c r="K1263" t="str">
        <f t="shared" si="72"/>
        <v/>
      </c>
      <c r="L1263" t="s">
        <v>16</v>
      </c>
      <c r="M1263">
        <v>16</v>
      </c>
      <c r="Y1263">
        <f t="shared" si="73"/>
        <v>0</v>
      </c>
      <c r="Z1263">
        <f t="shared" si="74"/>
        <v>0</v>
      </c>
    </row>
    <row r="1264" spans="1:26" x14ac:dyDescent="0.25">
      <c r="A1264" s="4">
        <v>576</v>
      </c>
      <c r="B1264" t="s">
        <v>38</v>
      </c>
      <c r="C1264">
        <v>5</v>
      </c>
      <c r="D1264">
        <v>7</v>
      </c>
      <c r="E1264">
        <v>12</v>
      </c>
      <c r="F1264" t="s">
        <v>14</v>
      </c>
      <c r="G1264">
        <v>11</v>
      </c>
      <c r="I1264">
        <v>4</v>
      </c>
      <c r="J1264" t="s">
        <v>17</v>
      </c>
      <c r="K1264" t="str">
        <f t="shared" si="72"/>
        <v/>
      </c>
      <c r="L1264" t="s">
        <v>16</v>
      </c>
      <c r="M1264">
        <v>16</v>
      </c>
      <c r="Y1264">
        <f t="shared" si="73"/>
        <v>0</v>
      </c>
      <c r="Z1264">
        <f t="shared" si="74"/>
        <v>0</v>
      </c>
    </row>
    <row r="1265" spans="1:26" x14ac:dyDescent="0.25">
      <c r="A1265" s="4">
        <v>676</v>
      </c>
      <c r="B1265" t="s">
        <v>38</v>
      </c>
      <c r="C1265">
        <v>1</v>
      </c>
      <c r="D1265">
        <v>7</v>
      </c>
      <c r="E1265">
        <v>12</v>
      </c>
      <c r="F1265" t="s">
        <v>14</v>
      </c>
      <c r="G1265">
        <v>12</v>
      </c>
      <c r="I1265">
        <v>3</v>
      </c>
      <c r="J1265" t="s">
        <v>17</v>
      </c>
      <c r="K1265" t="str">
        <f t="shared" si="72"/>
        <v/>
      </c>
      <c r="L1265" t="s">
        <v>16</v>
      </c>
      <c r="M1265">
        <v>12</v>
      </c>
      <c r="Y1265">
        <f t="shared" si="73"/>
        <v>0</v>
      </c>
      <c r="Z1265">
        <f t="shared" si="74"/>
        <v>0</v>
      </c>
    </row>
    <row r="1266" spans="1:26" x14ac:dyDescent="0.25">
      <c r="A1266" s="4">
        <v>676</v>
      </c>
      <c r="B1266" t="s">
        <v>38</v>
      </c>
      <c r="C1266">
        <v>5</v>
      </c>
      <c r="D1266">
        <v>7</v>
      </c>
      <c r="E1266">
        <v>14</v>
      </c>
      <c r="F1266" t="s">
        <v>14</v>
      </c>
      <c r="G1266">
        <v>12</v>
      </c>
      <c r="I1266">
        <v>3</v>
      </c>
      <c r="J1266" t="s">
        <v>17</v>
      </c>
      <c r="K1266" t="str">
        <f t="shared" si="72"/>
        <v/>
      </c>
      <c r="L1266" t="s">
        <v>16</v>
      </c>
      <c r="M1266">
        <v>12</v>
      </c>
      <c r="Y1266">
        <f t="shared" si="73"/>
        <v>0</v>
      </c>
      <c r="Z1266">
        <f t="shared" si="74"/>
        <v>0</v>
      </c>
    </row>
    <row r="1267" spans="1:26" x14ac:dyDescent="0.25">
      <c r="A1267" s="4">
        <v>676</v>
      </c>
      <c r="B1267" t="s">
        <v>38</v>
      </c>
      <c r="C1267">
        <v>5</v>
      </c>
      <c r="D1267">
        <v>7</v>
      </c>
      <c r="E1267">
        <v>16</v>
      </c>
      <c r="F1267" t="s">
        <v>14</v>
      </c>
      <c r="G1267">
        <v>12</v>
      </c>
      <c r="I1267">
        <v>3</v>
      </c>
      <c r="J1267" t="s">
        <v>17</v>
      </c>
      <c r="K1267" t="str">
        <f t="shared" si="72"/>
        <v/>
      </c>
      <c r="L1267" t="s">
        <v>16</v>
      </c>
      <c r="M1267">
        <v>12</v>
      </c>
      <c r="Y1267">
        <f t="shared" si="73"/>
        <v>0</v>
      </c>
      <c r="Z1267">
        <f t="shared" si="74"/>
        <v>0</v>
      </c>
    </row>
    <row r="1268" spans="1:26" x14ac:dyDescent="0.25">
      <c r="A1268" s="4">
        <v>475</v>
      </c>
      <c r="B1268" t="s">
        <v>38</v>
      </c>
      <c r="C1268">
        <v>5</v>
      </c>
      <c r="D1268">
        <v>7</v>
      </c>
      <c r="E1268">
        <v>3</v>
      </c>
      <c r="F1268" t="s">
        <v>14</v>
      </c>
      <c r="G1268">
        <v>10</v>
      </c>
      <c r="I1268">
        <v>3</v>
      </c>
      <c r="J1268" t="s">
        <v>17</v>
      </c>
      <c r="K1268" t="str">
        <f t="shared" si="72"/>
        <v/>
      </c>
      <c r="L1268" t="s">
        <v>16</v>
      </c>
      <c r="M1268">
        <v>12</v>
      </c>
      <c r="Y1268">
        <f t="shared" si="73"/>
        <v>0</v>
      </c>
      <c r="Z1268">
        <f t="shared" si="74"/>
        <v>0</v>
      </c>
    </row>
    <row r="1269" spans="1:26" x14ac:dyDescent="0.25">
      <c r="A1269" s="4">
        <v>475</v>
      </c>
      <c r="B1269" t="s">
        <v>38</v>
      </c>
      <c r="C1269">
        <v>5</v>
      </c>
      <c r="D1269">
        <v>7</v>
      </c>
      <c r="E1269">
        <v>4</v>
      </c>
      <c r="F1269" t="s">
        <v>14</v>
      </c>
      <c r="G1269">
        <v>10</v>
      </c>
      <c r="I1269">
        <v>3</v>
      </c>
      <c r="J1269" t="s">
        <v>17</v>
      </c>
      <c r="K1269" t="str">
        <f t="shared" si="72"/>
        <v/>
      </c>
      <c r="L1269" t="s">
        <v>16</v>
      </c>
      <c r="M1269">
        <v>12</v>
      </c>
      <c r="Y1269">
        <f t="shared" si="73"/>
        <v>0</v>
      </c>
      <c r="Z1269">
        <f t="shared" si="74"/>
        <v>0</v>
      </c>
    </row>
    <row r="1270" spans="1:26" x14ac:dyDescent="0.25">
      <c r="A1270" s="4">
        <v>475</v>
      </c>
      <c r="B1270" t="s">
        <v>38</v>
      </c>
      <c r="C1270">
        <v>5</v>
      </c>
      <c r="D1270">
        <v>7</v>
      </c>
      <c r="E1270">
        <v>5</v>
      </c>
      <c r="F1270" t="s">
        <v>14</v>
      </c>
      <c r="G1270">
        <v>10</v>
      </c>
      <c r="I1270">
        <v>3</v>
      </c>
      <c r="J1270" t="s">
        <v>17</v>
      </c>
      <c r="K1270" t="str">
        <f t="shared" si="72"/>
        <v/>
      </c>
      <c r="L1270" t="s">
        <v>16</v>
      </c>
      <c r="M1270">
        <v>12</v>
      </c>
      <c r="Y1270">
        <f t="shared" si="73"/>
        <v>0</v>
      </c>
      <c r="Z1270">
        <f t="shared" si="74"/>
        <v>0</v>
      </c>
    </row>
    <row r="1271" spans="1:26" x14ac:dyDescent="0.25">
      <c r="A1271" s="4">
        <v>575</v>
      </c>
      <c r="B1271" t="s">
        <v>38</v>
      </c>
      <c r="C1271">
        <v>5</v>
      </c>
      <c r="D1271">
        <v>7</v>
      </c>
      <c r="E1271">
        <v>6</v>
      </c>
      <c r="F1271" t="s">
        <v>14</v>
      </c>
      <c r="G1271">
        <v>11</v>
      </c>
      <c r="I1271">
        <v>4</v>
      </c>
      <c r="J1271" t="s">
        <v>17</v>
      </c>
      <c r="K1271" t="str">
        <f t="shared" si="72"/>
        <v/>
      </c>
      <c r="L1271" t="s">
        <v>16</v>
      </c>
      <c r="M1271">
        <v>16</v>
      </c>
      <c r="Y1271">
        <f t="shared" si="73"/>
        <v>0</v>
      </c>
      <c r="Z1271">
        <f t="shared" si="74"/>
        <v>0</v>
      </c>
    </row>
    <row r="1272" spans="1:26" x14ac:dyDescent="0.25">
      <c r="A1272" s="4">
        <v>575</v>
      </c>
      <c r="B1272" t="s">
        <v>38</v>
      </c>
      <c r="C1272">
        <v>5</v>
      </c>
      <c r="D1272">
        <v>7</v>
      </c>
      <c r="E1272">
        <v>8</v>
      </c>
      <c r="F1272" t="s">
        <v>14</v>
      </c>
      <c r="G1272">
        <v>11</v>
      </c>
      <c r="I1272">
        <v>4</v>
      </c>
      <c r="J1272" t="s">
        <v>17</v>
      </c>
      <c r="K1272" t="str">
        <f t="shared" si="72"/>
        <v/>
      </c>
      <c r="L1272" t="s">
        <v>16</v>
      </c>
      <c r="M1272">
        <v>16</v>
      </c>
      <c r="Y1272">
        <f t="shared" si="73"/>
        <v>0</v>
      </c>
      <c r="Z1272">
        <f t="shared" si="74"/>
        <v>0</v>
      </c>
    </row>
    <row r="1273" spans="1:26" x14ac:dyDescent="0.25">
      <c r="A1273" s="4">
        <v>575</v>
      </c>
      <c r="B1273" t="s">
        <v>38</v>
      </c>
      <c r="C1273">
        <v>5</v>
      </c>
      <c r="D1273">
        <v>7</v>
      </c>
      <c r="E1273">
        <v>10</v>
      </c>
      <c r="F1273" t="s">
        <v>14</v>
      </c>
      <c r="G1273">
        <v>11</v>
      </c>
      <c r="I1273">
        <v>4</v>
      </c>
      <c r="J1273" t="s">
        <v>17</v>
      </c>
      <c r="K1273" t="str">
        <f t="shared" si="72"/>
        <v/>
      </c>
      <c r="L1273" t="s">
        <v>16</v>
      </c>
      <c r="M1273">
        <v>16</v>
      </c>
      <c r="Y1273">
        <f t="shared" si="73"/>
        <v>0</v>
      </c>
      <c r="Z1273">
        <f t="shared" si="74"/>
        <v>0</v>
      </c>
    </row>
    <row r="1274" spans="1:26" x14ac:dyDescent="0.25">
      <c r="A1274" s="4">
        <v>575</v>
      </c>
      <c r="B1274" t="s">
        <v>38</v>
      </c>
      <c r="C1274">
        <v>5</v>
      </c>
      <c r="D1274">
        <v>7</v>
      </c>
      <c r="E1274">
        <v>12</v>
      </c>
      <c r="F1274" t="s">
        <v>14</v>
      </c>
      <c r="G1274">
        <v>11</v>
      </c>
      <c r="I1274">
        <v>4</v>
      </c>
      <c r="J1274" t="s">
        <v>17</v>
      </c>
      <c r="K1274" t="str">
        <f t="shared" si="72"/>
        <v/>
      </c>
      <c r="L1274" t="s">
        <v>16</v>
      </c>
      <c r="M1274">
        <v>16</v>
      </c>
      <c r="Y1274">
        <f t="shared" si="73"/>
        <v>0</v>
      </c>
      <c r="Z1274">
        <f t="shared" si="74"/>
        <v>0</v>
      </c>
    </row>
    <row r="1275" spans="1:26" x14ac:dyDescent="0.25">
      <c r="A1275" s="4">
        <v>481</v>
      </c>
      <c r="B1275" t="s">
        <v>38</v>
      </c>
      <c r="C1275">
        <v>5</v>
      </c>
      <c r="D1275">
        <v>7</v>
      </c>
      <c r="E1275">
        <v>3</v>
      </c>
      <c r="F1275" t="s">
        <v>14</v>
      </c>
      <c r="G1275">
        <v>10</v>
      </c>
      <c r="I1275">
        <v>3</v>
      </c>
      <c r="J1275" t="s">
        <v>17</v>
      </c>
      <c r="K1275" t="str">
        <f t="shared" si="72"/>
        <v/>
      </c>
      <c r="L1275" t="s">
        <v>16</v>
      </c>
      <c r="M1275">
        <v>12</v>
      </c>
      <c r="Y1275">
        <f t="shared" si="73"/>
        <v>0</v>
      </c>
      <c r="Z1275">
        <f t="shared" si="74"/>
        <v>0</v>
      </c>
    </row>
    <row r="1276" spans="1:26" x14ac:dyDescent="0.25">
      <c r="A1276" s="4">
        <v>481</v>
      </c>
      <c r="B1276" t="s">
        <v>38</v>
      </c>
      <c r="C1276">
        <v>5</v>
      </c>
      <c r="D1276">
        <v>7</v>
      </c>
      <c r="E1276">
        <v>4</v>
      </c>
      <c r="F1276" t="s">
        <v>14</v>
      </c>
      <c r="G1276">
        <v>10</v>
      </c>
      <c r="I1276">
        <v>3</v>
      </c>
      <c r="J1276" t="s">
        <v>17</v>
      </c>
      <c r="K1276" t="str">
        <f t="shared" si="72"/>
        <v/>
      </c>
      <c r="L1276" t="s">
        <v>16</v>
      </c>
      <c r="M1276">
        <v>12</v>
      </c>
      <c r="Y1276">
        <f t="shared" si="73"/>
        <v>0</v>
      </c>
      <c r="Z1276">
        <f t="shared" si="74"/>
        <v>0</v>
      </c>
    </row>
    <row r="1277" spans="1:26" x14ac:dyDescent="0.25">
      <c r="A1277" s="4">
        <v>481</v>
      </c>
      <c r="B1277" t="s">
        <v>38</v>
      </c>
      <c r="C1277">
        <v>5</v>
      </c>
      <c r="D1277">
        <v>7</v>
      </c>
      <c r="E1277">
        <v>5</v>
      </c>
      <c r="F1277" t="s">
        <v>14</v>
      </c>
      <c r="G1277">
        <v>10</v>
      </c>
      <c r="I1277">
        <v>3</v>
      </c>
      <c r="J1277" t="s">
        <v>17</v>
      </c>
      <c r="K1277" t="str">
        <f t="shared" si="72"/>
        <v/>
      </c>
      <c r="L1277" t="s">
        <v>16</v>
      </c>
      <c r="M1277">
        <v>12</v>
      </c>
      <c r="Y1277">
        <f t="shared" si="73"/>
        <v>0</v>
      </c>
      <c r="Z1277">
        <f t="shared" si="74"/>
        <v>0</v>
      </c>
    </row>
    <row r="1278" spans="1:26" x14ac:dyDescent="0.25">
      <c r="A1278" s="4">
        <v>581</v>
      </c>
      <c r="B1278" t="s">
        <v>38</v>
      </c>
      <c r="C1278">
        <v>5</v>
      </c>
      <c r="D1278">
        <v>7</v>
      </c>
      <c r="E1278">
        <v>6</v>
      </c>
      <c r="F1278" t="s">
        <v>14</v>
      </c>
      <c r="G1278">
        <v>11</v>
      </c>
      <c r="I1278">
        <v>4</v>
      </c>
      <c r="J1278" t="s">
        <v>17</v>
      </c>
      <c r="K1278" t="str">
        <f t="shared" si="72"/>
        <v/>
      </c>
      <c r="L1278" t="s">
        <v>16</v>
      </c>
      <c r="M1278">
        <v>16</v>
      </c>
      <c r="Y1278">
        <f t="shared" si="73"/>
        <v>0</v>
      </c>
      <c r="Z1278">
        <f t="shared" si="74"/>
        <v>0</v>
      </c>
    </row>
    <row r="1279" spans="1:26" x14ac:dyDescent="0.25">
      <c r="A1279" s="4">
        <v>581</v>
      </c>
      <c r="B1279" t="s">
        <v>38</v>
      </c>
      <c r="C1279">
        <v>5</v>
      </c>
      <c r="D1279">
        <v>7</v>
      </c>
      <c r="E1279">
        <v>8</v>
      </c>
      <c r="F1279" t="s">
        <v>14</v>
      </c>
      <c r="G1279">
        <v>11</v>
      </c>
      <c r="I1279">
        <v>4</v>
      </c>
      <c r="J1279" t="s">
        <v>17</v>
      </c>
      <c r="K1279" t="str">
        <f t="shared" si="72"/>
        <v/>
      </c>
      <c r="L1279" t="s">
        <v>16</v>
      </c>
      <c r="M1279">
        <v>16</v>
      </c>
      <c r="Y1279">
        <f t="shared" si="73"/>
        <v>0</v>
      </c>
      <c r="Z1279">
        <f t="shared" si="74"/>
        <v>0</v>
      </c>
    </row>
    <row r="1280" spans="1:26" x14ac:dyDescent="0.25">
      <c r="A1280" s="4">
        <v>581</v>
      </c>
      <c r="B1280" t="s">
        <v>38</v>
      </c>
      <c r="C1280">
        <v>5</v>
      </c>
      <c r="D1280">
        <v>7</v>
      </c>
      <c r="E1280">
        <v>10</v>
      </c>
      <c r="F1280" t="s">
        <v>14</v>
      </c>
      <c r="G1280">
        <v>11</v>
      </c>
      <c r="I1280">
        <v>4</v>
      </c>
      <c r="J1280" t="s">
        <v>17</v>
      </c>
      <c r="K1280" t="str">
        <f t="shared" si="72"/>
        <v/>
      </c>
      <c r="L1280" t="s">
        <v>16</v>
      </c>
      <c r="M1280">
        <v>16</v>
      </c>
      <c r="Y1280">
        <f t="shared" si="73"/>
        <v>0</v>
      </c>
      <c r="Z1280">
        <f t="shared" si="74"/>
        <v>0</v>
      </c>
    </row>
    <row r="1281" spans="1:26" x14ac:dyDescent="0.25">
      <c r="A1281" s="4">
        <v>581</v>
      </c>
      <c r="B1281" t="s">
        <v>38</v>
      </c>
      <c r="C1281">
        <v>5</v>
      </c>
      <c r="D1281">
        <v>7</v>
      </c>
      <c r="E1281">
        <v>12</v>
      </c>
      <c r="F1281" t="s">
        <v>14</v>
      </c>
      <c r="G1281">
        <v>11</v>
      </c>
      <c r="I1281">
        <v>4</v>
      </c>
      <c r="J1281" t="s">
        <v>17</v>
      </c>
      <c r="K1281" t="str">
        <f t="shared" si="72"/>
        <v/>
      </c>
      <c r="L1281" t="s">
        <v>16</v>
      </c>
      <c r="M1281">
        <v>16</v>
      </c>
      <c r="Y1281">
        <f t="shared" si="73"/>
        <v>0</v>
      </c>
      <c r="Z1281">
        <f t="shared" si="74"/>
        <v>0</v>
      </c>
    </row>
    <row r="1282" spans="1:26" x14ac:dyDescent="0.25">
      <c r="A1282" s="4">
        <v>9040</v>
      </c>
      <c r="B1282" t="s">
        <v>28</v>
      </c>
      <c r="C1282">
        <v>1</v>
      </c>
      <c r="D1282">
        <v>7</v>
      </c>
      <c r="E1282">
        <v>12</v>
      </c>
      <c r="F1282" t="s">
        <v>14</v>
      </c>
      <c r="G1282">
        <v>17</v>
      </c>
      <c r="I1282">
        <v>3</v>
      </c>
      <c r="J1282" t="s">
        <v>17</v>
      </c>
      <c r="K1282" t="str">
        <f t="shared" si="72"/>
        <v/>
      </c>
      <c r="L1282" t="s">
        <v>16</v>
      </c>
      <c r="M1282">
        <v>12</v>
      </c>
      <c r="Y1282">
        <f t="shared" si="73"/>
        <v>0</v>
      </c>
      <c r="Z1282">
        <f t="shared" si="74"/>
        <v>0</v>
      </c>
    </row>
    <row r="1283" spans="1:26" x14ac:dyDescent="0.25">
      <c r="A1283" s="4">
        <v>9040</v>
      </c>
      <c r="B1283" t="s">
        <v>28</v>
      </c>
      <c r="C1283">
        <v>1</v>
      </c>
      <c r="D1283">
        <v>7</v>
      </c>
      <c r="E1283">
        <v>14</v>
      </c>
      <c r="F1283" t="s">
        <v>14</v>
      </c>
      <c r="G1283">
        <v>17</v>
      </c>
      <c r="I1283">
        <v>3</v>
      </c>
      <c r="J1283" t="s">
        <v>17</v>
      </c>
      <c r="K1283" t="str">
        <f t="shared" ref="K1283:K1293" si="75">_xlfn.XLOOKUP(A1283,V:V,U:U,"",0)</f>
        <v/>
      </c>
      <c r="L1283" t="s">
        <v>16</v>
      </c>
      <c r="M1283">
        <v>12</v>
      </c>
      <c r="Y1283">
        <f t="shared" ref="Y1283:Y1293" si="76">LEN(O1283)</f>
        <v>0</v>
      </c>
      <c r="Z1283">
        <f t="shared" ref="Z1283:Z1293" si="77">LEN(P1283)</f>
        <v>0</v>
      </c>
    </row>
    <row r="1284" spans="1:26" x14ac:dyDescent="0.25">
      <c r="A1284" s="4">
        <v>9040</v>
      </c>
      <c r="B1284" t="s">
        <v>28</v>
      </c>
      <c r="C1284">
        <v>1</v>
      </c>
      <c r="D1284">
        <v>7</v>
      </c>
      <c r="E1284">
        <v>16</v>
      </c>
      <c r="F1284" t="s">
        <v>14</v>
      </c>
      <c r="G1284">
        <v>17</v>
      </c>
      <c r="I1284">
        <v>3</v>
      </c>
      <c r="J1284" t="s">
        <v>17</v>
      </c>
      <c r="K1284" t="str">
        <f t="shared" si="75"/>
        <v/>
      </c>
      <c r="L1284" t="s">
        <v>16</v>
      </c>
      <c r="M1284">
        <v>12</v>
      </c>
      <c r="Y1284">
        <f t="shared" si="76"/>
        <v>0</v>
      </c>
      <c r="Z1284">
        <f t="shared" si="77"/>
        <v>0</v>
      </c>
    </row>
    <row r="1285" spans="1:26" x14ac:dyDescent="0.25">
      <c r="A1285" s="4" t="s">
        <v>134</v>
      </c>
      <c r="B1285" t="s">
        <v>58</v>
      </c>
      <c r="C1285">
        <v>9</v>
      </c>
      <c r="D1285">
        <v>7</v>
      </c>
      <c r="E1285">
        <v>3</v>
      </c>
      <c r="F1285" t="s">
        <v>14</v>
      </c>
      <c r="G1285">
        <v>16</v>
      </c>
      <c r="I1285">
        <v>3</v>
      </c>
      <c r="J1285" t="s">
        <v>17</v>
      </c>
      <c r="K1285" t="str">
        <f t="shared" si="75"/>
        <v>43818128255205700000</v>
      </c>
      <c r="L1285" t="s">
        <v>16</v>
      </c>
      <c r="M1285">
        <v>9</v>
      </c>
      <c r="Y1285">
        <f t="shared" si="76"/>
        <v>0</v>
      </c>
      <c r="Z1285">
        <f t="shared" si="77"/>
        <v>0</v>
      </c>
    </row>
    <row r="1286" spans="1:26" x14ac:dyDescent="0.25">
      <c r="A1286" s="4" t="s">
        <v>134</v>
      </c>
      <c r="B1286" t="s">
        <v>58</v>
      </c>
      <c r="C1286">
        <v>9</v>
      </c>
      <c r="D1286">
        <v>7</v>
      </c>
      <c r="E1286">
        <v>4</v>
      </c>
      <c r="F1286" t="s">
        <v>14</v>
      </c>
      <c r="G1286">
        <v>16</v>
      </c>
      <c r="I1286">
        <v>3</v>
      </c>
      <c r="J1286" t="s">
        <v>17</v>
      </c>
      <c r="K1286" t="str">
        <f t="shared" si="75"/>
        <v>43818128255205700000</v>
      </c>
      <c r="L1286" t="s">
        <v>16</v>
      </c>
      <c r="M1286">
        <v>9</v>
      </c>
      <c r="Y1286">
        <f t="shared" si="76"/>
        <v>0</v>
      </c>
      <c r="Z1286">
        <f t="shared" si="77"/>
        <v>0</v>
      </c>
    </row>
    <row r="1287" spans="1:26" x14ac:dyDescent="0.25">
      <c r="A1287" s="4" t="s">
        <v>134</v>
      </c>
      <c r="B1287" t="s">
        <v>58</v>
      </c>
      <c r="C1287">
        <v>9</v>
      </c>
      <c r="D1287">
        <v>7</v>
      </c>
      <c r="E1287">
        <v>5</v>
      </c>
      <c r="F1287" t="s">
        <v>14</v>
      </c>
      <c r="G1287">
        <v>16</v>
      </c>
      <c r="I1287">
        <v>3</v>
      </c>
      <c r="J1287" t="s">
        <v>17</v>
      </c>
      <c r="K1287" t="str">
        <f t="shared" si="75"/>
        <v>43818128255205700000</v>
      </c>
      <c r="L1287" t="s">
        <v>16</v>
      </c>
      <c r="M1287">
        <v>9</v>
      </c>
      <c r="Y1287">
        <f t="shared" si="76"/>
        <v>0</v>
      </c>
      <c r="Z1287">
        <f t="shared" si="77"/>
        <v>0</v>
      </c>
    </row>
    <row r="1288" spans="1:26" x14ac:dyDescent="0.25">
      <c r="A1288" s="4">
        <v>1201</v>
      </c>
      <c r="B1288" t="s">
        <v>28</v>
      </c>
      <c r="C1288">
        <v>5</v>
      </c>
      <c r="D1288">
        <v>7</v>
      </c>
      <c r="E1288">
        <v>6</v>
      </c>
      <c r="F1288" t="s">
        <v>14</v>
      </c>
      <c r="G1288">
        <v>13</v>
      </c>
      <c r="I1288">
        <v>3</v>
      </c>
      <c r="J1288" t="s">
        <v>17</v>
      </c>
      <c r="K1288" t="str">
        <f t="shared" si="75"/>
        <v/>
      </c>
      <c r="L1288" t="s">
        <v>16</v>
      </c>
      <c r="M1288">
        <v>12</v>
      </c>
      <c r="Y1288">
        <f t="shared" si="76"/>
        <v>0</v>
      </c>
      <c r="Z1288">
        <f t="shared" si="77"/>
        <v>0</v>
      </c>
    </row>
    <row r="1289" spans="1:26" x14ac:dyDescent="0.25">
      <c r="A1289" s="4">
        <v>1201</v>
      </c>
      <c r="B1289" t="s">
        <v>28</v>
      </c>
      <c r="C1289">
        <v>5</v>
      </c>
      <c r="D1289">
        <v>7</v>
      </c>
      <c r="E1289">
        <v>8</v>
      </c>
      <c r="F1289" t="s">
        <v>14</v>
      </c>
      <c r="G1289">
        <v>13</v>
      </c>
      <c r="I1289">
        <v>3</v>
      </c>
      <c r="J1289" t="s">
        <v>17</v>
      </c>
      <c r="K1289" t="str">
        <f t="shared" si="75"/>
        <v/>
      </c>
      <c r="L1289" t="s">
        <v>16</v>
      </c>
      <c r="M1289">
        <v>12</v>
      </c>
      <c r="Y1289">
        <f t="shared" si="76"/>
        <v>0</v>
      </c>
      <c r="Z1289">
        <f t="shared" si="77"/>
        <v>0</v>
      </c>
    </row>
    <row r="1290" spans="1:26" x14ac:dyDescent="0.25">
      <c r="A1290" s="4">
        <v>1201</v>
      </c>
      <c r="B1290" t="s">
        <v>28</v>
      </c>
      <c r="C1290">
        <v>5</v>
      </c>
      <c r="D1290">
        <v>7</v>
      </c>
      <c r="E1290">
        <v>10</v>
      </c>
      <c r="F1290" t="s">
        <v>14</v>
      </c>
      <c r="G1290">
        <v>13</v>
      </c>
      <c r="I1290">
        <v>3</v>
      </c>
      <c r="J1290" t="s">
        <v>17</v>
      </c>
      <c r="K1290" t="str">
        <f t="shared" si="75"/>
        <v/>
      </c>
      <c r="L1290" t="s">
        <v>16</v>
      </c>
      <c r="M1290">
        <v>12</v>
      </c>
      <c r="Y1290">
        <f t="shared" si="76"/>
        <v>0</v>
      </c>
      <c r="Z1290">
        <f t="shared" si="77"/>
        <v>0</v>
      </c>
    </row>
    <row r="1291" spans="1:26" x14ac:dyDescent="0.25">
      <c r="A1291" s="4">
        <v>504</v>
      </c>
      <c r="B1291" t="s">
        <v>28</v>
      </c>
      <c r="C1291">
        <v>1</v>
      </c>
      <c r="D1291">
        <v>7</v>
      </c>
      <c r="E1291">
        <v>12</v>
      </c>
      <c r="F1291" t="s">
        <v>14</v>
      </c>
      <c r="G1291">
        <v>15.5</v>
      </c>
      <c r="I1291">
        <v>3</v>
      </c>
      <c r="J1291" t="s">
        <v>17</v>
      </c>
      <c r="K1291" t="str">
        <f t="shared" si="75"/>
        <v/>
      </c>
      <c r="L1291" t="s">
        <v>16</v>
      </c>
      <c r="M1291">
        <v>12</v>
      </c>
      <c r="Y1291">
        <f t="shared" si="76"/>
        <v>0</v>
      </c>
      <c r="Z1291">
        <f t="shared" si="77"/>
        <v>0</v>
      </c>
    </row>
    <row r="1292" spans="1:26" x14ac:dyDescent="0.25">
      <c r="A1292" s="4">
        <v>504</v>
      </c>
      <c r="B1292" t="s">
        <v>28</v>
      </c>
      <c r="C1292">
        <v>1</v>
      </c>
      <c r="D1292">
        <v>7</v>
      </c>
      <c r="E1292">
        <v>14</v>
      </c>
      <c r="F1292" t="s">
        <v>14</v>
      </c>
      <c r="G1292">
        <v>15.5</v>
      </c>
      <c r="I1292">
        <v>3</v>
      </c>
      <c r="J1292" t="s">
        <v>17</v>
      </c>
      <c r="K1292" t="str">
        <f t="shared" si="75"/>
        <v/>
      </c>
      <c r="L1292" t="s">
        <v>16</v>
      </c>
      <c r="M1292">
        <v>12</v>
      </c>
      <c r="Y1292">
        <f t="shared" si="76"/>
        <v>0</v>
      </c>
      <c r="Z1292">
        <f t="shared" si="77"/>
        <v>0</v>
      </c>
    </row>
    <row r="1293" spans="1:26" x14ac:dyDescent="0.25">
      <c r="A1293" s="4">
        <v>504</v>
      </c>
      <c r="B1293" t="s">
        <v>28</v>
      </c>
      <c r="C1293">
        <v>1</v>
      </c>
      <c r="D1293">
        <v>7</v>
      </c>
      <c r="E1293">
        <v>16</v>
      </c>
      <c r="F1293" t="s">
        <v>14</v>
      </c>
      <c r="G1293">
        <v>15.5</v>
      </c>
      <c r="I1293">
        <v>3</v>
      </c>
      <c r="J1293" t="s">
        <v>17</v>
      </c>
      <c r="K1293" t="str">
        <f t="shared" si="75"/>
        <v/>
      </c>
      <c r="L1293" t="s">
        <v>16</v>
      </c>
      <c r="M1293">
        <v>12</v>
      </c>
      <c r="Y1293">
        <f t="shared" si="76"/>
        <v>0</v>
      </c>
      <c r="Z1293">
        <f t="shared" si="7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DF8A-DEB4-4FBC-ADE6-E1CA8EAB1F3D}">
  <dimension ref="A1:M1293"/>
  <sheetViews>
    <sheetView workbookViewId="0">
      <selection activeCell="K2" sqref="K2"/>
    </sheetView>
  </sheetViews>
  <sheetFormatPr defaultRowHeight="15" x14ac:dyDescent="0.25"/>
  <cols>
    <col min="1" max="1" width="24" style="16" bestFit="1" customWidth="1"/>
    <col min="2" max="2" width="18.85546875" style="12" bestFit="1" customWidth="1"/>
    <col min="3" max="3" width="9.140625" style="12"/>
    <col min="6" max="10" width="9.140625" style="12"/>
    <col min="12" max="16384" width="9.140625" style="12"/>
  </cols>
  <sheetData>
    <row r="1" spans="1:13" x14ac:dyDescent="0.25">
      <c r="A1" s="14"/>
      <c r="B1" s="13"/>
    </row>
    <row r="2" spans="1:13" x14ac:dyDescent="0.25">
      <c r="A2" s="16">
        <v>8.9260250100479705E+19</v>
      </c>
      <c r="B2" s="12">
        <v>1</v>
      </c>
      <c r="C2" s="12" t="str">
        <f>IF(LEN(B2)=1,"0"&amp;B2,B2)</f>
        <v>01</v>
      </c>
      <c r="K2" s="17" t="s">
        <v>380</v>
      </c>
      <c r="L2" s="12" t="str" cm="1">
        <f t="array" ref="L2:L94">_xlfn._xlws.SORT(_xlfn.UNIQUE(K2:K1293),1,-1)</f>
        <v>3600</v>
      </c>
      <c r="M2" s="12" cm="1">
        <f t="array" ref="M2:M243">_xlfn._xlws.SORT(_xlfn.UNIQUE(B2:B1076))</f>
        <v>1</v>
      </c>
    </row>
    <row r="3" spans="1:13" x14ac:dyDescent="0.25">
      <c r="A3" s="16">
        <v>5.7046981907727499E+19</v>
      </c>
      <c r="B3" s="12">
        <v>1</v>
      </c>
      <c r="K3" s="15" t="s">
        <v>380</v>
      </c>
      <c r="L3" s="12" t="str">
        <v>11</v>
      </c>
      <c r="M3" s="12">
        <v>2</v>
      </c>
    </row>
    <row r="4" spans="1:13" x14ac:dyDescent="0.25">
      <c r="A4" s="16">
        <v>3.1423687273878499E+19</v>
      </c>
      <c r="B4" s="12">
        <v>1</v>
      </c>
      <c r="K4" s="15" t="s">
        <v>380</v>
      </c>
      <c r="L4" s="12" t="str">
        <v>08</v>
      </c>
      <c r="M4" s="12">
        <v>3</v>
      </c>
    </row>
    <row r="5" spans="1:13" x14ac:dyDescent="0.25">
      <c r="A5" s="16">
        <v>9.3933883254243492E+19</v>
      </c>
      <c r="B5" s="12">
        <v>2</v>
      </c>
      <c r="K5" s="15" t="s">
        <v>380</v>
      </c>
      <c r="L5" s="12">
        <v>26314</v>
      </c>
      <c r="M5" s="12">
        <v>4</v>
      </c>
    </row>
    <row r="6" spans="1:13" x14ac:dyDescent="0.25">
      <c r="A6" s="16">
        <v>1.19782963472007E+19</v>
      </c>
      <c r="B6" s="12">
        <v>2</v>
      </c>
      <c r="K6" s="15" t="s">
        <v>380</v>
      </c>
      <c r="L6" s="12">
        <v>26312</v>
      </c>
      <c r="M6" s="12">
        <v>7</v>
      </c>
    </row>
    <row r="7" spans="1:13" x14ac:dyDescent="0.25">
      <c r="A7" s="16">
        <v>4.89446993560803E+19</v>
      </c>
      <c r="B7" s="12">
        <v>2</v>
      </c>
      <c r="K7" s="15" t="s">
        <v>380</v>
      </c>
      <c r="L7" s="12">
        <v>26164</v>
      </c>
      <c r="M7" s="12">
        <v>8</v>
      </c>
    </row>
    <row r="8" spans="1:13" x14ac:dyDescent="0.25">
      <c r="A8" s="16">
        <v>6.2229779881268003E+19</v>
      </c>
      <c r="B8" s="12">
        <v>3</v>
      </c>
      <c r="K8" s="15" t="s">
        <v>380</v>
      </c>
      <c r="L8" s="12">
        <v>26114</v>
      </c>
      <c r="M8" s="12">
        <v>11</v>
      </c>
    </row>
    <row r="9" spans="1:13" x14ac:dyDescent="0.25">
      <c r="A9" s="16">
        <v>7.9352127930728104E+19</v>
      </c>
      <c r="B9" s="12">
        <v>3</v>
      </c>
      <c r="K9" s="15" t="s">
        <v>380</v>
      </c>
      <c r="L9" s="12">
        <v>26009</v>
      </c>
      <c r="M9" s="12">
        <v>12</v>
      </c>
    </row>
    <row r="10" spans="1:13" x14ac:dyDescent="0.25">
      <c r="A10" s="16">
        <v>9.5280224078825308E+19</v>
      </c>
      <c r="B10" s="12">
        <v>3</v>
      </c>
      <c r="K10" s="15" t="s">
        <v>380</v>
      </c>
      <c r="L10" s="12">
        <v>26007</v>
      </c>
      <c r="M10" s="12">
        <v>13</v>
      </c>
    </row>
    <row r="11" spans="1:13" x14ac:dyDescent="0.25">
      <c r="A11" s="16">
        <v>6.0373975092269498E+19</v>
      </c>
      <c r="B11" s="12">
        <v>3</v>
      </c>
      <c r="K11" s="15" t="s">
        <v>380</v>
      </c>
      <c r="L11" s="12">
        <v>9040</v>
      </c>
      <c r="M11" s="12">
        <v>14</v>
      </c>
    </row>
    <row r="12" spans="1:13" x14ac:dyDescent="0.25">
      <c r="A12" s="16">
        <v>1.22617113581835E+19</v>
      </c>
      <c r="B12" s="12">
        <v>3</v>
      </c>
      <c r="K12" s="15" t="s">
        <v>380</v>
      </c>
      <c r="L12" s="12">
        <v>7128</v>
      </c>
      <c r="M12" s="12">
        <v>15</v>
      </c>
    </row>
    <row r="13" spans="1:13" x14ac:dyDescent="0.25">
      <c r="A13" s="16">
        <v>2.4201929609298899E+19</v>
      </c>
      <c r="B13" s="12">
        <v>4</v>
      </c>
      <c r="K13" s="15" t="s">
        <v>380</v>
      </c>
      <c r="L13" s="12">
        <v>7122</v>
      </c>
      <c r="M13" s="12">
        <v>16</v>
      </c>
    </row>
    <row r="14" spans="1:13" x14ac:dyDescent="0.25">
      <c r="A14" s="16">
        <v>4.4930121967320998E+19</v>
      </c>
      <c r="B14" s="12">
        <v>4</v>
      </c>
      <c r="K14" s="15" t="s">
        <v>380</v>
      </c>
      <c r="L14" s="12">
        <v>5094</v>
      </c>
      <c r="M14" s="12">
        <v>19</v>
      </c>
    </row>
    <row r="15" spans="1:13" x14ac:dyDescent="0.25">
      <c r="A15" s="16">
        <v>4.4585554114191303E+19</v>
      </c>
      <c r="B15" s="12">
        <v>4</v>
      </c>
      <c r="K15" s="15" t="s">
        <v>380</v>
      </c>
      <c r="L15" s="12">
        <v>5091</v>
      </c>
      <c r="M15" s="12">
        <v>20</v>
      </c>
    </row>
    <row r="16" spans="1:13" x14ac:dyDescent="0.25">
      <c r="A16" s="16">
        <v>2.9772230332742402E+19</v>
      </c>
      <c r="B16" s="12">
        <v>4</v>
      </c>
      <c r="K16" s="15" t="s">
        <v>380</v>
      </c>
      <c r="L16" s="12">
        <v>5089</v>
      </c>
      <c r="M16" s="12">
        <v>21</v>
      </c>
    </row>
    <row r="17" spans="1:13" x14ac:dyDescent="0.25">
      <c r="A17" s="16">
        <v>7.3306830645488501E+19</v>
      </c>
      <c r="B17" s="12">
        <v>4</v>
      </c>
      <c r="K17" s="15" t="s">
        <v>380</v>
      </c>
      <c r="L17" s="12">
        <v>5085</v>
      </c>
      <c r="M17" s="12">
        <v>22</v>
      </c>
    </row>
    <row r="18" spans="1:13" x14ac:dyDescent="0.25">
      <c r="A18" s="16">
        <v>1.3088258113827799E+19</v>
      </c>
      <c r="B18" s="12">
        <v>7</v>
      </c>
      <c r="K18" s="15" t="s">
        <v>380</v>
      </c>
      <c r="L18" s="12">
        <v>5075</v>
      </c>
      <c r="M18" s="12">
        <v>27</v>
      </c>
    </row>
    <row r="19" spans="1:13" x14ac:dyDescent="0.25">
      <c r="A19" s="16">
        <v>1.81623662532225E+19</v>
      </c>
      <c r="B19" s="12">
        <v>7</v>
      </c>
      <c r="K19" s="15" t="s">
        <v>380</v>
      </c>
      <c r="L19" s="12">
        <v>5070</v>
      </c>
      <c r="M19" s="12">
        <v>28</v>
      </c>
    </row>
    <row r="20" spans="1:13" x14ac:dyDescent="0.25">
      <c r="A20" s="16">
        <v>9.1024854670237501E+18</v>
      </c>
      <c r="B20" s="12">
        <v>7</v>
      </c>
      <c r="K20" s="15" t="s">
        <v>380</v>
      </c>
      <c r="L20" s="12">
        <v>5069</v>
      </c>
      <c r="M20" s="12">
        <v>38</v>
      </c>
    </row>
    <row r="21" spans="1:13" x14ac:dyDescent="0.25">
      <c r="A21" s="16">
        <v>1.0687653875332901E+19</v>
      </c>
      <c r="B21" s="12">
        <v>7</v>
      </c>
      <c r="K21" s="15" t="s">
        <v>380</v>
      </c>
      <c r="L21" s="12">
        <v>5058</v>
      </c>
      <c r="M21" s="12">
        <v>39</v>
      </c>
    </row>
    <row r="22" spans="1:13" x14ac:dyDescent="0.25">
      <c r="A22" s="16">
        <v>8.4626909670815007E+19</v>
      </c>
      <c r="B22" s="12">
        <v>8</v>
      </c>
      <c r="K22" s="15" t="s">
        <v>380</v>
      </c>
      <c r="L22" s="12">
        <v>5057</v>
      </c>
      <c r="M22" s="12">
        <v>52</v>
      </c>
    </row>
    <row r="23" spans="1:13" x14ac:dyDescent="0.25">
      <c r="A23" s="16">
        <v>2.1638950731720602E+19</v>
      </c>
      <c r="B23" s="12">
        <v>8</v>
      </c>
      <c r="K23" s="15" t="s">
        <v>380</v>
      </c>
      <c r="L23" s="12">
        <v>5054</v>
      </c>
      <c r="M23" s="12">
        <v>57</v>
      </c>
    </row>
    <row r="24" spans="1:13" x14ac:dyDescent="0.25">
      <c r="A24" s="16">
        <v>9.0356468367645901E+19</v>
      </c>
      <c r="B24" s="12">
        <v>8</v>
      </c>
      <c r="K24" s="15" t="s">
        <v>380</v>
      </c>
      <c r="L24" s="12">
        <v>5052</v>
      </c>
      <c r="M24" s="12">
        <v>62</v>
      </c>
    </row>
    <row r="25" spans="1:13" x14ac:dyDescent="0.25">
      <c r="A25" s="16">
        <v>8.4251422972366799E+19</v>
      </c>
      <c r="B25" s="12">
        <v>8</v>
      </c>
      <c r="K25" s="15" t="s">
        <v>380</v>
      </c>
      <c r="L25" s="12">
        <v>5050</v>
      </c>
      <c r="M25" s="12">
        <v>103</v>
      </c>
    </row>
    <row r="26" spans="1:13" x14ac:dyDescent="0.25">
      <c r="A26" s="16">
        <v>4.3818128255205704E+19</v>
      </c>
      <c r="B26" s="12">
        <v>11</v>
      </c>
      <c r="K26" s="15">
        <v>3601</v>
      </c>
      <c r="L26" s="12">
        <v>5044</v>
      </c>
      <c r="M26" s="12">
        <v>104</v>
      </c>
    </row>
    <row r="27" spans="1:13" x14ac:dyDescent="0.25">
      <c r="A27" s="16">
        <v>2.3574942941113901E+19</v>
      </c>
      <c r="B27" s="12">
        <v>11</v>
      </c>
      <c r="K27" s="15">
        <v>3601</v>
      </c>
      <c r="L27" s="12">
        <v>5043</v>
      </c>
      <c r="M27" s="12">
        <v>105</v>
      </c>
    </row>
    <row r="28" spans="1:13" x14ac:dyDescent="0.25">
      <c r="A28" s="16">
        <v>8.3154552248991898E+18</v>
      </c>
      <c r="B28" s="12">
        <v>11</v>
      </c>
      <c r="K28" s="15">
        <v>3601</v>
      </c>
      <c r="L28" s="12">
        <v>5041</v>
      </c>
      <c r="M28" s="12">
        <v>106</v>
      </c>
    </row>
    <row r="29" spans="1:13" x14ac:dyDescent="0.25">
      <c r="A29" s="16">
        <v>5.7344651117959504E+19</v>
      </c>
      <c r="B29" s="12">
        <v>12</v>
      </c>
      <c r="K29" s="15">
        <v>3601</v>
      </c>
      <c r="L29" s="12">
        <v>5022</v>
      </c>
      <c r="M29" s="12">
        <v>107</v>
      </c>
    </row>
    <row r="30" spans="1:13" x14ac:dyDescent="0.25">
      <c r="A30" s="16">
        <v>7.6832153112680104E+19</v>
      </c>
      <c r="B30" s="12">
        <v>12</v>
      </c>
      <c r="K30" s="15">
        <v>3601</v>
      </c>
      <c r="L30" s="12">
        <v>4015</v>
      </c>
      <c r="M30" s="12">
        <v>124</v>
      </c>
    </row>
    <row r="31" spans="1:13" x14ac:dyDescent="0.25">
      <c r="A31" s="16">
        <v>1.6186846746633699E+19</v>
      </c>
      <c r="B31" s="12">
        <v>12</v>
      </c>
      <c r="K31" s="15">
        <v>3601</v>
      </c>
      <c r="L31" s="12">
        <v>4013</v>
      </c>
      <c r="M31" s="12">
        <v>125</v>
      </c>
    </row>
    <row r="32" spans="1:13" x14ac:dyDescent="0.25">
      <c r="A32" s="16">
        <v>3.47575092886463E+19</v>
      </c>
      <c r="B32" s="12">
        <v>13</v>
      </c>
      <c r="K32" s="15">
        <v>3601</v>
      </c>
      <c r="L32" s="12">
        <v>4012</v>
      </c>
      <c r="M32" s="12">
        <v>126</v>
      </c>
    </row>
    <row r="33" spans="1:13" x14ac:dyDescent="0.25">
      <c r="A33" s="16">
        <v>2.6780371229570699E+19</v>
      </c>
      <c r="B33" s="12">
        <v>13</v>
      </c>
      <c r="K33" s="15">
        <v>3601</v>
      </c>
      <c r="L33" s="12">
        <v>4008</v>
      </c>
      <c r="M33" s="12">
        <v>127</v>
      </c>
    </row>
    <row r="34" spans="1:13" x14ac:dyDescent="0.25">
      <c r="A34" s="16">
        <v>3.8004526528216801E+19</v>
      </c>
      <c r="B34" s="12">
        <v>13</v>
      </c>
      <c r="K34" s="15">
        <v>3601</v>
      </c>
      <c r="L34" s="12">
        <v>4007</v>
      </c>
      <c r="M34" s="12">
        <v>129</v>
      </c>
    </row>
    <row r="35" spans="1:13" x14ac:dyDescent="0.25">
      <c r="A35" s="16">
        <v>2.0038263137149301E+19</v>
      </c>
      <c r="B35" s="12">
        <v>14</v>
      </c>
      <c r="K35" s="15">
        <v>3601</v>
      </c>
      <c r="L35" s="12">
        <v>4006</v>
      </c>
      <c r="M35" s="12">
        <v>130</v>
      </c>
    </row>
    <row r="36" spans="1:13" x14ac:dyDescent="0.25">
      <c r="A36" s="16">
        <v>9.5426123880996798E+19</v>
      </c>
      <c r="B36" s="12">
        <v>14</v>
      </c>
      <c r="K36" s="15">
        <v>3601</v>
      </c>
      <c r="L36" s="12">
        <v>4005</v>
      </c>
      <c r="M36" s="12">
        <v>131</v>
      </c>
    </row>
    <row r="37" spans="1:13" x14ac:dyDescent="0.25">
      <c r="A37" s="16">
        <v>5.9354543362361303E+19</v>
      </c>
      <c r="B37" s="12">
        <v>14</v>
      </c>
      <c r="K37" s="15">
        <v>3601</v>
      </c>
      <c r="L37" s="12">
        <v>4002</v>
      </c>
      <c r="M37" s="12">
        <v>132</v>
      </c>
    </row>
    <row r="38" spans="1:13" x14ac:dyDescent="0.25">
      <c r="A38" s="16">
        <v>1.59896669185058E+19</v>
      </c>
      <c r="B38" s="12">
        <v>15</v>
      </c>
      <c r="K38" s="15">
        <v>3601</v>
      </c>
      <c r="L38" s="12">
        <v>4001</v>
      </c>
      <c r="M38" s="12">
        <v>140</v>
      </c>
    </row>
    <row r="39" spans="1:13" x14ac:dyDescent="0.25">
      <c r="A39" s="16">
        <v>8.5381187188266795E+19</v>
      </c>
      <c r="B39" s="12">
        <v>15</v>
      </c>
      <c r="K39" s="15">
        <v>3601</v>
      </c>
      <c r="L39" s="12">
        <v>3601</v>
      </c>
      <c r="M39" s="12">
        <v>142</v>
      </c>
    </row>
    <row r="40" spans="1:13" x14ac:dyDescent="0.25">
      <c r="A40" s="16">
        <v>5.0049678045030998E+19</v>
      </c>
      <c r="B40" s="12">
        <v>15</v>
      </c>
      <c r="K40" s="15">
        <v>3601</v>
      </c>
      <c r="L40" s="12">
        <v>3452</v>
      </c>
      <c r="M40" s="12">
        <v>148</v>
      </c>
    </row>
    <row r="41" spans="1:13" x14ac:dyDescent="0.25">
      <c r="A41" s="16">
        <v>1.1189353165600299E+19</v>
      </c>
      <c r="B41" s="12">
        <v>16</v>
      </c>
      <c r="K41" s="15">
        <v>3601</v>
      </c>
      <c r="L41" s="12">
        <v>3451</v>
      </c>
      <c r="M41" s="12">
        <v>149</v>
      </c>
    </row>
    <row r="42" spans="1:13" x14ac:dyDescent="0.25">
      <c r="A42" s="16">
        <v>1.21166985079902E+19</v>
      </c>
      <c r="B42" s="12">
        <v>16</v>
      </c>
      <c r="K42" s="15">
        <v>3601</v>
      </c>
      <c r="L42" s="12">
        <v>3438</v>
      </c>
      <c r="M42" s="12">
        <v>151</v>
      </c>
    </row>
    <row r="43" spans="1:13" x14ac:dyDescent="0.25">
      <c r="A43" s="16">
        <v>6.4652254032191201E+19</v>
      </c>
      <c r="B43" s="12">
        <v>16</v>
      </c>
      <c r="K43" s="15">
        <v>3601</v>
      </c>
      <c r="L43" s="12">
        <v>3437</v>
      </c>
      <c r="M43" s="12">
        <v>165</v>
      </c>
    </row>
    <row r="44" spans="1:13" x14ac:dyDescent="0.25">
      <c r="A44" s="16">
        <v>8.7806772071512506E+19</v>
      </c>
      <c r="B44" s="12">
        <v>19</v>
      </c>
      <c r="K44" s="15">
        <v>3601</v>
      </c>
      <c r="L44" s="12">
        <v>3436</v>
      </c>
      <c r="M44" s="12">
        <v>166</v>
      </c>
    </row>
    <row r="45" spans="1:13" x14ac:dyDescent="0.25">
      <c r="A45" s="16">
        <v>9.0373960324498899E+19</v>
      </c>
      <c r="B45" s="12">
        <v>19</v>
      </c>
      <c r="K45" s="15">
        <v>3601</v>
      </c>
      <c r="L45" s="12">
        <v>3432</v>
      </c>
      <c r="M45" s="12">
        <v>167</v>
      </c>
    </row>
    <row r="46" spans="1:13" x14ac:dyDescent="0.25">
      <c r="A46" s="16">
        <v>6.93013560275934E+19</v>
      </c>
      <c r="B46" s="12">
        <v>19</v>
      </c>
      <c r="K46" s="15">
        <v>3601</v>
      </c>
      <c r="L46" s="12">
        <v>3426</v>
      </c>
      <c r="M46" s="12">
        <v>170</v>
      </c>
    </row>
    <row r="47" spans="1:13" x14ac:dyDescent="0.25">
      <c r="A47" s="16">
        <v>2.15559137030934E+19</v>
      </c>
      <c r="B47" s="12">
        <v>20</v>
      </c>
      <c r="K47" s="15">
        <v>3601</v>
      </c>
      <c r="L47" s="12">
        <v>2329</v>
      </c>
      <c r="M47" s="12">
        <v>175</v>
      </c>
    </row>
    <row r="48" spans="1:13" x14ac:dyDescent="0.25">
      <c r="A48" s="16">
        <v>3.0566404886001902E+19</v>
      </c>
      <c r="B48" s="12">
        <v>20</v>
      </c>
      <c r="K48" s="15">
        <v>3601</v>
      </c>
      <c r="L48" s="12">
        <v>1201</v>
      </c>
      <c r="M48" s="12">
        <v>239</v>
      </c>
    </row>
    <row r="49" spans="1:13" x14ac:dyDescent="0.25">
      <c r="A49" s="16">
        <v>5.8362105167365504E+17</v>
      </c>
      <c r="B49" s="12">
        <v>20</v>
      </c>
      <c r="K49" s="15">
        <v>3601</v>
      </c>
      <c r="L49" s="12">
        <v>1134</v>
      </c>
      <c r="M49" s="12">
        <v>240</v>
      </c>
    </row>
    <row r="50" spans="1:13" x14ac:dyDescent="0.25">
      <c r="A50" s="16">
        <v>9.5904320879085797E+19</v>
      </c>
      <c r="B50" s="12">
        <v>20</v>
      </c>
      <c r="K50" s="15">
        <v>1022</v>
      </c>
      <c r="L50" s="12">
        <v>1130</v>
      </c>
      <c r="M50" s="12">
        <v>243</v>
      </c>
    </row>
    <row r="51" spans="1:13" x14ac:dyDescent="0.25">
      <c r="A51" s="16">
        <v>5.0346552059713298E+19</v>
      </c>
      <c r="B51" s="12">
        <v>21</v>
      </c>
      <c r="K51" s="15">
        <v>1022</v>
      </c>
      <c r="L51" s="12">
        <v>1123</v>
      </c>
      <c r="M51" s="12">
        <v>245</v>
      </c>
    </row>
    <row r="52" spans="1:13" x14ac:dyDescent="0.25">
      <c r="A52" s="16">
        <v>6.33255722929925E+19</v>
      </c>
      <c r="B52" s="12">
        <v>21</v>
      </c>
      <c r="K52" s="15">
        <v>1022</v>
      </c>
      <c r="L52" s="12">
        <v>1101</v>
      </c>
      <c r="M52" s="12">
        <v>247</v>
      </c>
    </row>
    <row r="53" spans="1:13" x14ac:dyDescent="0.25">
      <c r="A53" s="16">
        <v>3.1863357898274202E+19</v>
      </c>
      <c r="B53" s="12">
        <v>21</v>
      </c>
      <c r="K53" s="15">
        <v>1022</v>
      </c>
      <c r="L53" s="12">
        <v>1076</v>
      </c>
      <c r="M53" s="12">
        <v>249</v>
      </c>
    </row>
    <row r="54" spans="1:13" x14ac:dyDescent="0.25">
      <c r="A54" s="16">
        <v>3.2215726624780201E+18</v>
      </c>
      <c r="B54" s="12">
        <v>22</v>
      </c>
      <c r="K54" s="15">
        <v>1022</v>
      </c>
      <c r="L54" s="12">
        <v>1070</v>
      </c>
      <c r="M54" s="12">
        <v>250</v>
      </c>
    </row>
    <row r="55" spans="1:13" x14ac:dyDescent="0.25">
      <c r="A55" s="16">
        <v>1.8684493130346598E+19</v>
      </c>
      <c r="B55" s="12">
        <v>22</v>
      </c>
      <c r="K55" s="15">
        <v>1022</v>
      </c>
      <c r="L55" s="12">
        <v>1065</v>
      </c>
      <c r="M55" s="12">
        <v>260</v>
      </c>
    </row>
    <row r="56" spans="1:13" x14ac:dyDescent="0.25">
      <c r="A56" s="16">
        <v>6.4432356722331902E+19</v>
      </c>
      <c r="B56" s="12">
        <v>22</v>
      </c>
      <c r="K56" s="15">
        <v>1022</v>
      </c>
      <c r="L56" s="12">
        <v>1063</v>
      </c>
      <c r="M56" s="12">
        <v>261</v>
      </c>
    </row>
    <row r="57" spans="1:13" x14ac:dyDescent="0.25">
      <c r="A57" s="16">
        <v>6.5006223401001402E+19</v>
      </c>
      <c r="B57" s="12">
        <v>27</v>
      </c>
      <c r="K57" s="15">
        <v>1022</v>
      </c>
      <c r="L57" s="12">
        <v>1062</v>
      </c>
      <c r="M57" s="12">
        <v>303</v>
      </c>
    </row>
    <row r="58" spans="1:13" x14ac:dyDescent="0.25">
      <c r="A58" s="16">
        <v>1.6445378665168501E+19</v>
      </c>
      <c r="B58" s="12">
        <v>27</v>
      </c>
      <c r="K58" s="15">
        <v>1022</v>
      </c>
      <c r="L58" s="12">
        <v>1061</v>
      </c>
      <c r="M58" s="12">
        <v>307</v>
      </c>
    </row>
    <row r="59" spans="1:13" x14ac:dyDescent="0.25">
      <c r="A59" s="16">
        <v>7.4417430201369805E+19</v>
      </c>
      <c r="B59" s="12">
        <v>27</v>
      </c>
      <c r="K59" s="15">
        <v>1022</v>
      </c>
      <c r="L59" s="12">
        <v>1059</v>
      </c>
      <c r="M59" s="12">
        <v>308</v>
      </c>
    </row>
    <row r="60" spans="1:13" x14ac:dyDescent="0.25">
      <c r="A60" s="16">
        <v>6.4617398833043497E+19</v>
      </c>
      <c r="B60" s="12">
        <v>27</v>
      </c>
      <c r="K60" s="15">
        <v>1022</v>
      </c>
      <c r="L60" s="12">
        <v>1058</v>
      </c>
      <c r="M60" s="12">
        <v>310</v>
      </c>
    </row>
    <row r="61" spans="1:13" x14ac:dyDescent="0.25">
      <c r="A61" s="16">
        <v>1.86515942918446E+19</v>
      </c>
      <c r="B61" s="12">
        <v>28</v>
      </c>
      <c r="K61" s="15">
        <v>1022</v>
      </c>
      <c r="L61" s="12">
        <v>1050</v>
      </c>
      <c r="M61" s="12">
        <v>311</v>
      </c>
    </row>
    <row r="62" spans="1:13" x14ac:dyDescent="0.25">
      <c r="A62" s="16">
        <v>7.35652675342423E+19</v>
      </c>
      <c r="B62" s="12">
        <v>28</v>
      </c>
      <c r="K62" s="15">
        <v>1022</v>
      </c>
      <c r="L62" s="12">
        <v>1049</v>
      </c>
      <c r="M62" s="12">
        <v>312</v>
      </c>
    </row>
    <row r="63" spans="1:13" x14ac:dyDescent="0.25">
      <c r="A63" s="16">
        <v>4.6500260373382496E+19</v>
      </c>
      <c r="B63" s="12">
        <v>28</v>
      </c>
      <c r="K63" s="15">
        <v>1022</v>
      </c>
      <c r="L63" s="12">
        <v>1045</v>
      </c>
      <c r="M63" s="12">
        <v>313</v>
      </c>
    </row>
    <row r="64" spans="1:13" x14ac:dyDescent="0.25">
      <c r="A64" s="16">
        <v>4.5069768626421498E+19</v>
      </c>
      <c r="B64" s="12">
        <v>28</v>
      </c>
      <c r="K64" s="15">
        <v>1022</v>
      </c>
      <c r="L64" s="12">
        <v>1040</v>
      </c>
      <c r="M64" s="12">
        <v>314</v>
      </c>
    </row>
    <row r="65" spans="1:13" x14ac:dyDescent="0.25">
      <c r="A65" s="16">
        <v>1.3469749923478901E+19</v>
      </c>
      <c r="B65" s="12">
        <v>3005</v>
      </c>
      <c r="K65" s="15">
        <v>1022</v>
      </c>
      <c r="L65" s="12">
        <v>1026</v>
      </c>
      <c r="M65" s="12">
        <v>324</v>
      </c>
    </row>
    <row r="66" spans="1:13" x14ac:dyDescent="0.25">
      <c r="A66" s="16">
        <v>4.8143571777691099E+19</v>
      </c>
      <c r="B66" s="12">
        <v>3005</v>
      </c>
      <c r="K66" s="15">
        <v>1022</v>
      </c>
      <c r="L66" s="12">
        <v>1024</v>
      </c>
      <c r="M66" s="12">
        <v>325</v>
      </c>
    </row>
    <row r="67" spans="1:13" x14ac:dyDescent="0.25">
      <c r="A67" s="16">
        <v>2.5004464067559798E+18</v>
      </c>
      <c r="B67" s="12">
        <v>3005</v>
      </c>
      <c r="K67" s="15">
        <v>1022</v>
      </c>
      <c r="L67" s="12">
        <v>1022</v>
      </c>
      <c r="M67" s="12">
        <v>329</v>
      </c>
    </row>
    <row r="68" spans="1:13" x14ac:dyDescent="0.25">
      <c r="A68" s="16">
        <v>1.14850509219305E+19</v>
      </c>
      <c r="B68" s="12">
        <v>3004</v>
      </c>
      <c r="K68" s="15">
        <v>1022</v>
      </c>
      <c r="L68" s="12">
        <v>1013</v>
      </c>
      <c r="M68" s="12">
        <v>336</v>
      </c>
    </row>
    <row r="69" spans="1:13" x14ac:dyDescent="0.25">
      <c r="A69" s="16">
        <v>4.8082960432038601E+19</v>
      </c>
      <c r="B69" s="12">
        <v>3004</v>
      </c>
      <c r="K69" s="15">
        <v>1022</v>
      </c>
      <c r="L69" s="12">
        <v>1009</v>
      </c>
      <c r="M69" s="12">
        <v>339</v>
      </c>
    </row>
    <row r="70" spans="1:13" x14ac:dyDescent="0.25">
      <c r="A70" s="16">
        <v>5.4972659274059301E+19</v>
      </c>
      <c r="B70" s="12">
        <v>151</v>
      </c>
      <c r="K70" s="15">
        <v>1058</v>
      </c>
      <c r="L70" s="12">
        <v>1001</v>
      </c>
      <c r="M70" s="12">
        <v>340</v>
      </c>
    </row>
    <row r="71" spans="1:13" x14ac:dyDescent="0.25">
      <c r="A71" s="16">
        <v>3.2848685793820598E+19</v>
      </c>
      <c r="B71" s="12">
        <v>142</v>
      </c>
      <c r="K71" s="15">
        <v>1058</v>
      </c>
      <c r="L71" s="12">
        <v>814</v>
      </c>
      <c r="M71" s="12">
        <v>342</v>
      </c>
    </row>
    <row r="72" spans="1:13" x14ac:dyDescent="0.25">
      <c r="A72" s="16">
        <v>6.0104410693050802E+19</v>
      </c>
      <c r="B72" s="12">
        <v>148</v>
      </c>
      <c r="K72" s="15">
        <v>1058</v>
      </c>
      <c r="L72" s="12">
        <v>676</v>
      </c>
      <c r="M72" s="12">
        <v>343</v>
      </c>
    </row>
    <row r="73" spans="1:13" x14ac:dyDescent="0.25">
      <c r="A73" s="16">
        <v>6.1396923805116801E+19</v>
      </c>
      <c r="B73" s="12">
        <v>140</v>
      </c>
      <c r="K73" s="15">
        <v>1058</v>
      </c>
      <c r="L73" s="12">
        <v>662</v>
      </c>
      <c r="M73" s="12">
        <v>345</v>
      </c>
    </row>
    <row r="74" spans="1:13" x14ac:dyDescent="0.25">
      <c r="A74" s="16">
        <v>5.8117647364656603E+19</v>
      </c>
      <c r="B74" s="12">
        <v>131</v>
      </c>
      <c r="K74" s="15">
        <v>1058</v>
      </c>
      <c r="L74" s="12">
        <v>581</v>
      </c>
      <c r="M74" s="12">
        <v>347</v>
      </c>
    </row>
    <row r="75" spans="1:13" x14ac:dyDescent="0.25">
      <c r="A75" s="16">
        <v>1.3128144854598199E+19</v>
      </c>
      <c r="B75" s="12">
        <v>149</v>
      </c>
      <c r="K75" s="15">
        <v>1058</v>
      </c>
      <c r="L75" s="12">
        <v>576</v>
      </c>
      <c r="M75" s="12">
        <v>348</v>
      </c>
    </row>
    <row r="76" spans="1:13" x14ac:dyDescent="0.25">
      <c r="A76" s="16">
        <v>5.0293630135269204E+19</v>
      </c>
      <c r="B76" s="12">
        <v>3600</v>
      </c>
      <c r="K76" s="15">
        <v>1058</v>
      </c>
      <c r="L76" s="12">
        <v>575</v>
      </c>
      <c r="M76" s="12">
        <v>350</v>
      </c>
    </row>
    <row r="77" spans="1:13" x14ac:dyDescent="0.25">
      <c r="A77" s="16">
        <v>2.44886995687296E+19</v>
      </c>
      <c r="B77" s="12">
        <v>3600</v>
      </c>
      <c r="K77" s="15">
        <v>1058</v>
      </c>
      <c r="L77" s="12">
        <v>504</v>
      </c>
      <c r="M77" s="12">
        <v>352</v>
      </c>
    </row>
    <row r="78" spans="1:13" x14ac:dyDescent="0.25">
      <c r="A78" s="16">
        <v>4.7690898373307597E+19</v>
      </c>
      <c r="B78" s="12">
        <v>3600</v>
      </c>
      <c r="K78" s="15">
        <v>1058</v>
      </c>
      <c r="L78" s="12">
        <v>481</v>
      </c>
      <c r="M78" s="12">
        <v>374</v>
      </c>
    </row>
    <row r="79" spans="1:13" x14ac:dyDescent="0.25">
      <c r="A79" s="16">
        <v>2.5227628516355302E+18</v>
      </c>
      <c r="B79" s="12">
        <v>3600</v>
      </c>
      <c r="K79" s="15">
        <v>1058</v>
      </c>
      <c r="L79" s="12">
        <v>476</v>
      </c>
      <c r="M79" s="12">
        <v>376</v>
      </c>
    </row>
    <row r="80" spans="1:13" x14ac:dyDescent="0.25">
      <c r="A80" s="16">
        <v>3.5552367633501098E+19</v>
      </c>
      <c r="B80" s="12">
        <v>3600</v>
      </c>
      <c r="K80" s="15">
        <v>1058</v>
      </c>
      <c r="L80" s="12">
        <v>475</v>
      </c>
      <c r="M80" s="12">
        <v>408</v>
      </c>
    </row>
    <row r="81" spans="1:13" x14ac:dyDescent="0.25">
      <c r="A81" s="16">
        <v>2.1535776401721299E+19</v>
      </c>
      <c r="B81" s="12">
        <v>3600</v>
      </c>
      <c r="K81" s="15">
        <v>1058</v>
      </c>
      <c r="L81" s="12">
        <v>450</v>
      </c>
      <c r="M81" s="12">
        <v>410</v>
      </c>
    </row>
    <row r="82" spans="1:13" x14ac:dyDescent="0.25">
      <c r="A82" s="16">
        <v>1.4070675373102299E+19</v>
      </c>
      <c r="B82" s="12">
        <v>3600</v>
      </c>
      <c r="K82" s="15">
        <v>1058</v>
      </c>
      <c r="L82" s="12">
        <v>419</v>
      </c>
      <c r="M82" s="12">
        <v>413</v>
      </c>
    </row>
    <row r="83" spans="1:13" x14ac:dyDescent="0.25">
      <c r="A83" s="16">
        <v>2.1742136153906199E+18</v>
      </c>
      <c r="B83" s="12">
        <v>3600</v>
      </c>
      <c r="K83" s="15">
        <v>1058</v>
      </c>
      <c r="L83" s="12">
        <v>418</v>
      </c>
      <c r="M83" s="12">
        <v>416</v>
      </c>
    </row>
    <row r="84" spans="1:13" x14ac:dyDescent="0.25">
      <c r="A84" s="16">
        <v>4.5562692273109598E+19</v>
      </c>
      <c r="B84" s="12">
        <v>3600</v>
      </c>
      <c r="K84" s="15">
        <v>1058</v>
      </c>
      <c r="L84" s="12">
        <v>343</v>
      </c>
      <c r="M84" s="12">
        <v>418</v>
      </c>
    </row>
    <row r="85" spans="1:13" x14ac:dyDescent="0.25">
      <c r="A85" s="16">
        <v>2.4063316850802201E+19</v>
      </c>
      <c r="B85" s="12">
        <v>3600</v>
      </c>
      <c r="K85" s="15">
        <v>1058</v>
      </c>
      <c r="L85" s="12">
        <v>339</v>
      </c>
      <c r="M85" s="12">
        <v>419</v>
      </c>
    </row>
    <row r="86" spans="1:13" x14ac:dyDescent="0.25">
      <c r="A86" s="16">
        <v>8.2111193222197199E+19</v>
      </c>
      <c r="B86" s="12">
        <v>3600</v>
      </c>
      <c r="K86" s="15">
        <v>1058</v>
      </c>
      <c r="L86" s="12">
        <v>336</v>
      </c>
      <c r="M86" s="12">
        <v>439</v>
      </c>
    </row>
    <row r="87" spans="1:13" x14ac:dyDescent="0.25">
      <c r="A87" s="16">
        <v>3.8831770669160497E+19</v>
      </c>
      <c r="B87" s="12">
        <v>3600</v>
      </c>
      <c r="K87" s="15">
        <v>1058</v>
      </c>
      <c r="L87" s="12">
        <v>314</v>
      </c>
      <c r="M87" s="12">
        <v>440</v>
      </c>
    </row>
    <row r="88" spans="1:13" x14ac:dyDescent="0.25">
      <c r="A88" s="16">
        <v>6.4340812715019698E+19</v>
      </c>
      <c r="B88" s="12">
        <v>3600</v>
      </c>
      <c r="K88" s="15">
        <v>1058</v>
      </c>
      <c r="L88" s="12">
        <v>313</v>
      </c>
      <c r="M88" s="12">
        <v>443</v>
      </c>
    </row>
    <row r="89" spans="1:13" x14ac:dyDescent="0.25">
      <c r="A89" s="16">
        <v>7.2354194930790302E+19</v>
      </c>
      <c r="B89" s="12">
        <v>3600</v>
      </c>
      <c r="K89" s="15">
        <v>1058</v>
      </c>
      <c r="L89" s="12">
        <v>312</v>
      </c>
      <c r="M89" s="12">
        <v>448</v>
      </c>
    </row>
    <row r="90" spans="1:13" x14ac:dyDescent="0.25">
      <c r="A90" s="16">
        <v>5.77424629964824E+19</v>
      </c>
      <c r="B90" s="12">
        <v>3600</v>
      </c>
      <c r="K90" s="15">
        <v>1058</v>
      </c>
      <c r="L90" s="12">
        <v>132</v>
      </c>
      <c r="M90" s="12">
        <v>450</v>
      </c>
    </row>
    <row r="91" spans="1:13" x14ac:dyDescent="0.25">
      <c r="A91" s="16">
        <v>6.3199260676798996E+19</v>
      </c>
      <c r="B91" s="12">
        <v>3600</v>
      </c>
      <c r="K91" s="15">
        <v>1058</v>
      </c>
      <c r="L91" s="12">
        <v>129</v>
      </c>
      <c r="M91" s="12">
        <v>475</v>
      </c>
    </row>
    <row r="92" spans="1:13" x14ac:dyDescent="0.25">
      <c r="A92" s="16">
        <v>7.1729395141380801E+19</v>
      </c>
      <c r="B92" s="12">
        <v>3601</v>
      </c>
      <c r="K92" s="15">
        <v>1058</v>
      </c>
      <c r="L92" s="12">
        <v>124</v>
      </c>
      <c r="M92" s="12">
        <v>476</v>
      </c>
    </row>
    <row r="93" spans="1:13" x14ac:dyDescent="0.25">
      <c r="A93" s="16">
        <v>7.4185810997570404E+19</v>
      </c>
      <c r="B93" s="12">
        <v>3601</v>
      </c>
      <c r="K93" s="15">
        <v>1058</v>
      </c>
      <c r="L93" s="12">
        <v>62</v>
      </c>
      <c r="M93" s="12">
        <v>481</v>
      </c>
    </row>
    <row r="94" spans="1:13" x14ac:dyDescent="0.25">
      <c r="A94" s="16">
        <v>1.48660714553139E+19</v>
      </c>
      <c r="B94" s="12">
        <v>3601</v>
      </c>
      <c r="K94" s="15">
        <v>1058</v>
      </c>
      <c r="L94" s="12">
        <v>57</v>
      </c>
      <c r="M94" s="12">
        <v>491</v>
      </c>
    </row>
    <row r="95" spans="1:13" x14ac:dyDescent="0.25">
      <c r="A95" s="16">
        <v>6.8967391843010298E+19</v>
      </c>
      <c r="B95" s="12">
        <v>3601</v>
      </c>
      <c r="K95" s="15">
        <v>1058</v>
      </c>
      <c r="M95" s="12">
        <v>503</v>
      </c>
    </row>
    <row r="96" spans="1:13" x14ac:dyDescent="0.25">
      <c r="A96" s="16">
        <v>6.1575046290555298E+19</v>
      </c>
      <c r="B96" s="12">
        <v>3601</v>
      </c>
      <c r="K96" s="15">
        <v>1058</v>
      </c>
      <c r="M96" s="12">
        <v>504</v>
      </c>
    </row>
    <row r="97" spans="1:13" x14ac:dyDescent="0.25">
      <c r="A97" s="16">
        <v>1.39933245078556E+19</v>
      </c>
      <c r="B97" s="12">
        <v>3601</v>
      </c>
      <c r="K97" s="15">
        <v>1058</v>
      </c>
      <c r="M97" s="12">
        <v>507</v>
      </c>
    </row>
    <row r="98" spans="1:13" x14ac:dyDescent="0.25">
      <c r="A98" s="16">
        <v>9.3709380972106105E+19</v>
      </c>
      <c r="B98" s="12">
        <v>3601</v>
      </c>
      <c r="K98" s="15">
        <v>1058</v>
      </c>
      <c r="M98" s="12">
        <v>508</v>
      </c>
    </row>
    <row r="99" spans="1:13" x14ac:dyDescent="0.25">
      <c r="A99" s="16">
        <v>7.2110697461249303E+19</v>
      </c>
      <c r="B99" s="12">
        <v>3601</v>
      </c>
      <c r="K99" s="15">
        <v>1058</v>
      </c>
      <c r="M99" s="12">
        <v>575</v>
      </c>
    </row>
    <row r="100" spans="1:13" x14ac:dyDescent="0.25">
      <c r="A100" s="16">
        <v>3.79123027388812E+19</v>
      </c>
      <c r="B100" s="12">
        <v>3601</v>
      </c>
      <c r="K100" s="15">
        <v>1058</v>
      </c>
      <c r="M100" s="12">
        <v>576</v>
      </c>
    </row>
    <row r="101" spans="1:13" x14ac:dyDescent="0.25">
      <c r="A101" s="16">
        <v>2.1087299478804201E+19</v>
      </c>
      <c r="B101" s="12">
        <v>3601</v>
      </c>
      <c r="K101" s="15">
        <v>1058</v>
      </c>
      <c r="M101" s="12">
        <v>581</v>
      </c>
    </row>
    <row r="102" spans="1:13" x14ac:dyDescent="0.25">
      <c r="A102" s="16">
        <v>9.1111988925482893E+19</v>
      </c>
      <c r="B102" s="12">
        <v>3601</v>
      </c>
      <c r="K102" s="15">
        <v>1050</v>
      </c>
      <c r="M102" s="12">
        <v>591</v>
      </c>
    </row>
    <row r="103" spans="1:13" x14ac:dyDescent="0.25">
      <c r="A103" s="16">
        <v>3.5035358920553599E+19</v>
      </c>
      <c r="B103" s="12">
        <v>3601</v>
      </c>
      <c r="K103" s="15">
        <v>1050</v>
      </c>
      <c r="M103" s="12">
        <v>608</v>
      </c>
    </row>
    <row r="104" spans="1:13" x14ac:dyDescent="0.25">
      <c r="A104" s="16">
        <v>5.9517511288037597E+19</v>
      </c>
      <c r="B104" s="12">
        <v>3601</v>
      </c>
      <c r="K104" s="15">
        <v>1050</v>
      </c>
      <c r="M104" s="12">
        <v>642</v>
      </c>
    </row>
    <row r="105" spans="1:13" x14ac:dyDescent="0.25">
      <c r="A105" s="16">
        <v>9.0479754525723902E+19</v>
      </c>
      <c r="B105" s="12">
        <v>3601</v>
      </c>
      <c r="K105" s="15">
        <v>1050</v>
      </c>
      <c r="M105" s="12">
        <v>653</v>
      </c>
    </row>
    <row r="106" spans="1:13" x14ac:dyDescent="0.25">
      <c r="A106" s="16">
        <v>8.0101504276435993E+19</v>
      </c>
      <c r="B106" s="12">
        <v>3601</v>
      </c>
      <c r="K106" s="15">
        <v>1050</v>
      </c>
      <c r="M106" s="12">
        <v>662</v>
      </c>
    </row>
    <row r="107" spans="1:13" x14ac:dyDescent="0.25">
      <c r="A107" s="16">
        <v>2.4631262967541801E+19</v>
      </c>
      <c r="B107" s="12">
        <v>3601</v>
      </c>
      <c r="K107" s="15">
        <v>1050</v>
      </c>
      <c r="M107" s="12">
        <v>675</v>
      </c>
    </row>
    <row r="108" spans="1:13" x14ac:dyDescent="0.25">
      <c r="A108" s="16">
        <v>9.8370536278704505E+19</v>
      </c>
      <c r="B108" s="12">
        <v>5014</v>
      </c>
      <c r="K108" s="15">
        <v>1050</v>
      </c>
      <c r="M108" s="12">
        <v>676</v>
      </c>
    </row>
    <row r="109" spans="1:13" x14ac:dyDescent="0.25">
      <c r="A109" s="16">
        <v>7.9237453115707507E+19</v>
      </c>
      <c r="B109" s="12">
        <v>5014</v>
      </c>
      <c r="K109" s="15">
        <v>1050</v>
      </c>
      <c r="M109" s="12">
        <v>681</v>
      </c>
    </row>
    <row r="110" spans="1:13" x14ac:dyDescent="0.25">
      <c r="A110" s="16">
        <v>3.00421222216779E+19</v>
      </c>
      <c r="B110" s="12">
        <v>5014</v>
      </c>
      <c r="K110" s="15">
        <v>1050</v>
      </c>
      <c r="M110" s="12">
        <v>691</v>
      </c>
    </row>
    <row r="111" spans="1:13" x14ac:dyDescent="0.25">
      <c r="A111" s="16">
        <v>1.7978745568941901E+18</v>
      </c>
      <c r="B111" s="12">
        <v>5014</v>
      </c>
      <c r="K111" s="15">
        <v>1050</v>
      </c>
      <c r="M111" s="12">
        <v>699</v>
      </c>
    </row>
    <row r="112" spans="1:13" x14ac:dyDescent="0.25">
      <c r="A112" s="16">
        <v>5.3897452298777502E+19</v>
      </c>
      <c r="B112" s="12">
        <v>5014</v>
      </c>
      <c r="K112" s="15">
        <v>1050</v>
      </c>
      <c r="M112" s="12">
        <v>702</v>
      </c>
    </row>
    <row r="113" spans="1:13" x14ac:dyDescent="0.25">
      <c r="A113" s="16">
        <v>4.4635683115451802E+19</v>
      </c>
      <c r="B113" s="12">
        <v>5014</v>
      </c>
      <c r="K113" s="15">
        <v>1050</v>
      </c>
      <c r="M113" s="12">
        <v>705</v>
      </c>
    </row>
    <row r="114" spans="1:13" x14ac:dyDescent="0.25">
      <c r="A114" s="16">
        <v>6.6413849692636602E+19</v>
      </c>
      <c r="B114" s="12">
        <v>5014</v>
      </c>
      <c r="K114" s="15">
        <v>1059</v>
      </c>
      <c r="M114" s="12">
        <v>803</v>
      </c>
    </row>
    <row r="115" spans="1:13" x14ac:dyDescent="0.25">
      <c r="A115" s="16">
        <v>9.8480859360608895E+19</v>
      </c>
      <c r="B115" s="12">
        <v>5014</v>
      </c>
      <c r="K115" s="15">
        <v>1059</v>
      </c>
      <c r="M115" s="12">
        <v>807</v>
      </c>
    </row>
    <row r="116" spans="1:13" x14ac:dyDescent="0.25">
      <c r="A116" s="16">
        <v>1.3451459332498301E+19</v>
      </c>
      <c r="B116" s="12">
        <v>5014</v>
      </c>
      <c r="K116" s="15">
        <v>1059</v>
      </c>
      <c r="M116" s="12">
        <v>808</v>
      </c>
    </row>
    <row r="117" spans="1:13" x14ac:dyDescent="0.25">
      <c r="A117" s="16">
        <v>4.4630452477783851E+19</v>
      </c>
      <c r="B117" s="12">
        <v>2351</v>
      </c>
      <c r="K117" s="15">
        <v>1059</v>
      </c>
      <c r="M117" s="12">
        <v>812</v>
      </c>
    </row>
    <row r="118" spans="1:13" x14ac:dyDescent="0.25">
      <c r="A118" s="16">
        <v>7.3858612898647507E+19</v>
      </c>
      <c r="B118" s="12">
        <v>2351</v>
      </c>
      <c r="K118" s="15">
        <v>1059</v>
      </c>
      <c r="M118" s="12">
        <v>814</v>
      </c>
    </row>
    <row r="119" spans="1:13" x14ac:dyDescent="0.25">
      <c r="A119" s="16">
        <v>1.5372935032809042E+19</v>
      </c>
      <c r="B119" s="12">
        <v>2351</v>
      </c>
      <c r="K119" s="15">
        <v>1059</v>
      </c>
      <c r="M119" s="12">
        <v>817</v>
      </c>
    </row>
    <row r="120" spans="1:13" x14ac:dyDescent="0.25">
      <c r="A120" s="16">
        <v>4.7154290331766325E+19</v>
      </c>
      <c r="B120" s="12">
        <v>2351</v>
      </c>
      <c r="K120" s="15">
        <v>1059</v>
      </c>
      <c r="M120" s="12">
        <v>829</v>
      </c>
    </row>
    <row r="121" spans="1:13" x14ac:dyDescent="0.25">
      <c r="A121" s="16">
        <v>5.3163523670401851E+19</v>
      </c>
      <c r="B121" s="12">
        <v>2351</v>
      </c>
      <c r="K121" s="15">
        <v>1059</v>
      </c>
      <c r="M121" s="12">
        <v>861</v>
      </c>
    </row>
    <row r="122" spans="1:13" x14ac:dyDescent="0.25">
      <c r="A122" s="16">
        <v>4.4795117583143723E+19</v>
      </c>
      <c r="B122" s="12">
        <v>2151</v>
      </c>
      <c r="K122" s="15">
        <v>1059</v>
      </c>
      <c r="M122" s="12">
        <v>862</v>
      </c>
    </row>
    <row r="123" spans="1:13" x14ac:dyDescent="0.25">
      <c r="A123" s="16">
        <v>8.3181679193278611E+19</v>
      </c>
      <c r="B123" s="12">
        <v>2151</v>
      </c>
      <c r="K123" s="15">
        <v>1059</v>
      </c>
      <c r="M123" s="12">
        <v>863</v>
      </c>
    </row>
    <row r="124" spans="1:13" x14ac:dyDescent="0.25">
      <c r="A124" s="16">
        <v>4.3566203545585197E+19</v>
      </c>
      <c r="B124" s="12">
        <v>2151</v>
      </c>
      <c r="K124" s="15">
        <v>1059</v>
      </c>
      <c r="M124" s="12">
        <v>867</v>
      </c>
    </row>
    <row r="125" spans="1:13" x14ac:dyDescent="0.25">
      <c r="A125" s="16">
        <v>2.8599645920234643E+19</v>
      </c>
      <c r="B125" s="12">
        <v>2151</v>
      </c>
      <c r="K125" s="15">
        <v>1059</v>
      </c>
      <c r="M125" s="12">
        <v>870</v>
      </c>
    </row>
    <row r="126" spans="1:13" x14ac:dyDescent="0.25">
      <c r="A126" s="16">
        <v>2.5958369312013042E+19</v>
      </c>
      <c r="B126" s="12">
        <v>2151</v>
      </c>
      <c r="K126" s="15">
        <v>1059</v>
      </c>
      <c r="M126" s="12">
        <v>907</v>
      </c>
    </row>
    <row r="127" spans="1:13" x14ac:dyDescent="0.25">
      <c r="A127" s="16">
        <v>6.3710176056563941E+19</v>
      </c>
      <c r="B127" s="12">
        <v>2155</v>
      </c>
      <c r="K127" s="15">
        <v>1059</v>
      </c>
      <c r="M127" s="12">
        <v>917</v>
      </c>
    </row>
    <row r="128" spans="1:13" x14ac:dyDescent="0.25">
      <c r="A128" s="16">
        <v>6.531361371340569E+19</v>
      </c>
      <c r="B128" s="12">
        <v>2155</v>
      </c>
      <c r="K128" s="15">
        <v>1059</v>
      </c>
      <c r="M128" s="12">
        <v>1001</v>
      </c>
    </row>
    <row r="129" spans="1:13" x14ac:dyDescent="0.25">
      <c r="A129" s="16">
        <v>9.2333306356540359E+19</v>
      </c>
      <c r="B129" s="12">
        <v>2155</v>
      </c>
      <c r="K129" s="15">
        <v>1059</v>
      </c>
      <c r="M129" s="12">
        <v>1009</v>
      </c>
    </row>
    <row r="130" spans="1:13" x14ac:dyDescent="0.25">
      <c r="A130" s="16">
        <v>5.6218869983163154E+19</v>
      </c>
      <c r="B130" s="12">
        <v>2155</v>
      </c>
      <c r="K130" s="15">
        <v>1059</v>
      </c>
      <c r="M130" s="12">
        <v>1013</v>
      </c>
    </row>
    <row r="131" spans="1:13" x14ac:dyDescent="0.25">
      <c r="A131" s="16">
        <v>3.5777489933237354E+19</v>
      </c>
      <c r="B131" s="12">
        <v>2355</v>
      </c>
      <c r="K131" s="15">
        <v>1059</v>
      </c>
      <c r="M131" s="12">
        <v>1022</v>
      </c>
    </row>
    <row r="132" spans="1:13" x14ac:dyDescent="0.25">
      <c r="A132" s="16">
        <v>9.9755006596230906E+19</v>
      </c>
      <c r="B132" s="12">
        <v>2355</v>
      </c>
      <c r="K132" s="15">
        <v>1059</v>
      </c>
      <c r="M132" s="12">
        <v>1024</v>
      </c>
    </row>
    <row r="133" spans="1:13" x14ac:dyDescent="0.25">
      <c r="A133" s="16">
        <v>7.7011097245796303E+19</v>
      </c>
      <c r="B133" s="12">
        <v>2355</v>
      </c>
      <c r="K133" s="15">
        <v>1059</v>
      </c>
      <c r="M133" s="12">
        <v>1026</v>
      </c>
    </row>
    <row r="134" spans="1:13" x14ac:dyDescent="0.25">
      <c r="A134" s="16">
        <v>2.341263943551751E+19</v>
      </c>
      <c r="B134" s="12">
        <v>2355</v>
      </c>
      <c r="K134" s="15">
        <v>1059</v>
      </c>
      <c r="M134" s="12">
        <v>1040</v>
      </c>
    </row>
    <row r="135" spans="1:13" x14ac:dyDescent="0.25">
      <c r="A135" s="16">
        <v>8.7870263737152913E+19</v>
      </c>
      <c r="B135" s="12">
        <v>3005</v>
      </c>
      <c r="K135" s="15">
        <v>1059</v>
      </c>
      <c r="M135" s="12">
        <v>1045</v>
      </c>
    </row>
    <row r="136" spans="1:13" x14ac:dyDescent="0.25">
      <c r="A136" s="16">
        <v>5.8740252546188788E+19</v>
      </c>
      <c r="B136" s="12">
        <v>3005</v>
      </c>
      <c r="K136" s="15">
        <v>1059</v>
      </c>
      <c r="M136" s="12">
        <v>1047</v>
      </c>
    </row>
    <row r="137" spans="1:13" x14ac:dyDescent="0.25">
      <c r="A137" s="16">
        <v>2.0168065959426089E+19</v>
      </c>
      <c r="B137" s="12">
        <v>3005</v>
      </c>
      <c r="K137" s="15">
        <v>1059</v>
      </c>
      <c r="M137" s="12">
        <v>1049</v>
      </c>
    </row>
    <row r="138" spans="1:13" x14ac:dyDescent="0.25">
      <c r="A138" s="16">
        <v>6.2285675894468493E+19</v>
      </c>
      <c r="B138" s="12">
        <v>3005</v>
      </c>
      <c r="K138" s="15">
        <v>1059</v>
      </c>
      <c r="M138" s="12">
        <v>1050</v>
      </c>
    </row>
    <row r="139" spans="1:13" x14ac:dyDescent="0.25">
      <c r="A139" s="16">
        <v>9.8197764965751947E+19</v>
      </c>
      <c r="B139" s="12">
        <v>3004</v>
      </c>
      <c r="K139" s="15">
        <v>1059</v>
      </c>
      <c r="M139" s="12">
        <v>1058</v>
      </c>
    </row>
    <row r="140" spans="1:13" x14ac:dyDescent="0.25">
      <c r="A140" s="16">
        <v>7.3132080864602841E+19</v>
      </c>
      <c r="B140" s="12">
        <v>3004</v>
      </c>
      <c r="K140" s="15">
        <v>1059</v>
      </c>
      <c r="M140" s="12">
        <v>1059</v>
      </c>
    </row>
    <row r="141" spans="1:13" x14ac:dyDescent="0.25">
      <c r="A141" s="16">
        <v>2.8454216384105808E+19</v>
      </c>
      <c r="B141" s="12">
        <v>3004</v>
      </c>
      <c r="K141" s="15">
        <v>1059</v>
      </c>
      <c r="M141" s="12">
        <v>1061</v>
      </c>
    </row>
    <row r="142" spans="1:13" x14ac:dyDescent="0.25">
      <c r="A142" s="16">
        <v>8.8981029717360247E+19</v>
      </c>
      <c r="B142" s="12">
        <v>3004</v>
      </c>
      <c r="K142" s="15">
        <v>1059</v>
      </c>
      <c r="M142" s="12">
        <v>1062</v>
      </c>
    </row>
    <row r="143" spans="1:13" x14ac:dyDescent="0.25">
      <c r="A143" s="16">
        <v>4.7830516345209373E+19</v>
      </c>
      <c r="B143" s="12">
        <v>2158</v>
      </c>
      <c r="K143" s="15">
        <v>1059</v>
      </c>
      <c r="M143" s="12">
        <v>1063</v>
      </c>
    </row>
    <row r="144" spans="1:13" x14ac:dyDescent="0.25">
      <c r="A144" s="16">
        <v>2.3561791299114377E+19</v>
      </c>
      <c r="B144" s="12">
        <v>2158</v>
      </c>
      <c r="K144" s="15">
        <v>1059</v>
      </c>
      <c r="M144" s="12">
        <v>1065</v>
      </c>
    </row>
    <row r="145" spans="1:13" x14ac:dyDescent="0.25">
      <c r="A145" s="16">
        <v>3.1673183252673343E+19</v>
      </c>
      <c r="B145" s="12">
        <v>2158</v>
      </c>
      <c r="K145" s="15">
        <v>1059</v>
      </c>
      <c r="M145" s="12">
        <v>1070</v>
      </c>
    </row>
    <row r="146" spans="1:13" x14ac:dyDescent="0.25">
      <c r="A146" s="16">
        <v>6.7243002673136681E+19</v>
      </c>
      <c r="B146" s="12">
        <v>2158</v>
      </c>
      <c r="K146" s="15">
        <v>1059</v>
      </c>
      <c r="M146" s="12">
        <v>1076</v>
      </c>
    </row>
    <row r="147" spans="1:13" x14ac:dyDescent="0.25">
      <c r="A147" s="16">
        <v>8.1144691418100826E+19</v>
      </c>
      <c r="B147" s="12">
        <v>2158</v>
      </c>
      <c r="K147" s="15">
        <v>1059</v>
      </c>
      <c r="M147" s="12">
        <v>1100</v>
      </c>
    </row>
    <row r="148" spans="1:13" x14ac:dyDescent="0.25">
      <c r="A148" s="16">
        <v>4.7307834972375753E+19</v>
      </c>
      <c r="B148" s="12">
        <v>2158</v>
      </c>
      <c r="K148" s="15">
        <v>1059</v>
      </c>
      <c r="M148" s="12">
        <v>1101</v>
      </c>
    </row>
    <row r="149" spans="1:13" x14ac:dyDescent="0.25">
      <c r="A149" s="16">
        <v>2.5275719873957306E+19</v>
      </c>
      <c r="B149" s="12">
        <v>2158</v>
      </c>
      <c r="K149" s="15">
        <v>1059</v>
      </c>
      <c r="M149" s="12">
        <v>1102</v>
      </c>
    </row>
    <row r="150" spans="1:13" x14ac:dyDescent="0.25">
      <c r="A150" s="16">
        <v>6.4864357446897148E+19</v>
      </c>
      <c r="B150" s="12">
        <v>2358</v>
      </c>
      <c r="K150" s="15">
        <v>1059</v>
      </c>
      <c r="M150" s="12">
        <v>1103</v>
      </c>
    </row>
    <row r="151" spans="1:13" x14ac:dyDescent="0.25">
      <c r="A151" s="16">
        <v>7.7086712187021984E+19</v>
      </c>
      <c r="B151" s="12">
        <v>2358</v>
      </c>
      <c r="K151" s="15">
        <v>1059</v>
      </c>
      <c r="M151" s="12">
        <v>1123</v>
      </c>
    </row>
    <row r="152" spans="1:13" x14ac:dyDescent="0.25">
      <c r="A152" s="16">
        <v>7.2504893191998022E+19</v>
      </c>
      <c r="B152" s="12">
        <v>2358</v>
      </c>
      <c r="K152" s="15">
        <v>1059</v>
      </c>
      <c r="M152" s="12">
        <v>1130</v>
      </c>
    </row>
    <row r="153" spans="1:13" x14ac:dyDescent="0.25">
      <c r="A153" s="16">
        <v>6.0205194210443092E+19</v>
      </c>
      <c r="B153" s="12">
        <v>2358</v>
      </c>
      <c r="K153" s="15">
        <v>1059</v>
      </c>
      <c r="M153" s="12">
        <v>1134</v>
      </c>
    </row>
    <row r="154" spans="1:13" x14ac:dyDescent="0.25">
      <c r="A154" s="16">
        <v>9.2135431144931656E+19</v>
      </c>
      <c r="B154" s="12">
        <v>5022</v>
      </c>
      <c r="K154" s="15">
        <v>1009</v>
      </c>
      <c r="M154" s="12">
        <v>1151</v>
      </c>
    </row>
    <row r="155" spans="1:13" x14ac:dyDescent="0.25">
      <c r="A155" s="16">
        <v>7.870336881966062E+19</v>
      </c>
      <c r="B155" s="12">
        <v>5022</v>
      </c>
      <c r="K155" s="15">
        <v>1009</v>
      </c>
      <c r="M155" s="12">
        <v>1152</v>
      </c>
    </row>
    <row r="156" spans="1:13" x14ac:dyDescent="0.25">
      <c r="A156" s="16">
        <v>4.9131729822106296E+19</v>
      </c>
      <c r="B156" s="12">
        <v>5022</v>
      </c>
      <c r="K156" s="15">
        <v>1009</v>
      </c>
      <c r="M156" s="12">
        <v>1200</v>
      </c>
    </row>
    <row r="157" spans="1:13" x14ac:dyDescent="0.25">
      <c r="A157" s="16">
        <v>5.065347623383081E+19</v>
      </c>
      <c r="B157" s="12">
        <v>5022</v>
      </c>
      <c r="K157" s="15">
        <v>1009</v>
      </c>
      <c r="M157" s="12">
        <v>1201</v>
      </c>
    </row>
    <row r="158" spans="1:13" x14ac:dyDescent="0.25">
      <c r="A158" s="16">
        <v>5.736160468772157E+19</v>
      </c>
      <c r="B158" s="12">
        <v>5022</v>
      </c>
      <c r="K158" s="15">
        <v>1009</v>
      </c>
      <c r="M158" s="12">
        <v>1456</v>
      </c>
    </row>
    <row r="159" spans="1:13" x14ac:dyDescent="0.25">
      <c r="A159" s="16">
        <v>8.3475395305997599E+19</v>
      </c>
      <c r="B159" s="12">
        <v>5022</v>
      </c>
      <c r="K159" s="15">
        <v>1009</v>
      </c>
      <c r="M159" s="12">
        <v>1510</v>
      </c>
    </row>
    <row r="160" spans="1:13" x14ac:dyDescent="0.25">
      <c r="A160" s="16">
        <v>1.9449013330595848E+19</v>
      </c>
      <c r="B160" s="12">
        <v>38</v>
      </c>
      <c r="K160" s="15">
        <v>1009</v>
      </c>
      <c r="M160" s="12">
        <v>1511</v>
      </c>
    </row>
    <row r="161" spans="1:13" x14ac:dyDescent="0.25">
      <c r="A161" s="16">
        <v>1.6406798608536381E+19</v>
      </c>
      <c r="B161" s="12">
        <v>38</v>
      </c>
      <c r="K161" s="15">
        <v>1009</v>
      </c>
      <c r="M161" s="12">
        <v>2060</v>
      </c>
    </row>
    <row r="162" spans="1:13" x14ac:dyDescent="0.25">
      <c r="A162" s="16">
        <v>6.8083205963774788E+19</v>
      </c>
      <c r="B162" s="12">
        <v>38</v>
      </c>
      <c r="K162" s="15">
        <v>1009</v>
      </c>
      <c r="M162" s="12">
        <v>2151</v>
      </c>
    </row>
    <row r="163" spans="1:13" x14ac:dyDescent="0.25">
      <c r="A163" s="16">
        <v>8.7881798611623985E+19</v>
      </c>
      <c r="B163" s="12">
        <v>39</v>
      </c>
      <c r="K163" s="15">
        <v>1009</v>
      </c>
      <c r="M163" s="12">
        <v>2152</v>
      </c>
    </row>
    <row r="164" spans="1:13" x14ac:dyDescent="0.25">
      <c r="A164" s="16">
        <v>4.9537746122822181E+19</v>
      </c>
      <c r="B164" s="12">
        <v>39</v>
      </c>
      <c r="K164" s="15">
        <v>1009</v>
      </c>
      <c r="M164" s="12">
        <v>2155</v>
      </c>
    </row>
    <row r="165" spans="1:13" x14ac:dyDescent="0.25">
      <c r="A165" s="16">
        <v>9.0319787527702479E+19</v>
      </c>
      <c r="B165" s="12">
        <v>39</v>
      </c>
      <c r="K165" s="15">
        <v>1009</v>
      </c>
      <c r="M165" s="12">
        <v>2158</v>
      </c>
    </row>
    <row r="166" spans="1:13" x14ac:dyDescent="0.25">
      <c r="A166" s="16">
        <v>1.3798184355511069E+19</v>
      </c>
      <c r="B166" s="12">
        <v>5040</v>
      </c>
      <c r="K166" s="15">
        <v>1009</v>
      </c>
      <c r="M166" s="12">
        <v>2329</v>
      </c>
    </row>
    <row r="167" spans="1:13" x14ac:dyDescent="0.25">
      <c r="A167" s="16">
        <v>5.2402250027037876E+19</v>
      </c>
      <c r="B167" s="12">
        <v>5040</v>
      </c>
      <c r="K167" s="15">
        <v>1009</v>
      </c>
      <c r="M167" s="12">
        <v>2351</v>
      </c>
    </row>
    <row r="168" spans="1:13" x14ac:dyDescent="0.25">
      <c r="A168" s="16">
        <v>6.7481132202082869E+19</v>
      </c>
      <c r="B168" s="12">
        <v>5040</v>
      </c>
      <c r="K168" s="15">
        <v>1009</v>
      </c>
      <c r="M168" s="12">
        <v>2355</v>
      </c>
    </row>
    <row r="169" spans="1:13" x14ac:dyDescent="0.25">
      <c r="A169" s="16">
        <v>2.4998826989940589E+19</v>
      </c>
      <c r="B169" s="12">
        <v>5040</v>
      </c>
      <c r="K169" s="15">
        <v>1009</v>
      </c>
      <c r="M169" s="12">
        <v>2356</v>
      </c>
    </row>
    <row r="170" spans="1:13" x14ac:dyDescent="0.25">
      <c r="A170" s="16">
        <v>2.5487736221186286E+19</v>
      </c>
      <c r="B170" s="12">
        <v>5040</v>
      </c>
      <c r="K170" s="15">
        <v>1009</v>
      </c>
      <c r="M170" s="12">
        <v>2358</v>
      </c>
    </row>
    <row r="171" spans="1:13" x14ac:dyDescent="0.25">
      <c r="A171" s="16">
        <v>4.750292970058181E+19</v>
      </c>
      <c r="B171" s="12">
        <v>5040</v>
      </c>
      <c r="K171" s="15">
        <v>1009</v>
      </c>
      <c r="M171" s="12">
        <v>2398</v>
      </c>
    </row>
    <row r="172" spans="1:13" x14ac:dyDescent="0.25">
      <c r="A172" s="16">
        <v>2.2922458095518048E+19</v>
      </c>
      <c r="B172" s="12">
        <v>1022</v>
      </c>
      <c r="K172" s="15">
        <v>1009</v>
      </c>
      <c r="M172" s="12">
        <v>2528</v>
      </c>
    </row>
    <row r="173" spans="1:13" x14ac:dyDescent="0.25">
      <c r="A173" s="16">
        <v>9.0588507976608973E+19</v>
      </c>
      <c r="B173" s="12">
        <v>1022</v>
      </c>
      <c r="K173" s="15">
        <v>1009</v>
      </c>
      <c r="M173" s="12">
        <v>2529</v>
      </c>
    </row>
    <row r="174" spans="1:13" x14ac:dyDescent="0.25">
      <c r="A174" s="16">
        <v>7.5586200700683059E+19</v>
      </c>
      <c r="B174" s="12">
        <v>1022</v>
      </c>
      <c r="K174" s="15">
        <v>1009</v>
      </c>
      <c r="M174" s="12">
        <v>2539</v>
      </c>
    </row>
    <row r="175" spans="1:13" x14ac:dyDescent="0.25">
      <c r="A175" s="16">
        <v>2.74522393573033E+19</v>
      </c>
      <c r="B175" s="12">
        <v>1022</v>
      </c>
      <c r="K175" s="15">
        <v>1009</v>
      </c>
      <c r="M175" s="12">
        <v>2553</v>
      </c>
    </row>
    <row r="176" spans="1:13" x14ac:dyDescent="0.25">
      <c r="A176" s="16">
        <v>5.3372060213785387E+19</v>
      </c>
      <c r="B176" s="12">
        <v>1022</v>
      </c>
      <c r="K176" s="15">
        <v>1009</v>
      </c>
      <c r="M176" s="12">
        <v>2554</v>
      </c>
    </row>
    <row r="177" spans="1:13" x14ac:dyDescent="0.25">
      <c r="A177" s="16">
        <v>1.3522708095014806E+19</v>
      </c>
      <c r="B177" s="12">
        <v>1022</v>
      </c>
      <c r="K177" s="15">
        <v>1009</v>
      </c>
      <c r="M177" s="12">
        <v>2605</v>
      </c>
    </row>
    <row r="178" spans="1:13" x14ac:dyDescent="0.25">
      <c r="A178" s="16">
        <v>8.8609951767871504E+19</v>
      </c>
      <c r="B178" s="12">
        <v>1022</v>
      </c>
      <c r="K178" s="15">
        <v>1009</v>
      </c>
      <c r="M178" s="12">
        <v>2612</v>
      </c>
    </row>
    <row r="179" spans="1:13" x14ac:dyDescent="0.25">
      <c r="A179" s="16">
        <v>8.6363220073269133E+19</v>
      </c>
      <c r="B179" s="12">
        <v>1022</v>
      </c>
      <c r="K179" s="15">
        <v>1009</v>
      </c>
      <c r="M179" s="12">
        <v>2613</v>
      </c>
    </row>
    <row r="180" spans="1:13" x14ac:dyDescent="0.25">
      <c r="A180" s="16">
        <v>3.4669293560758653E+19</v>
      </c>
      <c r="B180" s="12">
        <v>1022</v>
      </c>
      <c r="K180" s="15">
        <v>1009</v>
      </c>
      <c r="M180" s="12">
        <v>3004</v>
      </c>
    </row>
    <row r="181" spans="1:13" x14ac:dyDescent="0.25">
      <c r="A181" s="16">
        <v>7.9381630955342004E+19</v>
      </c>
      <c r="B181" s="12">
        <v>1022</v>
      </c>
      <c r="K181" s="15">
        <v>1009</v>
      </c>
      <c r="M181" s="12">
        <v>3005</v>
      </c>
    </row>
    <row r="182" spans="1:13" x14ac:dyDescent="0.25">
      <c r="A182" s="16">
        <v>3.0866821840538173E+19</v>
      </c>
      <c r="B182" s="12">
        <v>1022</v>
      </c>
      <c r="K182" s="15">
        <v>1009</v>
      </c>
      <c r="M182" s="12">
        <v>3211</v>
      </c>
    </row>
    <row r="183" spans="1:13" x14ac:dyDescent="0.25">
      <c r="A183" s="16">
        <v>8.6544463931717616E+19</v>
      </c>
      <c r="B183" s="12">
        <v>1022</v>
      </c>
      <c r="K183" s="15">
        <v>1009</v>
      </c>
      <c r="M183" s="12">
        <v>3426</v>
      </c>
    </row>
    <row r="184" spans="1:13" x14ac:dyDescent="0.25">
      <c r="A184" s="16">
        <v>7.0436322867756368E+19</v>
      </c>
      <c r="B184" s="12">
        <v>653</v>
      </c>
      <c r="K184" s="15">
        <v>1009</v>
      </c>
      <c r="M184" s="12">
        <v>3432</v>
      </c>
    </row>
    <row r="185" spans="1:13" x14ac:dyDescent="0.25">
      <c r="A185" s="16">
        <v>3.4671845007298408E+19</v>
      </c>
      <c r="B185" s="12">
        <v>653</v>
      </c>
      <c r="K185" s="15">
        <v>1009</v>
      </c>
      <c r="M185" s="12">
        <v>3433</v>
      </c>
    </row>
    <row r="186" spans="1:13" x14ac:dyDescent="0.25">
      <c r="A186" s="16">
        <v>8.0196684504407818E+19</v>
      </c>
      <c r="B186" s="12">
        <v>2356</v>
      </c>
      <c r="K186" s="15">
        <v>1009</v>
      </c>
      <c r="M186" s="12">
        <v>3434</v>
      </c>
    </row>
    <row r="187" spans="1:13" x14ac:dyDescent="0.25">
      <c r="A187" s="16">
        <v>5.5597102651942322E+19</v>
      </c>
      <c r="B187" s="12">
        <v>2356</v>
      </c>
      <c r="K187" s="15">
        <v>1009</v>
      </c>
      <c r="M187" s="12">
        <v>3436</v>
      </c>
    </row>
    <row r="188" spans="1:13" x14ac:dyDescent="0.25">
      <c r="A188" s="16">
        <v>5.9966571478984958E+19</v>
      </c>
      <c r="B188" s="12">
        <v>2356</v>
      </c>
      <c r="K188" s="15">
        <v>1009</v>
      </c>
      <c r="M188" s="12">
        <v>3437</v>
      </c>
    </row>
    <row r="189" spans="1:13" x14ac:dyDescent="0.25">
      <c r="A189" s="16">
        <v>1.1694240213268273E+19</v>
      </c>
      <c r="B189" s="12">
        <v>2356</v>
      </c>
      <c r="K189" s="15">
        <v>1009</v>
      </c>
      <c r="M189" s="12">
        <v>3438</v>
      </c>
    </row>
    <row r="190" spans="1:13" x14ac:dyDescent="0.25">
      <c r="A190" s="16">
        <v>2.7642634662082699E+19</v>
      </c>
      <c r="B190" s="12">
        <v>2356</v>
      </c>
      <c r="K190" s="15">
        <v>1009</v>
      </c>
      <c r="M190" s="12">
        <v>3439</v>
      </c>
    </row>
    <row r="191" spans="1:13" x14ac:dyDescent="0.25">
      <c r="A191" s="16">
        <v>6.0530344597916E+19</v>
      </c>
      <c r="B191" s="12">
        <v>2356</v>
      </c>
      <c r="K191" s="15">
        <v>1009</v>
      </c>
      <c r="M191" s="12">
        <v>3451</v>
      </c>
    </row>
    <row r="192" spans="1:13" x14ac:dyDescent="0.25">
      <c r="A192" s="16">
        <v>8.8946678175738085E+19</v>
      </c>
      <c r="B192" s="12">
        <v>3005</v>
      </c>
      <c r="K192" s="15">
        <v>1009</v>
      </c>
      <c r="M192" s="12">
        <v>3452</v>
      </c>
    </row>
    <row r="193" spans="1:13" x14ac:dyDescent="0.25">
      <c r="A193" s="16">
        <v>2.4832028906270433E+19</v>
      </c>
      <c r="B193" s="12">
        <v>3005</v>
      </c>
      <c r="K193" s="15">
        <v>1009</v>
      </c>
      <c r="M193" s="12">
        <v>3455</v>
      </c>
    </row>
    <row r="194" spans="1:13" x14ac:dyDescent="0.25">
      <c r="A194" s="16">
        <v>6.6412550962515845E+19</v>
      </c>
      <c r="B194" s="12">
        <v>3005</v>
      </c>
      <c r="K194" s="15">
        <v>1009</v>
      </c>
      <c r="M194" s="12">
        <v>3600</v>
      </c>
    </row>
    <row r="195" spans="1:13" x14ac:dyDescent="0.25">
      <c r="A195" s="16">
        <v>1.4628037951363826E+19</v>
      </c>
      <c r="B195" s="12">
        <v>3005</v>
      </c>
      <c r="K195" s="15">
        <v>1009</v>
      </c>
      <c r="M195" s="12">
        <v>3601</v>
      </c>
    </row>
    <row r="196" spans="1:13" x14ac:dyDescent="0.25">
      <c r="A196" s="16">
        <v>4.5958899355173765E+19</v>
      </c>
      <c r="B196" s="12">
        <v>2358</v>
      </c>
      <c r="K196" s="15">
        <v>1009</v>
      </c>
      <c r="M196" s="12">
        <v>3811</v>
      </c>
    </row>
    <row r="197" spans="1:13" x14ac:dyDescent="0.25">
      <c r="A197" s="16">
        <v>8.8963391784076706E+19</v>
      </c>
      <c r="B197" s="12">
        <v>2358</v>
      </c>
      <c r="K197" s="15">
        <v>1009</v>
      </c>
      <c r="M197" s="12">
        <v>4001</v>
      </c>
    </row>
    <row r="198" spans="1:13" x14ac:dyDescent="0.25">
      <c r="A198" s="16">
        <v>5.9299303710172619E+19</v>
      </c>
      <c r="B198" s="12">
        <v>653</v>
      </c>
      <c r="K198" s="15">
        <v>1009</v>
      </c>
      <c r="M198" s="12">
        <v>4002</v>
      </c>
    </row>
    <row r="199" spans="1:13" x14ac:dyDescent="0.25">
      <c r="A199" s="16">
        <v>4.8345374037560312E+19</v>
      </c>
      <c r="B199" s="12">
        <v>653</v>
      </c>
      <c r="K199" s="15">
        <v>1009</v>
      </c>
      <c r="M199" s="12">
        <v>4005</v>
      </c>
    </row>
    <row r="200" spans="1:13" x14ac:dyDescent="0.25">
      <c r="A200" s="16">
        <v>7.2671680665105842E+19</v>
      </c>
      <c r="B200" s="12">
        <v>653</v>
      </c>
      <c r="K200" s="15">
        <v>1009</v>
      </c>
      <c r="M200" s="12">
        <v>4006</v>
      </c>
    </row>
    <row r="201" spans="1:13" x14ac:dyDescent="0.25">
      <c r="A201" s="16">
        <v>6.8510278409616073E+19</v>
      </c>
      <c r="B201" s="12">
        <v>19</v>
      </c>
      <c r="K201" s="15">
        <v>1009</v>
      </c>
      <c r="M201" s="12">
        <v>4007</v>
      </c>
    </row>
    <row r="202" spans="1:13" x14ac:dyDescent="0.25">
      <c r="A202" s="16">
        <v>9.3784878419143E+19</v>
      </c>
      <c r="B202" s="12">
        <v>5051</v>
      </c>
      <c r="K202" s="15">
        <v>1009</v>
      </c>
      <c r="M202" s="12">
        <v>4008</v>
      </c>
    </row>
    <row r="203" spans="1:13" x14ac:dyDescent="0.25">
      <c r="A203" s="16">
        <v>6.5410428425639305E+19</v>
      </c>
      <c r="B203" s="12">
        <v>5051</v>
      </c>
      <c r="K203" s="15">
        <v>1009</v>
      </c>
      <c r="M203" s="12">
        <v>4012</v>
      </c>
    </row>
    <row r="204" spans="1:13" x14ac:dyDescent="0.25">
      <c r="A204" s="16">
        <v>9.9279496324272996E+19</v>
      </c>
      <c r="B204" s="12">
        <v>5051</v>
      </c>
      <c r="K204" s="15">
        <v>1009</v>
      </c>
      <c r="M204" s="12">
        <v>4013</v>
      </c>
    </row>
    <row r="205" spans="1:13" x14ac:dyDescent="0.25">
      <c r="A205" s="16">
        <v>2.3349872168987427E+19</v>
      </c>
      <c r="B205" s="12">
        <v>5051</v>
      </c>
      <c r="K205" s="15">
        <v>1009</v>
      </c>
      <c r="M205" s="12">
        <v>4015</v>
      </c>
    </row>
    <row r="206" spans="1:13" x14ac:dyDescent="0.25">
      <c r="A206" s="16">
        <v>1.1172371151901387E+19</v>
      </c>
      <c r="B206" s="12">
        <v>5051</v>
      </c>
      <c r="K206" s="15">
        <v>1009</v>
      </c>
      <c r="M206" s="12">
        <v>4225</v>
      </c>
    </row>
    <row r="207" spans="1:13" x14ac:dyDescent="0.25">
      <c r="A207" s="16">
        <v>4.5235176341434311E+19</v>
      </c>
      <c r="B207" s="12">
        <v>5051</v>
      </c>
      <c r="K207" s="15">
        <v>1009</v>
      </c>
      <c r="M207" s="12">
        <v>4450</v>
      </c>
    </row>
    <row r="208" spans="1:13" x14ac:dyDescent="0.25">
      <c r="A208" s="16">
        <v>5.3014694244798194E+19</v>
      </c>
      <c r="B208" s="12">
        <v>5051</v>
      </c>
      <c r="K208" s="15">
        <v>1009</v>
      </c>
      <c r="M208" s="12">
        <v>5014</v>
      </c>
    </row>
    <row r="209" spans="1:13" x14ac:dyDescent="0.25">
      <c r="A209" s="16">
        <v>1.9945158556869599E+19</v>
      </c>
      <c r="B209" s="12">
        <v>5051</v>
      </c>
      <c r="K209" s="15">
        <v>1009</v>
      </c>
      <c r="M209" s="12">
        <v>5022</v>
      </c>
    </row>
    <row r="210" spans="1:13" x14ac:dyDescent="0.25">
      <c r="A210" s="16">
        <v>9.0567805021720773E+19</v>
      </c>
      <c r="B210" s="12">
        <v>5051</v>
      </c>
      <c r="K210" s="15">
        <v>1009</v>
      </c>
      <c r="M210" s="12">
        <v>5040</v>
      </c>
    </row>
    <row r="211" spans="1:13" x14ac:dyDescent="0.25">
      <c r="A211" s="16">
        <v>6.5172521082807402E+19</v>
      </c>
      <c r="B211" s="12">
        <v>1049</v>
      </c>
      <c r="K211" s="15">
        <v>1009</v>
      </c>
      <c r="M211" s="12">
        <v>5041</v>
      </c>
    </row>
    <row r="212" spans="1:13" x14ac:dyDescent="0.25">
      <c r="A212" s="16">
        <v>1.8015131566469259E+19</v>
      </c>
      <c r="B212" s="12">
        <v>1049</v>
      </c>
      <c r="K212" s="15">
        <v>1009</v>
      </c>
      <c r="M212" s="12">
        <v>5043</v>
      </c>
    </row>
    <row r="213" spans="1:13" x14ac:dyDescent="0.25">
      <c r="A213" s="16">
        <v>2.2641482675322503E+19</v>
      </c>
      <c r="B213" s="12">
        <v>1049</v>
      </c>
      <c r="K213" s="15">
        <v>1009</v>
      </c>
      <c r="M213" s="12">
        <v>5044</v>
      </c>
    </row>
    <row r="214" spans="1:13" x14ac:dyDescent="0.25">
      <c r="A214" s="16">
        <v>4.6463128073126117E+19</v>
      </c>
      <c r="B214" s="12">
        <v>1049</v>
      </c>
      <c r="K214" s="15">
        <v>1009</v>
      </c>
      <c r="M214" s="12">
        <v>5050</v>
      </c>
    </row>
    <row r="215" spans="1:13" x14ac:dyDescent="0.25">
      <c r="A215" s="16">
        <v>5.9679974927738724E+19</v>
      </c>
      <c r="B215" s="12">
        <v>1049</v>
      </c>
      <c r="K215" s="15">
        <v>1009</v>
      </c>
      <c r="M215" s="12">
        <v>5051</v>
      </c>
    </row>
    <row r="216" spans="1:13" x14ac:dyDescent="0.25">
      <c r="A216" s="16">
        <v>9.3439502188880167E+19</v>
      </c>
      <c r="B216" s="12">
        <v>1049</v>
      </c>
      <c r="K216" s="15">
        <v>1009</v>
      </c>
      <c r="M216" s="12">
        <v>5052</v>
      </c>
    </row>
    <row r="217" spans="1:13" x14ac:dyDescent="0.25">
      <c r="A217" s="16">
        <v>9.9698537115276935E+19</v>
      </c>
      <c r="B217" s="12">
        <v>1049</v>
      </c>
      <c r="K217" s="15">
        <v>1009</v>
      </c>
      <c r="M217" s="12">
        <v>5054</v>
      </c>
    </row>
    <row r="218" spans="1:13" x14ac:dyDescent="0.25">
      <c r="A218" s="16">
        <v>7.912331906704425E+19</v>
      </c>
      <c r="B218" s="12">
        <v>1049</v>
      </c>
      <c r="K218" s="15">
        <v>1009</v>
      </c>
      <c r="M218" s="12">
        <v>5057</v>
      </c>
    </row>
    <row r="219" spans="1:13" x14ac:dyDescent="0.25">
      <c r="A219" s="16">
        <v>9.1979534029136724E+19</v>
      </c>
      <c r="B219" s="12">
        <v>1049</v>
      </c>
      <c r="K219" s="15">
        <v>1009</v>
      </c>
      <c r="M219" s="12">
        <v>5058</v>
      </c>
    </row>
    <row r="220" spans="1:13" x14ac:dyDescent="0.25">
      <c r="A220" s="16">
        <v>7.7724100074300686E+19</v>
      </c>
      <c r="B220" s="12">
        <v>1049</v>
      </c>
      <c r="K220" s="15">
        <v>1009</v>
      </c>
      <c r="M220" s="12">
        <v>5069</v>
      </c>
    </row>
    <row r="221" spans="1:13" x14ac:dyDescent="0.25">
      <c r="A221" s="16">
        <v>5.0907495075943883E+19</v>
      </c>
      <c r="B221" s="12">
        <v>1049</v>
      </c>
      <c r="K221" s="15">
        <v>5043</v>
      </c>
      <c r="M221" s="12">
        <v>5070</v>
      </c>
    </row>
    <row r="222" spans="1:13" x14ac:dyDescent="0.25">
      <c r="A222" s="16">
        <v>3.5411188714033037E+19</v>
      </c>
      <c r="B222" s="12">
        <v>1049</v>
      </c>
      <c r="K222" s="15">
        <v>5043</v>
      </c>
      <c r="M222" s="12">
        <v>5075</v>
      </c>
    </row>
    <row r="223" spans="1:13" x14ac:dyDescent="0.25">
      <c r="A223" s="16">
        <v>5.9003973324729442E+19</v>
      </c>
      <c r="B223" s="12">
        <v>5051</v>
      </c>
      <c r="K223" s="15">
        <v>5043</v>
      </c>
      <c r="M223" s="12">
        <v>5085</v>
      </c>
    </row>
    <row r="224" spans="1:13" x14ac:dyDescent="0.25">
      <c r="A224" s="16">
        <v>4.6021370583996522E+19</v>
      </c>
      <c r="B224" s="12">
        <v>339</v>
      </c>
      <c r="K224" s="15">
        <v>5043</v>
      </c>
      <c r="M224" s="12">
        <v>5089</v>
      </c>
    </row>
    <row r="225" spans="1:13" x14ac:dyDescent="0.25">
      <c r="A225" s="16">
        <v>3.9827323721941082E+19</v>
      </c>
      <c r="B225" s="12">
        <v>339</v>
      </c>
      <c r="K225" s="15">
        <v>5043</v>
      </c>
      <c r="M225" s="12">
        <v>5091</v>
      </c>
    </row>
    <row r="226" spans="1:13" x14ac:dyDescent="0.25">
      <c r="A226" s="16">
        <v>5.3628696908538626E+19</v>
      </c>
      <c r="B226" s="12">
        <v>339</v>
      </c>
      <c r="K226" s="15">
        <v>5043</v>
      </c>
      <c r="M226" s="12">
        <v>5094</v>
      </c>
    </row>
    <row r="227" spans="1:13" x14ac:dyDescent="0.25">
      <c r="A227" s="16">
        <v>1.5002503249451606E+19</v>
      </c>
      <c r="B227" s="12">
        <v>339</v>
      </c>
      <c r="K227" s="15">
        <v>5043</v>
      </c>
      <c r="M227" s="12">
        <v>7122</v>
      </c>
    </row>
    <row r="228" spans="1:13" x14ac:dyDescent="0.25">
      <c r="A228" s="16">
        <v>7.6915103597934117E+19</v>
      </c>
      <c r="B228" s="12">
        <v>339</v>
      </c>
      <c r="K228" s="15">
        <v>5043</v>
      </c>
      <c r="M228" s="12">
        <v>7128</v>
      </c>
    </row>
    <row r="229" spans="1:13" x14ac:dyDescent="0.25">
      <c r="A229" s="16">
        <v>4.2760681336938267E+19</v>
      </c>
      <c r="B229" s="12">
        <v>339</v>
      </c>
      <c r="K229" s="15">
        <v>5043</v>
      </c>
      <c r="M229" s="12">
        <v>8124</v>
      </c>
    </row>
    <row r="230" spans="1:13" x14ac:dyDescent="0.25">
      <c r="A230" s="16">
        <v>9.404564557424468E+19</v>
      </c>
      <c r="B230" s="12">
        <v>339</v>
      </c>
      <c r="K230" s="15">
        <v>5043</v>
      </c>
      <c r="M230" s="12">
        <v>8128</v>
      </c>
    </row>
    <row r="231" spans="1:13" x14ac:dyDescent="0.25">
      <c r="A231" s="16">
        <v>5.3207685767634272E+19</v>
      </c>
      <c r="B231" s="12">
        <v>339</v>
      </c>
      <c r="K231" s="15">
        <v>5043</v>
      </c>
      <c r="M231" s="12">
        <v>8222</v>
      </c>
    </row>
    <row r="232" spans="1:13" x14ac:dyDescent="0.25">
      <c r="A232" s="16">
        <v>6.8058312651590001E+19</v>
      </c>
      <c r="B232" s="12">
        <v>339</v>
      </c>
      <c r="K232" s="15">
        <v>5043</v>
      </c>
      <c r="M232" s="12">
        <v>8226</v>
      </c>
    </row>
    <row r="233" spans="1:13" x14ac:dyDescent="0.25">
      <c r="A233" s="16">
        <v>5.4358710140269404E+19</v>
      </c>
      <c r="B233" s="12">
        <v>339</v>
      </c>
      <c r="K233" s="15">
        <v>5043</v>
      </c>
      <c r="M233" s="12">
        <v>9040</v>
      </c>
    </row>
    <row r="234" spans="1:13" x14ac:dyDescent="0.25">
      <c r="A234" s="16">
        <v>5.5277323344230924E+19</v>
      </c>
      <c r="B234" s="12">
        <v>3004</v>
      </c>
      <c r="K234" s="15">
        <v>5043</v>
      </c>
      <c r="M234" s="12">
        <v>9044</v>
      </c>
    </row>
    <row r="235" spans="1:13" x14ac:dyDescent="0.25">
      <c r="A235" s="16">
        <v>7.5983589280597869E+19</v>
      </c>
      <c r="B235" s="12">
        <v>3004</v>
      </c>
      <c r="K235" s="15">
        <v>5043</v>
      </c>
      <c r="M235" s="12">
        <v>19058</v>
      </c>
    </row>
    <row r="236" spans="1:13" x14ac:dyDescent="0.25">
      <c r="A236" s="16">
        <v>2.2417689990544331E+19</v>
      </c>
      <c r="B236" s="12">
        <v>3004</v>
      </c>
      <c r="K236" s="15">
        <v>5043</v>
      </c>
      <c r="M236" s="12">
        <v>26007</v>
      </c>
    </row>
    <row r="237" spans="1:13" x14ac:dyDescent="0.25">
      <c r="A237" s="16">
        <v>1.3096803643540324E+19</v>
      </c>
      <c r="B237" s="12">
        <v>336</v>
      </c>
      <c r="K237" s="15">
        <v>5043</v>
      </c>
      <c r="M237" s="12">
        <v>26008</v>
      </c>
    </row>
    <row r="238" spans="1:13" x14ac:dyDescent="0.25">
      <c r="A238" s="16">
        <v>4.4653072834825896E+19</v>
      </c>
      <c r="B238" s="12">
        <v>336</v>
      </c>
      <c r="K238" s="15">
        <v>5043</v>
      </c>
      <c r="M238" s="12">
        <v>26009</v>
      </c>
    </row>
    <row r="239" spans="1:13" x14ac:dyDescent="0.25">
      <c r="A239" s="16">
        <v>2.8238810669640094E+19</v>
      </c>
      <c r="B239" s="12">
        <v>336</v>
      </c>
      <c r="K239" s="15">
        <v>5043</v>
      </c>
      <c r="M239" s="12">
        <v>26114</v>
      </c>
    </row>
    <row r="240" spans="1:13" x14ac:dyDescent="0.25">
      <c r="A240" s="16">
        <v>8.5845933386172842E+19</v>
      </c>
      <c r="B240" s="12">
        <v>336</v>
      </c>
      <c r="K240" s="15">
        <v>5043</v>
      </c>
      <c r="M240" s="12">
        <v>26164</v>
      </c>
    </row>
    <row r="241" spans="1:13" x14ac:dyDescent="0.25">
      <c r="A241" s="16">
        <v>8.0994211620669424E+19</v>
      </c>
      <c r="B241" s="12">
        <v>336</v>
      </c>
      <c r="K241" s="15">
        <v>5043</v>
      </c>
      <c r="M241" s="12">
        <v>26312</v>
      </c>
    </row>
    <row r="242" spans="1:13" x14ac:dyDescent="0.25">
      <c r="A242" s="16">
        <v>1.174655766719379E+19</v>
      </c>
      <c r="B242" s="12">
        <v>336</v>
      </c>
      <c r="K242" s="15">
        <v>5043</v>
      </c>
      <c r="M242" s="12">
        <v>26314</v>
      </c>
    </row>
    <row r="243" spans="1:13" x14ac:dyDescent="0.25">
      <c r="A243" s="16">
        <v>7.6679249536367526E+19</v>
      </c>
      <c r="B243" s="12">
        <v>165</v>
      </c>
      <c r="K243" s="15">
        <v>5043</v>
      </c>
      <c r="M243" s="12">
        <v>26512</v>
      </c>
    </row>
    <row r="244" spans="1:13" x14ac:dyDescent="0.25">
      <c r="A244" s="16">
        <v>1.352469821042662E+19</v>
      </c>
      <c r="B244" s="12">
        <v>165</v>
      </c>
      <c r="K244" s="15">
        <v>5043</v>
      </c>
    </row>
    <row r="245" spans="1:13" x14ac:dyDescent="0.25">
      <c r="A245" s="16">
        <v>1.8534432861462028E+19</v>
      </c>
      <c r="B245" s="12">
        <v>165</v>
      </c>
      <c r="K245" s="15">
        <v>5043</v>
      </c>
    </row>
    <row r="246" spans="1:13" x14ac:dyDescent="0.25">
      <c r="A246" s="16">
        <v>6.9161670188558836E+19</v>
      </c>
      <c r="B246" s="12">
        <v>166</v>
      </c>
      <c r="K246" s="15">
        <v>5043</v>
      </c>
    </row>
    <row r="247" spans="1:13" x14ac:dyDescent="0.25">
      <c r="A247" s="16">
        <v>3.6109748095656526E+19</v>
      </c>
      <c r="B247" s="12">
        <v>166</v>
      </c>
      <c r="K247" s="15">
        <v>5043</v>
      </c>
    </row>
    <row r="248" spans="1:13" x14ac:dyDescent="0.25">
      <c r="A248" s="16">
        <v>5.1365937401749348E+19</v>
      </c>
      <c r="B248" s="12">
        <v>166</v>
      </c>
      <c r="K248" s="15">
        <v>5043</v>
      </c>
    </row>
    <row r="249" spans="1:13" x14ac:dyDescent="0.25">
      <c r="A249" s="16">
        <v>4.6244283148107317E+19</v>
      </c>
      <c r="B249" s="12">
        <v>167</v>
      </c>
      <c r="K249" s="15">
        <v>5043</v>
      </c>
    </row>
    <row r="250" spans="1:13" x14ac:dyDescent="0.25">
      <c r="A250" s="16">
        <v>8.2714866534519538E+19</v>
      </c>
      <c r="B250" s="12">
        <v>167</v>
      </c>
      <c r="K250" s="15">
        <v>5043</v>
      </c>
    </row>
    <row r="251" spans="1:13" x14ac:dyDescent="0.25">
      <c r="A251" s="16">
        <v>7.8194802115104637E+19</v>
      </c>
      <c r="B251" s="12">
        <v>167</v>
      </c>
      <c r="K251" s="15">
        <v>5043</v>
      </c>
    </row>
    <row r="252" spans="1:13" x14ac:dyDescent="0.25">
      <c r="A252" s="16">
        <v>2.173340107049898E+19</v>
      </c>
      <c r="B252" s="12">
        <v>339</v>
      </c>
      <c r="K252" s="15">
        <v>5043</v>
      </c>
    </row>
    <row r="253" spans="1:13" x14ac:dyDescent="0.25">
      <c r="A253" s="16">
        <v>7.9649549115766669E+19</v>
      </c>
      <c r="B253" s="12">
        <v>340</v>
      </c>
      <c r="K253" s="15">
        <v>5043</v>
      </c>
    </row>
    <row r="254" spans="1:13" x14ac:dyDescent="0.25">
      <c r="A254" s="16">
        <v>7.5518710144045384E+19</v>
      </c>
      <c r="B254" s="12">
        <v>340</v>
      </c>
      <c r="K254" s="15">
        <v>5043</v>
      </c>
    </row>
    <row r="255" spans="1:13" x14ac:dyDescent="0.25">
      <c r="A255" s="16">
        <v>4.2681618826640736E+19</v>
      </c>
      <c r="B255" s="12">
        <v>340</v>
      </c>
      <c r="K255" s="15">
        <v>5043</v>
      </c>
    </row>
    <row r="256" spans="1:13" x14ac:dyDescent="0.25">
      <c r="A256" s="16">
        <v>9.090802743893531E+19</v>
      </c>
      <c r="B256" s="12">
        <v>340</v>
      </c>
      <c r="K256" s="15">
        <v>5043</v>
      </c>
    </row>
    <row r="257" spans="1:11" x14ac:dyDescent="0.25">
      <c r="A257" s="16">
        <v>1.3338046473677492E+19</v>
      </c>
      <c r="B257" s="12">
        <v>340</v>
      </c>
      <c r="K257" s="15">
        <v>5043</v>
      </c>
    </row>
    <row r="258" spans="1:11" x14ac:dyDescent="0.25">
      <c r="A258" s="16">
        <v>1.2125094182973174E+19</v>
      </c>
      <c r="B258" s="12">
        <v>340</v>
      </c>
      <c r="K258" s="15">
        <v>5043</v>
      </c>
    </row>
    <row r="259" spans="1:11" x14ac:dyDescent="0.25">
      <c r="A259" s="16">
        <v>5.7388292113775526E+19</v>
      </c>
      <c r="B259" s="12">
        <v>5043</v>
      </c>
      <c r="K259" s="15">
        <v>5043</v>
      </c>
    </row>
    <row r="260" spans="1:11" x14ac:dyDescent="0.25">
      <c r="A260" s="16">
        <v>3.2318666049563128E+19</v>
      </c>
      <c r="B260" s="12">
        <v>5043</v>
      </c>
      <c r="K260" s="15">
        <v>5043</v>
      </c>
    </row>
    <row r="261" spans="1:11" x14ac:dyDescent="0.25">
      <c r="A261" s="16">
        <v>4.5899627745569358E+19</v>
      </c>
      <c r="B261" s="12">
        <v>5043</v>
      </c>
      <c r="K261" s="15">
        <v>5043</v>
      </c>
    </row>
    <row r="262" spans="1:11" x14ac:dyDescent="0.25">
      <c r="A262" s="16">
        <v>1.0486610100796789E+19</v>
      </c>
      <c r="B262" s="12">
        <v>5043</v>
      </c>
      <c r="K262" s="15">
        <v>5043</v>
      </c>
    </row>
    <row r="263" spans="1:11" x14ac:dyDescent="0.25">
      <c r="A263" s="16">
        <v>1.6279711397829374E+19</v>
      </c>
      <c r="B263" s="12">
        <v>5043</v>
      </c>
      <c r="K263" s="15">
        <v>5043</v>
      </c>
    </row>
    <row r="264" spans="1:11" x14ac:dyDescent="0.25">
      <c r="A264" s="16">
        <v>4.8084197797110374E+19</v>
      </c>
      <c r="B264" s="12">
        <v>5043</v>
      </c>
      <c r="K264" s="15">
        <v>5043</v>
      </c>
    </row>
    <row r="265" spans="1:11" x14ac:dyDescent="0.25">
      <c r="A265" s="16">
        <v>2.9145579617756324E+19</v>
      </c>
      <c r="B265" s="12">
        <v>5043</v>
      </c>
      <c r="K265" s="15">
        <v>5043</v>
      </c>
    </row>
    <row r="266" spans="1:11" x14ac:dyDescent="0.25">
      <c r="A266" s="16">
        <v>6.4000161044445069E+19</v>
      </c>
      <c r="B266" s="12">
        <v>5043</v>
      </c>
      <c r="K266" s="15">
        <v>5043</v>
      </c>
    </row>
    <row r="267" spans="1:11" x14ac:dyDescent="0.25">
      <c r="A267" s="16">
        <v>2.2381315527405421E+19</v>
      </c>
      <c r="B267" s="12">
        <v>5043</v>
      </c>
      <c r="K267" s="15">
        <v>5043</v>
      </c>
    </row>
    <row r="268" spans="1:11" x14ac:dyDescent="0.25">
      <c r="A268" s="16">
        <v>2.9935842336873206E+19</v>
      </c>
      <c r="B268" s="12">
        <v>5043</v>
      </c>
      <c r="K268" s="15">
        <v>5043</v>
      </c>
    </row>
    <row r="269" spans="1:11" x14ac:dyDescent="0.25">
      <c r="A269" s="16">
        <v>5.7309307473499185E+19</v>
      </c>
      <c r="B269" s="12">
        <v>5043</v>
      </c>
      <c r="K269" s="15">
        <v>5043</v>
      </c>
    </row>
    <row r="270" spans="1:11" x14ac:dyDescent="0.25">
      <c r="A270" s="16">
        <v>5.8504121792000868E+19</v>
      </c>
      <c r="B270" s="12">
        <v>1045</v>
      </c>
      <c r="K270" s="15">
        <v>5043</v>
      </c>
    </row>
    <row r="271" spans="1:11" x14ac:dyDescent="0.25">
      <c r="A271" s="16">
        <v>5.0529549826792292E+19</v>
      </c>
      <c r="B271" s="12">
        <v>1045</v>
      </c>
      <c r="K271" s="15">
        <v>5043</v>
      </c>
    </row>
    <row r="272" spans="1:11" x14ac:dyDescent="0.25">
      <c r="A272" s="16">
        <v>4.2413331484100674E+19</v>
      </c>
      <c r="B272" s="12">
        <v>1045</v>
      </c>
      <c r="K272" s="15">
        <v>5043</v>
      </c>
    </row>
    <row r="273" spans="1:11" x14ac:dyDescent="0.25">
      <c r="A273" s="16">
        <v>4.3156463123322896E+19</v>
      </c>
      <c r="B273" s="12">
        <v>1045</v>
      </c>
      <c r="K273" s="15">
        <v>1026</v>
      </c>
    </row>
    <row r="274" spans="1:11" x14ac:dyDescent="0.25">
      <c r="A274" s="16">
        <v>8.3520847823892578E+19</v>
      </c>
      <c r="B274" s="12">
        <v>1045</v>
      </c>
      <c r="K274" s="15">
        <v>1026</v>
      </c>
    </row>
    <row r="275" spans="1:11" x14ac:dyDescent="0.25">
      <c r="A275" s="16">
        <v>8.4247816965657625E+19</v>
      </c>
      <c r="B275" s="12">
        <v>1045</v>
      </c>
      <c r="K275" s="15">
        <v>1026</v>
      </c>
    </row>
    <row r="276" spans="1:11" x14ac:dyDescent="0.25">
      <c r="A276" s="16">
        <v>5.7380623490027774E+19</v>
      </c>
      <c r="B276" s="12">
        <v>1058</v>
      </c>
      <c r="K276" s="15">
        <v>1026</v>
      </c>
    </row>
    <row r="277" spans="1:11" x14ac:dyDescent="0.25">
      <c r="A277" s="16">
        <v>2.7749586302336963E+19</v>
      </c>
      <c r="B277" s="12">
        <v>1058</v>
      </c>
      <c r="K277" s="15">
        <v>1026</v>
      </c>
    </row>
    <row r="278" spans="1:11" x14ac:dyDescent="0.25">
      <c r="A278" s="16">
        <v>1.8419962873368926E+19</v>
      </c>
      <c r="B278" s="12">
        <v>1058</v>
      </c>
      <c r="K278" s="15">
        <v>1026</v>
      </c>
    </row>
    <row r="279" spans="1:11" x14ac:dyDescent="0.25">
      <c r="A279" s="16">
        <v>9.843959916943437E+19</v>
      </c>
      <c r="B279" s="12">
        <v>1058</v>
      </c>
      <c r="K279" s="15">
        <v>1026</v>
      </c>
    </row>
    <row r="280" spans="1:11" x14ac:dyDescent="0.25">
      <c r="A280" s="16">
        <v>2.5192264862515757E+19</v>
      </c>
      <c r="B280" s="12">
        <v>1058</v>
      </c>
      <c r="K280" s="15">
        <v>1026</v>
      </c>
    </row>
    <row r="281" spans="1:11" x14ac:dyDescent="0.25">
      <c r="A281" s="16">
        <v>7.6943613700024009E+19</v>
      </c>
      <c r="B281" s="12">
        <v>1058</v>
      </c>
      <c r="K281" s="15">
        <v>1026</v>
      </c>
    </row>
    <row r="282" spans="1:11" x14ac:dyDescent="0.25">
      <c r="A282" s="16">
        <v>9.4870952442929447E+19</v>
      </c>
      <c r="B282" s="12">
        <v>1058</v>
      </c>
      <c r="K282" s="15">
        <v>1026</v>
      </c>
    </row>
    <row r="283" spans="1:11" x14ac:dyDescent="0.25">
      <c r="A283" s="16">
        <v>1.393117730368246E+19</v>
      </c>
      <c r="B283" s="12">
        <v>1058</v>
      </c>
      <c r="K283" s="15">
        <v>1026</v>
      </c>
    </row>
    <row r="284" spans="1:11" x14ac:dyDescent="0.25">
      <c r="A284" s="16">
        <v>3.4740693163753411E+19</v>
      </c>
      <c r="B284" s="12">
        <v>1058</v>
      </c>
      <c r="K284" s="15">
        <v>1026</v>
      </c>
    </row>
    <row r="285" spans="1:11" x14ac:dyDescent="0.25">
      <c r="A285" s="16">
        <v>8.4209110727181763E+19</v>
      </c>
      <c r="B285" s="12">
        <v>1058</v>
      </c>
      <c r="K285" s="15">
        <v>1026</v>
      </c>
    </row>
    <row r="286" spans="1:11" x14ac:dyDescent="0.25">
      <c r="A286" s="16">
        <v>7.7587474056539144E+19</v>
      </c>
      <c r="B286" s="12">
        <v>1058</v>
      </c>
      <c r="K286" s="15">
        <v>1026</v>
      </c>
    </row>
    <row r="287" spans="1:11" x14ac:dyDescent="0.25">
      <c r="A287" s="16">
        <v>1.1755291675562899E+19</v>
      </c>
      <c r="B287" s="12">
        <v>1058</v>
      </c>
      <c r="K287" s="15">
        <v>1026</v>
      </c>
    </row>
    <row r="288" spans="1:11" x14ac:dyDescent="0.25">
      <c r="A288" s="16">
        <v>2.2309750186651734E+19</v>
      </c>
      <c r="B288" s="12">
        <v>1058</v>
      </c>
      <c r="K288" s="15">
        <v>1026</v>
      </c>
    </row>
    <row r="289" spans="1:11" x14ac:dyDescent="0.25">
      <c r="A289" s="16">
        <v>9.3520152799645549E+19</v>
      </c>
      <c r="B289" s="12">
        <v>1058</v>
      </c>
      <c r="K289" s="15">
        <v>1026</v>
      </c>
    </row>
    <row r="290" spans="1:11" x14ac:dyDescent="0.25">
      <c r="A290" s="16">
        <v>8.4960168527191998E+19</v>
      </c>
      <c r="B290" s="12">
        <v>1058</v>
      </c>
      <c r="K290" s="15">
        <v>1026</v>
      </c>
    </row>
    <row r="291" spans="1:11" x14ac:dyDescent="0.25">
      <c r="A291" s="16">
        <v>9.463351169990348E+19</v>
      </c>
      <c r="B291" s="12">
        <v>1058</v>
      </c>
      <c r="K291" s="15">
        <v>1026</v>
      </c>
    </row>
    <row r="292" spans="1:11" x14ac:dyDescent="0.25">
      <c r="A292" s="16">
        <v>1.7568662447677553E+19</v>
      </c>
      <c r="B292" s="12">
        <v>5052</v>
      </c>
      <c r="K292" s="15">
        <v>1026</v>
      </c>
    </row>
    <row r="293" spans="1:11" x14ac:dyDescent="0.25">
      <c r="A293" s="16">
        <v>9.0335352405429174E+19</v>
      </c>
      <c r="B293" s="12">
        <v>5052</v>
      </c>
      <c r="K293" s="15">
        <v>1026</v>
      </c>
    </row>
    <row r="294" spans="1:11" x14ac:dyDescent="0.25">
      <c r="A294" s="16">
        <v>8.6532612707255861E+19</v>
      </c>
      <c r="B294" s="12">
        <v>5052</v>
      </c>
      <c r="K294" s="15">
        <v>1026</v>
      </c>
    </row>
    <row r="295" spans="1:11" x14ac:dyDescent="0.25">
      <c r="A295" s="16">
        <v>2.8755762309501571E+19</v>
      </c>
      <c r="B295" s="12">
        <v>5052</v>
      </c>
      <c r="K295" s="15">
        <v>1026</v>
      </c>
    </row>
    <row r="296" spans="1:11" x14ac:dyDescent="0.25">
      <c r="A296" s="16">
        <v>8.3533888292400579E+19</v>
      </c>
      <c r="B296" s="12">
        <v>342</v>
      </c>
      <c r="K296" s="15">
        <v>1026</v>
      </c>
    </row>
    <row r="297" spans="1:11" x14ac:dyDescent="0.25">
      <c r="A297" s="16">
        <v>1.9153617136774885E+19</v>
      </c>
      <c r="B297" s="12">
        <v>342</v>
      </c>
      <c r="K297" s="15">
        <v>1026</v>
      </c>
    </row>
    <row r="298" spans="1:11" x14ac:dyDescent="0.25">
      <c r="A298" s="16">
        <v>3.8599355855948448E+19</v>
      </c>
      <c r="B298" s="12">
        <v>342</v>
      </c>
      <c r="K298" s="15">
        <v>1026</v>
      </c>
    </row>
    <row r="299" spans="1:11" x14ac:dyDescent="0.25">
      <c r="A299" s="16">
        <v>7.8056821657396773E+19</v>
      </c>
      <c r="B299" s="12">
        <v>342</v>
      </c>
      <c r="K299" s="15">
        <v>1026</v>
      </c>
    </row>
    <row r="300" spans="1:11" x14ac:dyDescent="0.25">
      <c r="A300" s="16">
        <v>4.4376387823580086E+19</v>
      </c>
      <c r="B300" s="12">
        <v>170</v>
      </c>
      <c r="K300" s="15">
        <v>1026</v>
      </c>
    </row>
    <row r="301" spans="1:11" x14ac:dyDescent="0.25">
      <c r="A301" s="16">
        <v>4.6514117586975269E+19</v>
      </c>
      <c r="B301" s="12">
        <v>170</v>
      </c>
      <c r="K301" s="15">
        <v>5022</v>
      </c>
    </row>
    <row r="302" spans="1:11" x14ac:dyDescent="0.25">
      <c r="A302" s="16">
        <v>5.8518666472687862E+19</v>
      </c>
      <c r="B302" s="12">
        <v>170</v>
      </c>
      <c r="K302" s="15">
        <v>5022</v>
      </c>
    </row>
    <row r="303" spans="1:11" x14ac:dyDescent="0.25">
      <c r="A303" s="16">
        <v>8.8704175990423192E+19</v>
      </c>
      <c r="B303" s="12">
        <v>1050</v>
      </c>
      <c r="K303" s="15">
        <v>5022</v>
      </c>
    </row>
    <row r="304" spans="1:11" x14ac:dyDescent="0.25">
      <c r="A304" s="16">
        <v>4.9181082690572476E+19</v>
      </c>
      <c r="B304" s="12">
        <v>1050</v>
      </c>
      <c r="K304" s="15">
        <v>5022</v>
      </c>
    </row>
    <row r="305" spans="1:11" x14ac:dyDescent="0.25">
      <c r="A305" s="16">
        <v>1.8497705213671649E+19</v>
      </c>
      <c r="B305" s="12">
        <v>1050</v>
      </c>
      <c r="K305" s="15">
        <v>5022</v>
      </c>
    </row>
    <row r="306" spans="1:11" x14ac:dyDescent="0.25">
      <c r="A306" s="16">
        <v>7.3021945025507205E+19</v>
      </c>
      <c r="B306" s="12">
        <v>1050</v>
      </c>
      <c r="K306" s="15">
        <v>5022</v>
      </c>
    </row>
    <row r="307" spans="1:11" x14ac:dyDescent="0.25">
      <c r="A307" s="16">
        <v>5.2758881369648947E+19</v>
      </c>
      <c r="B307" s="12">
        <v>1050</v>
      </c>
      <c r="K307" s="15">
        <v>5022</v>
      </c>
    </row>
    <row r="308" spans="1:11" x14ac:dyDescent="0.25">
      <c r="A308" s="16">
        <v>8.7859504894855741E+19</v>
      </c>
      <c r="B308" s="12">
        <v>1050</v>
      </c>
      <c r="K308" s="15">
        <v>5022</v>
      </c>
    </row>
    <row r="309" spans="1:11" x14ac:dyDescent="0.25">
      <c r="A309" s="16">
        <v>5.0069896535166951E+19</v>
      </c>
      <c r="B309" s="12">
        <v>1050</v>
      </c>
      <c r="K309" s="15">
        <v>5022</v>
      </c>
    </row>
    <row r="310" spans="1:11" x14ac:dyDescent="0.25">
      <c r="A310" s="16">
        <v>4.8716764887123116E+19</v>
      </c>
      <c r="B310" s="12">
        <v>1050</v>
      </c>
      <c r="K310" s="15">
        <v>5022</v>
      </c>
    </row>
    <row r="311" spans="1:11" x14ac:dyDescent="0.25">
      <c r="A311" s="16">
        <v>3.4081341593504801E+19</v>
      </c>
      <c r="B311" s="12">
        <v>1050</v>
      </c>
      <c r="K311" s="15">
        <v>5022</v>
      </c>
    </row>
    <row r="312" spans="1:11" x14ac:dyDescent="0.25">
      <c r="A312" s="16">
        <v>2.5610966863175037E+19</v>
      </c>
      <c r="B312" s="12">
        <v>1050</v>
      </c>
      <c r="K312" s="15">
        <v>5022</v>
      </c>
    </row>
    <row r="313" spans="1:11" x14ac:dyDescent="0.25">
      <c r="A313" s="16">
        <v>8.8370069494060368E+19</v>
      </c>
      <c r="B313" s="12">
        <v>1050</v>
      </c>
      <c r="K313" s="15">
        <v>5022</v>
      </c>
    </row>
    <row r="314" spans="1:11" x14ac:dyDescent="0.25">
      <c r="A314" s="16">
        <v>4.7329494197572125E+19</v>
      </c>
      <c r="B314" s="12">
        <v>1050</v>
      </c>
      <c r="K314" s="15">
        <v>5022</v>
      </c>
    </row>
    <row r="315" spans="1:11" x14ac:dyDescent="0.25">
      <c r="A315" s="16">
        <v>8.6965426418277089E+19</v>
      </c>
      <c r="B315" s="12">
        <v>1050</v>
      </c>
      <c r="K315" s="15">
        <v>5022</v>
      </c>
    </row>
    <row r="316" spans="1:11" x14ac:dyDescent="0.25">
      <c r="A316" s="16">
        <v>4.1942793692792193E+19</v>
      </c>
      <c r="B316" s="12">
        <v>1050</v>
      </c>
      <c r="K316" s="15">
        <v>5022</v>
      </c>
    </row>
    <row r="317" spans="1:11" x14ac:dyDescent="0.25">
      <c r="A317" s="16">
        <v>4.1744950582339486E+19</v>
      </c>
      <c r="B317" s="12">
        <v>1050</v>
      </c>
      <c r="K317" s="15">
        <v>5022</v>
      </c>
    </row>
    <row r="318" spans="1:11" x14ac:dyDescent="0.25">
      <c r="A318" s="16">
        <v>3.2219776195487523E+19</v>
      </c>
      <c r="B318" s="12">
        <v>1050</v>
      </c>
      <c r="K318" s="15">
        <v>5022</v>
      </c>
    </row>
    <row r="319" spans="1:11" x14ac:dyDescent="0.25">
      <c r="A319" s="16">
        <v>2.2740369430232695E+19</v>
      </c>
      <c r="B319" s="12">
        <v>1009</v>
      </c>
      <c r="K319" s="15">
        <v>5022</v>
      </c>
    </row>
    <row r="320" spans="1:11" x14ac:dyDescent="0.25">
      <c r="A320" s="16">
        <v>6.6481383790628045E+19</v>
      </c>
      <c r="B320" s="12">
        <v>1009</v>
      </c>
      <c r="K320" s="15">
        <v>5022</v>
      </c>
    </row>
    <row r="321" spans="1:11" x14ac:dyDescent="0.25">
      <c r="A321" s="16">
        <v>6.0324744647613432E+19</v>
      </c>
      <c r="B321" s="12">
        <v>1009</v>
      </c>
      <c r="K321" s="15">
        <v>5022</v>
      </c>
    </row>
    <row r="322" spans="1:11" x14ac:dyDescent="0.25">
      <c r="A322" s="16">
        <v>9.8296948637822468E+19</v>
      </c>
      <c r="B322" s="12">
        <v>1009</v>
      </c>
      <c r="K322" s="15">
        <v>5022</v>
      </c>
    </row>
    <row r="323" spans="1:11" x14ac:dyDescent="0.25">
      <c r="A323" s="16">
        <v>5.8862229728341295E+19</v>
      </c>
      <c r="B323" s="12">
        <v>1009</v>
      </c>
      <c r="K323" s="15">
        <v>5022</v>
      </c>
    </row>
    <row r="324" spans="1:11" x14ac:dyDescent="0.25">
      <c r="A324" s="16">
        <v>6.3079830729723355E+19</v>
      </c>
      <c r="B324" s="12">
        <v>1009</v>
      </c>
      <c r="K324" s="15">
        <v>5022</v>
      </c>
    </row>
    <row r="325" spans="1:11" x14ac:dyDescent="0.25">
      <c r="A325" s="16">
        <v>9.8325964844923847E+19</v>
      </c>
      <c r="B325" s="12">
        <v>1009</v>
      </c>
      <c r="K325" s="15">
        <v>5022</v>
      </c>
    </row>
    <row r="326" spans="1:11" x14ac:dyDescent="0.25">
      <c r="A326" s="16">
        <v>5.8939285488334578E+19</v>
      </c>
      <c r="B326" s="12">
        <v>1009</v>
      </c>
      <c r="K326" s="15">
        <v>5022</v>
      </c>
    </row>
    <row r="327" spans="1:11" x14ac:dyDescent="0.25">
      <c r="A327" s="16">
        <v>4.9054101880604287E+19</v>
      </c>
      <c r="B327" s="12">
        <v>1009</v>
      </c>
      <c r="K327" s="15">
        <v>5022</v>
      </c>
    </row>
    <row r="328" spans="1:11" x14ac:dyDescent="0.25">
      <c r="A328" s="16">
        <v>8.4934084883863323E+19</v>
      </c>
      <c r="B328" s="12">
        <v>1009</v>
      </c>
      <c r="K328" s="15">
        <v>1045</v>
      </c>
    </row>
    <row r="329" spans="1:11" x14ac:dyDescent="0.25">
      <c r="A329" s="16">
        <v>8.354512399866839E+19</v>
      </c>
      <c r="B329" s="12">
        <v>1009</v>
      </c>
      <c r="K329" s="15">
        <v>1045</v>
      </c>
    </row>
    <row r="330" spans="1:11" x14ac:dyDescent="0.25">
      <c r="A330" s="16">
        <v>8.3458118587936473E+19</v>
      </c>
      <c r="B330" s="12">
        <v>1009</v>
      </c>
      <c r="K330" s="15">
        <v>1045</v>
      </c>
    </row>
    <row r="331" spans="1:11" x14ac:dyDescent="0.25">
      <c r="A331" s="16">
        <v>8.1779107227162247E+19</v>
      </c>
      <c r="B331" s="12">
        <v>1059</v>
      </c>
      <c r="K331" s="15">
        <v>1045</v>
      </c>
    </row>
    <row r="332" spans="1:11" x14ac:dyDescent="0.25">
      <c r="A332" s="16">
        <v>8.2514338067367166E+19</v>
      </c>
      <c r="B332" s="12">
        <v>1059</v>
      </c>
      <c r="K332" s="15">
        <v>1045</v>
      </c>
    </row>
    <row r="333" spans="1:11" x14ac:dyDescent="0.25">
      <c r="A333" s="16">
        <v>1.5101079400451768E+19</v>
      </c>
      <c r="B333" s="12">
        <v>1059</v>
      </c>
      <c r="K333" s="15">
        <v>1045</v>
      </c>
    </row>
    <row r="334" spans="1:11" x14ac:dyDescent="0.25">
      <c r="A334" s="16">
        <v>7.6482193046145073E+19</v>
      </c>
      <c r="B334" s="12">
        <v>1059</v>
      </c>
      <c r="K334" s="15">
        <v>1045</v>
      </c>
    </row>
    <row r="335" spans="1:11" x14ac:dyDescent="0.25">
      <c r="A335" s="16">
        <v>4.2584159994230555E+19</v>
      </c>
      <c r="B335" s="12">
        <v>1059</v>
      </c>
      <c r="K335" s="15">
        <v>1045</v>
      </c>
    </row>
    <row r="336" spans="1:11" x14ac:dyDescent="0.25">
      <c r="A336" s="16">
        <v>8.4434058316454117E+19</v>
      </c>
      <c r="B336" s="12">
        <v>1059</v>
      </c>
      <c r="K336" s="15">
        <v>1045</v>
      </c>
    </row>
    <row r="337" spans="1:11" x14ac:dyDescent="0.25">
      <c r="A337" s="16">
        <v>9.4271556949046886E+19</v>
      </c>
      <c r="B337" s="12">
        <v>1059</v>
      </c>
      <c r="K337" s="15">
        <v>1045</v>
      </c>
    </row>
    <row r="338" spans="1:11" x14ac:dyDescent="0.25">
      <c r="A338" s="16">
        <v>4.7863148063794717E+19</v>
      </c>
      <c r="B338" s="12">
        <v>1059</v>
      </c>
      <c r="K338" s="15">
        <v>1045</v>
      </c>
    </row>
    <row r="339" spans="1:11" x14ac:dyDescent="0.25">
      <c r="A339" s="16">
        <v>1.3819943337393969E+19</v>
      </c>
      <c r="B339" s="12">
        <v>1059</v>
      </c>
      <c r="K339" s="15">
        <v>1045</v>
      </c>
    </row>
    <row r="340" spans="1:11" x14ac:dyDescent="0.25">
      <c r="A340" s="16">
        <v>2.5014260808527323E+19</v>
      </c>
      <c r="B340" s="12">
        <v>1059</v>
      </c>
      <c r="K340" s="15">
        <v>1045</v>
      </c>
    </row>
    <row r="341" spans="1:11" x14ac:dyDescent="0.25">
      <c r="A341" s="16">
        <v>1.7288322159039859E+19</v>
      </c>
      <c r="B341" s="12">
        <v>1059</v>
      </c>
      <c r="K341" s="15">
        <v>1045</v>
      </c>
    </row>
    <row r="342" spans="1:11" x14ac:dyDescent="0.25">
      <c r="A342" s="16">
        <v>6.7566065741884809E+19</v>
      </c>
      <c r="B342" s="12">
        <v>1059</v>
      </c>
      <c r="K342" s="15">
        <v>1045</v>
      </c>
    </row>
    <row r="343" spans="1:11" x14ac:dyDescent="0.25">
      <c r="A343" s="16">
        <v>5.7966451326131364E+19</v>
      </c>
      <c r="B343" s="12">
        <v>2329</v>
      </c>
      <c r="K343" s="15">
        <v>1045</v>
      </c>
    </row>
    <row r="344" spans="1:11" x14ac:dyDescent="0.25">
      <c r="A344" s="16">
        <v>1.9931268422004326E+19</v>
      </c>
      <c r="B344" s="12">
        <v>2329</v>
      </c>
      <c r="K344" s="15">
        <v>1045</v>
      </c>
    </row>
    <row r="345" spans="1:11" x14ac:dyDescent="0.25">
      <c r="A345" s="16">
        <v>3.2747783688605389E+19</v>
      </c>
      <c r="B345" s="12">
        <v>2329</v>
      </c>
      <c r="K345" s="15">
        <v>1045</v>
      </c>
    </row>
    <row r="346" spans="1:11" x14ac:dyDescent="0.25">
      <c r="A346" s="16">
        <v>8.8408058733386727E+19</v>
      </c>
      <c r="B346" s="12">
        <v>2329</v>
      </c>
      <c r="K346" s="15">
        <v>1045</v>
      </c>
    </row>
    <row r="347" spans="1:11" x14ac:dyDescent="0.25">
      <c r="A347" s="16">
        <v>8.8347708704370835E+19</v>
      </c>
      <c r="B347" s="12">
        <v>2529</v>
      </c>
      <c r="K347" s="15">
        <v>1045</v>
      </c>
    </row>
    <row r="348" spans="1:11" x14ac:dyDescent="0.25">
      <c r="A348" s="16">
        <v>6.7746814452318716E+19</v>
      </c>
      <c r="B348" s="12">
        <v>2529</v>
      </c>
      <c r="K348" s="15">
        <v>1045</v>
      </c>
    </row>
    <row r="349" spans="1:11" x14ac:dyDescent="0.25">
      <c r="A349" s="16">
        <v>6.8674656495444148E+19</v>
      </c>
      <c r="B349" s="12">
        <v>2529</v>
      </c>
      <c r="K349" s="15">
        <v>1045</v>
      </c>
    </row>
    <row r="350" spans="1:11" x14ac:dyDescent="0.25">
      <c r="A350" s="16">
        <v>5.3323426408264204E+19</v>
      </c>
      <c r="B350" s="12">
        <v>2398</v>
      </c>
      <c r="K350" s="15">
        <v>1045</v>
      </c>
    </row>
    <row r="351" spans="1:11" x14ac:dyDescent="0.25">
      <c r="A351" s="16">
        <v>7.4383747242766533E+19</v>
      </c>
      <c r="B351" s="12">
        <v>2398</v>
      </c>
      <c r="K351" s="15">
        <v>1045</v>
      </c>
    </row>
    <row r="352" spans="1:11" x14ac:dyDescent="0.25">
      <c r="A352" s="16">
        <v>4.8160268399682068E+19</v>
      </c>
      <c r="B352" s="12">
        <v>2398</v>
      </c>
      <c r="K352" s="15">
        <v>1045</v>
      </c>
    </row>
    <row r="353" spans="1:11" x14ac:dyDescent="0.25">
      <c r="A353" s="16">
        <v>8.4226219851375706E+19</v>
      </c>
      <c r="B353" s="12">
        <v>2398</v>
      </c>
      <c r="K353" s="15">
        <v>1045</v>
      </c>
    </row>
    <row r="354" spans="1:11" x14ac:dyDescent="0.25">
      <c r="A354" s="16">
        <v>4.4899523851394515E+19</v>
      </c>
      <c r="B354" s="12">
        <v>803</v>
      </c>
      <c r="K354" s="15">
        <v>1045</v>
      </c>
    </row>
    <row r="355" spans="1:11" x14ac:dyDescent="0.25">
      <c r="A355" s="16">
        <v>5.9506829569626505E+19</v>
      </c>
      <c r="B355" s="12">
        <v>803</v>
      </c>
      <c r="K355" s="15">
        <v>1049</v>
      </c>
    </row>
    <row r="356" spans="1:11" x14ac:dyDescent="0.25">
      <c r="A356" s="16">
        <v>2.9540932952698159E+19</v>
      </c>
      <c r="B356" s="12">
        <v>803</v>
      </c>
      <c r="K356" s="15">
        <v>1049</v>
      </c>
    </row>
    <row r="357" spans="1:11" x14ac:dyDescent="0.25">
      <c r="A357" s="16">
        <v>1.8738524490328789E+19</v>
      </c>
      <c r="B357" s="12">
        <v>239</v>
      </c>
      <c r="K357" s="15">
        <v>1049</v>
      </c>
    </row>
    <row r="358" spans="1:11" x14ac:dyDescent="0.25">
      <c r="A358" s="16">
        <v>2.6796992264006525E+19</v>
      </c>
      <c r="B358" s="12">
        <v>239</v>
      </c>
      <c r="K358" s="15">
        <v>1049</v>
      </c>
    </row>
    <row r="359" spans="1:11" x14ac:dyDescent="0.25">
      <c r="A359" s="16">
        <v>7.2390200282325844E+19</v>
      </c>
      <c r="B359" s="12">
        <v>239</v>
      </c>
      <c r="K359" s="15">
        <v>1049</v>
      </c>
    </row>
    <row r="360" spans="1:11" x14ac:dyDescent="0.25">
      <c r="A360" s="16">
        <v>4.6582192013163086E+19</v>
      </c>
      <c r="B360" s="12">
        <v>339</v>
      </c>
      <c r="K360" s="15">
        <v>1049</v>
      </c>
    </row>
    <row r="361" spans="1:11" x14ac:dyDescent="0.25">
      <c r="A361" s="16">
        <v>5.290445691023446E+19</v>
      </c>
      <c r="B361" s="12">
        <v>339</v>
      </c>
      <c r="K361" s="15">
        <v>1049</v>
      </c>
    </row>
    <row r="362" spans="1:11" x14ac:dyDescent="0.25">
      <c r="A362" s="16">
        <v>2.4264974158038925E+19</v>
      </c>
      <c r="B362" s="12">
        <v>339</v>
      </c>
      <c r="K362" s="15">
        <v>1049</v>
      </c>
    </row>
    <row r="363" spans="1:11" x14ac:dyDescent="0.25">
      <c r="A363" s="16">
        <v>9.5602870151210287E+19</v>
      </c>
      <c r="B363" s="12">
        <v>439</v>
      </c>
      <c r="K363" s="15">
        <v>1049</v>
      </c>
    </row>
    <row r="364" spans="1:11" x14ac:dyDescent="0.25">
      <c r="A364" s="16">
        <v>5.8112003382240076E+19</v>
      </c>
      <c r="B364" s="12">
        <v>439</v>
      </c>
      <c r="K364" s="15">
        <v>1049</v>
      </c>
    </row>
    <row r="365" spans="1:11" x14ac:dyDescent="0.25">
      <c r="A365" s="16">
        <v>5.0978286460647834E+19</v>
      </c>
      <c r="B365" s="12">
        <v>439</v>
      </c>
      <c r="K365" s="15">
        <v>1049</v>
      </c>
    </row>
    <row r="366" spans="1:11" x14ac:dyDescent="0.25">
      <c r="A366" s="16">
        <v>7.846007361881129E+19</v>
      </c>
      <c r="B366" s="12">
        <v>240</v>
      </c>
      <c r="K366" s="15">
        <v>1049</v>
      </c>
    </row>
    <row r="367" spans="1:11" x14ac:dyDescent="0.25">
      <c r="A367" s="16">
        <v>3.4669843726105362E+19</v>
      </c>
      <c r="B367" s="12">
        <v>240</v>
      </c>
      <c r="K367" s="15">
        <v>1049</v>
      </c>
    </row>
    <row r="368" spans="1:11" x14ac:dyDescent="0.25">
      <c r="A368" s="16">
        <v>1.9894812761623855E+19</v>
      </c>
      <c r="B368" s="12">
        <v>240</v>
      </c>
      <c r="K368" s="15">
        <v>1049</v>
      </c>
    </row>
    <row r="369" spans="1:11" x14ac:dyDescent="0.25">
      <c r="A369" s="16">
        <v>6.4050837884245328E+19</v>
      </c>
      <c r="B369" s="12">
        <v>240</v>
      </c>
      <c r="K369" s="15">
        <v>1049</v>
      </c>
    </row>
    <row r="370" spans="1:11" x14ac:dyDescent="0.25">
      <c r="A370" s="16">
        <v>5.8602208670630167E+19</v>
      </c>
      <c r="B370" s="12">
        <v>340</v>
      </c>
      <c r="K370" s="15">
        <v>1049</v>
      </c>
    </row>
    <row r="371" spans="1:11" x14ac:dyDescent="0.25">
      <c r="A371" s="16">
        <v>2.5065385835856577E+19</v>
      </c>
      <c r="B371" s="12">
        <v>340</v>
      </c>
      <c r="K371" s="15">
        <v>1049</v>
      </c>
    </row>
    <row r="372" spans="1:11" x14ac:dyDescent="0.25">
      <c r="A372" s="16">
        <v>1.195032088465935E+19</v>
      </c>
      <c r="B372" s="12">
        <v>340</v>
      </c>
      <c r="K372" s="15">
        <v>1049</v>
      </c>
    </row>
    <row r="373" spans="1:11" x14ac:dyDescent="0.25">
      <c r="A373" s="16">
        <v>2.034977174970771E+19</v>
      </c>
      <c r="B373" s="12">
        <v>340</v>
      </c>
      <c r="K373" s="15">
        <v>1049</v>
      </c>
    </row>
    <row r="374" spans="1:11" x14ac:dyDescent="0.25">
      <c r="A374" s="16">
        <v>7.8913323482996408E+19</v>
      </c>
      <c r="B374" s="12">
        <v>440</v>
      </c>
      <c r="K374" s="15">
        <v>1049</v>
      </c>
    </row>
    <row r="375" spans="1:11" x14ac:dyDescent="0.25">
      <c r="A375" s="16">
        <v>9.4680463617483637E+19</v>
      </c>
      <c r="B375" s="12">
        <v>440</v>
      </c>
      <c r="K375" s="15">
        <v>1049</v>
      </c>
    </row>
    <row r="376" spans="1:11" x14ac:dyDescent="0.25">
      <c r="A376" s="16">
        <v>9.967009014673716E+19</v>
      </c>
      <c r="B376" s="12">
        <v>440</v>
      </c>
      <c r="K376" s="15">
        <v>1049</v>
      </c>
    </row>
    <row r="377" spans="1:11" x14ac:dyDescent="0.25">
      <c r="A377" s="16">
        <v>6.7996079557874827E+19</v>
      </c>
      <c r="B377" s="12">
        <v>440</v>
      </c>
      <c r="K377" s="15">
        <v>1049</v>
      </c>
    </row>
    <row r="378" spans="1:11" x14ac:dyDescent="0.25">
      <c r="A378" s="16">
        <v>5.8452850849093648E+19</v>
      </c>
      <c r="B378" s="12">
        <v>410</v>
      </c>
      <c r="K378" s="15">
        <v>1049</v>
      </c>
    </row>
    <row r="379" spans="1:11" x14ac:dyDescent="0.25">
      <c r="A379" s="16">
        <v>2.5062852160219832E+19</v>
      </c>
      <c r="B379" s="12">
        <v>410</v>
      </c>
      <c r="K379" s="15">
        <v>1049</v>
      </c>
    </row>
    <row r="380" spans="1:11" x14ac:dyDescent="0.25">
      <c r="A380" s="16">
        <v>3.0192234279369282E+19</v>
      </c>
      <c r="B380" s="12">
        <v>410</v>
      </c>
      <c r="K380" s="15">
        <v>1049</v>
      </c>
    </row>
    <row r="381" spans="1:11" x14ac:dyDescent="0.25">
      <c r="A381" s="16">
        <v>5.2012134882378613E+19</v>
      </c>
      <c r="B381" s="12">
        <v>312</v>
      </c>
      <c r="K381" s="15">
        <v>1049</v>
      </c>
    </row>
    <row r="382" spans="1:11" x14ac:dyDescent="0.25">
      <c r="A382" s="16">
        <v>1.4727810702222316E+19</v>
      </c>
      <c r="B382" s="12">
        <v>312</v>
      </c>
      <c r="K382" s="15">
        <v>1049</v>
      </c>
    </row>
    <row r="383" spans="1:11" x14ac:dyDescent="0.25">
      <c r="A383" s="16">
        <v>2.6871015995227267E+19</v>
      </c>
      <c r="B383" s="12">
        <v>312</v>
      </c>
      <c r="K383" s="15">
        <v>1049</v>
      </c>
    </row>
    <row r="384" spans="1:11" x14ac:dyDescent="0.25">
      <c r="A384" s="16">
        <v>6.9362723408518849E+19</v>
      </c>
      <c r="B384" s="12">
        <v>311</v>
      </c>
      <c r="K384" s="15">
        <v>1049</v>
      </c>
    </row>
    <row r="385" spans="1:11" x14ac:dyDescent="0.25">
      <c r="A385" s="16">
        <v>3.8792860867663004E+19</v>
      </c>
      <c r="B385" s="12">
        <v>311</v>
      </c>
      <c r="K385" s="15">
        <v>1049</v>
      </c>
    </row>
    <row r="386" spans="1:11" x14ac:dyDescent="0.25">
      <c r="A386" s="16">
        <v>1.6368359662470767E+19</v>
      </c>
      <c r="B386" s="12">
        <v>311</v>
      </c>
      <c r="K386" s="15">
        <v>1049</v>
      </c>
    </row>
    <row r="387" spans="1:11" x14ac:dyDescent="0.25">
      <c r="A387" s="16">
        <v>5.9269176623689015E+19</v>
      </c>
      <c r="B387" s="12">
        <v>308</v>
      </c>
      <c r="K387" s="15">
        <v>1062</v>
      </c>
    </row>
    <row r="388" spans="1:11" x14ac:dyDescent="0.25">
      <c r="A388" s="16">
        <v>3.005668188995412E+19</v>
      </c>
      <c r="B388" s="12">
        <v>308</v>
      </c>
      <c r="K388" s="15">
        <v>1062</v>
      </c>
    </row>
    <row r="389" spans="1:11" x14ac:dyDescent="0.25">
      <c r="A389" s="16">
        <v>3.6500577632435409E+19</v>
      </c>
      <c r="B389" s="12">
        <v>308</v>
      </c>
      <c r="K389" s="15">
        <v>1062</v>
      </c>
    </row>
    <row r="390" spans="1:11" x14ac:dyDescent="0.25">
      <c r="A390" s="16">
        <v>5.6816290227513229E+19</v>
      </c>
      <c r="B390" s="12">
        <v>310</v>
      </c>
      <c r="K390" s="15">
        <v>1062</v>
      </c>
    </row>
    <row r="391" spans="1:11" x14ac:dyDescent="0.25">
      <c r="A391" s="16">
        <v>5.4506777000331018E+19</v>
      </c>
      <c r="B391" s="12">
        <v>310</v>
      </c>
      <c r="K391" s="15">
        <v>1062</v>
      </c>
    </row>
    <row r="392" spans="1:11" x14ac:dyDescent="0.25">
      <c r="A392" s="16">
        <v>5.4727782508432581E+19</v>
      </c>
      <c r="B392" s="12">
        <v>310</v>
      </c>
      <c r="K392" s="15">
        <v>1062</v>
      </c>
    </row>
    <row r="393" spans="1:11" x14ac:dyDescent="0.25">
      <c r="A393" s="16">
        <v>8.1728161474251588E+19</v>
      </c>
      <c r="B393" s="12">
        <v>413</v>
      </c>
      <c r="K393" s="15">
        <v>1062</v>
      </c>
    </row>
    <row r="394" spans="1:11" x14ac:dyDescent="0.25">
      <c r="A394" s="16">
        <v>7.8238078647447978E+19</v>
      </c>
      <c r="B394" s="12">
        <v>413</v>
      </c>
      <c r="K394" s="15">
        <v>1062</v>
      </c>
    </row>
    <row r="395" spans="1:11" x14ac:dyDescent="0.25">
      <c r="A395" s="16">
        <v>1.2673641427691016E+19</v>
      </c>
      <c r="B395" s="12">
        <v>413</v>
      </c>
      <c r="K395" s="15">
        <v>1062</v>
      </c>
    </row>
    <row r="396" spans="1:11" x14ac:dyDescent="0.25">
      <c r="A396" s="16">
        <v>7.6343346530373878E+19</v>
      </c>
      <c r="B396" s="12">
        <v>313</v>
      </c>
      <c r="K396" s="15">
        <v>1062</v>
      </c>
    </row>
    <row r="397" spans="1:11" x14ac:dyDescent="0.25">
      <c r="A397" s="16">
        <v>4.1985099779867001E+19</v>
      </c>
      <c r="B397" s="12">
        <v>313</v>
      </c>
      <c r="K397" s="15">
        <v>1062</v>
      </c>
    </row>
    <row r="398" spans="1:11" x14ac:dyDescent="0.25">
      <c r="A398" s="16">
        <v>5.5547201014674629E+19</v>
      </c>
      <c r="B398" s="12">
        <v>313</v>
      </c>
      <c r="K398" s="15">
        <v>1062</v>
      </c>
    </row>
    <row r="399" spans="1:11" x14ac:dyDescent="0.25">
      <c r="A399" s="16">
        <v>2.149434902618701E+19</v>
      </c>
      <c r="B399" s="12">
        <v>313</v>
      </c>
      <c r="K399" s="15">
        <v>1062</v>
      </c>
    </row>
    <row r="400" spans="1:11" x14ac:dyDescent="0.25">
      <c r="A400" s="16">
        <v>9.3624190011340325E+19</v>
      </c>
      <c r="B400" s="12">
        <v>314</v>
      </c>
      <c r="K400" s="15">
        <v>1062</v>
      </c>
    </row>
    <row r="401" spans="1:11" x14ac:dyDescent="0.25">
      <c r="A401" s="16">
        <v>3.7588488236653838E+19</v>
      </c>
      <c r="B401" s="12">
        <v>314</v>
      </c>
      <c r="K401" s="15">
        <v>1062</v>
      </c>
    </row>
    <row r="402" spans="1:11" x14ac:dyDescent="0.25">
      <c r="A402" s="16">
        <v>7.6471301951380226E+19</v>
      </c>
      <c r="B402" s="12">
        <v>314</v>
      </c>
      <c r="K402" s="15">
        <v>1062</v>
      </c>
    </row>
    <row r="403" spans="1:11" x14ac:dyDescent="0.25">
      <c r="A403" s="16">
        <v>9.1983076389669913E+19</v>
      </c>
      <c r="B403" s="12">
        <v>314</v>
      </c>
      <c r="K403" s="15">
        <v>1062</v>
      </c>
    </row>
    <row r="404" spans="1:11" x14ac:dyDescent="0.25">
      <c r="A404" s="16">
        <v>8.5166817790260871E+19</v>
      </c>
      <c r="B404" s="12">
        <v>419</v>
      </c>
      <c r="K404" s="15">
        <v>1062</v>
      </c>
    </row>
    <row r="405" spans="1:11" x14ac:dyDescent="0.25">
      <c r="A405" s="16">
        <v>9.7234995571368313E+19</v>
      </c>
      <c r="B405" s="12">
        <v>419</v>
      </c>
      <c r="K405" s="15">
        <v>1062</v>
      </c>
    </row>
    <row r="406" spans="1:11" x14ac:dyDescent="0.25">
      <c r="A406" s="16">
        <v>1.9585495801199223E+19</v>
      </c>
      <c r="B406" s="12">
        <v>419</v>
      </c>
      <c r="K406" s="15">
        <v>1062</v>
      </c>
    </row>
    <row r="407" spans="1:11" x14ac:dyDescent="0.25">
      <c r="A407" s="16">
        <v>7.8112113576887419E+19</v>
      </c>
      <c r="B407" s="12">
        <v>419</v>
      </c>
      <c r="K407" s="15">
        <v>1062</v>
      </c>
    </row>
    <row r="408" spans="1:11" x14ac:dyDescent="0.25">
      <c r="A408" s="16">
        <v>1.0248266996687436E+19</v>
      </c>
      <c r="B408" s="12">
        <v>418</v>
      </c>
      <c r="K408" s="15">
        <v>1062</v>
      </c>
    </row>
    <row r="409" spans="1:11" x14ac:dyDescent="0.25">
      <c r="A409" s="16">
        <v>6.0642044803575103E+19</v>
      </c>
      <c r="B409" s="12">
        <v>418</v>
      </c>
      <c r="K409" s="15">
        <v>1062</v>
      </c>
    </row>
    <row r="410" spans="1:11" x14ac:dyDescent="0.25">
      <c r="A410" s="16">
        <v>6.4069460185920242E+19</v>
      </c>
      <c r="B410" s="12">
        <v>418</v>
      </c>
      <c r="K410" s="15">
        <v>1062</v>
      </c>
    </row>
    <row r="411" spans="1:11" x14ac:dyDescent="0.25">
      <c r="A411" s="16">
        <v>3.922059434543095E+19</v>
      </c>
      <c r="B411" s="12">
        <v>418</v>
      </c>
      <c r="K411" s="15">
        <v>1062</v>
      </c>
    </row>
    <row r="412" spans="1:11" x14ac:dyDescent="0.25">
      <c r="A412" s="16">
        <v>3.6585396851201135E+19</v>
      </c>
      <c r="B412" s="12">
        <v>416</v>
      </c>
      <c r="K412" s="15">
        <v>1062</v>
      </c>
    </row>
    <row r="413" spans="1:11" x14ac:dyDescent="0.25">
      <c r="A413" s="16">
        <v>2.1022303521438056E+19</v>
      </c>
      <c r="B413" s="12">
        <v>416</v>
      </c>
      <c r="K413" s="15">
        <v>1062</v>
      </c>
    </row>
    <row r="414" spans="1:11" x14ac:dyDescent="0.25">
      <c r="A414" s="16">
        <v>2.0896559377916895E+19</v>
      </c>
      <c r="B414" s="12">
        <v>416</v>
      </c>
      <c r="K414" s="15">
        <v>1062</v>
      </c>
    </row>
    <row r="415" spans="1:11" x14ac:dyDescent="0.25">
      <c r="A415" s="16">
        <v>4.7477278911254626E+19</v>
      </c>
      <c r="B415" s="12">
        <v>416</v>
      </c>
      <c r="K415" s="15">
        <v>1062</v>
      </c>
    </row>
    <row r="416" spans="1:11" x14ac:dyDescent="0.25">
      <c r="A416" s="16">
        <v>8.8112777701790974E+19</v>
      </c>
      <c r="B416" s="12">
        <v>303</v>
      </c>
      <c r="K416" s="15">
        <v>1062</v>
      </c>
    </row>
    <row r="417" spans="1:11" x14ac:dyDescent="0.25">
      <c r="A417" s="16">
        <v>3.09574072351464E+19</v>
      </c>
      <c r="B417" s="12">
        <v>1456</v>
      </c>
      <c r="K417" s="15">
        <v>1062</v>
      </c>
    </row>
    <row r="418" spans="1:11" x14ac:dyDescent="0.25">
      <c r="A418" s="16">
        <v>1.5051757283300336E+19</v>
      </c>
      <c r="B418" s="12">
        <v>1456</v>
      </c>
      <c r="K418" s="15">
        <v>1062</v>
      </c>
    </row>
    <row r="419" spans="1:11" x14ac:dyDescent="0.25">
      <c r="A419" s="16">
        <v>3.1281304626848313E+19</v>
      </c>
      <c r="B419" s="12">
        <v>1456</v>
      </c>
      <c r="K419" s="15">
        <v>1062</v>
      </c>
    </row>
    <row r="420" spans="1:11" x14ac:dyDescent="0.25">
      <c r="A420" s="16">
        <v>9.3186285300631355E+19</v>
      </c>
      <c r="B420" s="12">
        <v>814</v>
      </c>
      <c r="K420" s="15">
        <v>1062</v>
      </c>
    </row>
    <row r="421" spans="1:11" x14ac:dyDescent="0.25">
      <c r="A421" s="16">
        <v>5.7239697928860058E+19</v>
      </c>
      <c r="B421" s="12">
        <v>814</v>
      </c>
      <c r="K421" s="15">
        <v>1062</v>
      </c>
    </row>
    <row r="422" spans="1:11" x14ac:dyDescent="0.25">
      <c r="A422" s="16">
        <v>7.6888208093228237E+19</v>
      </c>
      <c r="B422" s="12">
        <v>481</v>
      </c>
      <c r="K422" s="15">
        <v>1062</v>
      </c>
    </row>
    <row r="423" spans="1:11" x14ac:dyDescent="0.25">
      <c r="A423" s="16">
        <v>2.700508212985317E+19</v>
      </c>
      <c r="B423" s="12">
        <v>481</v>
      </c>
      <c r="K423" s="15">
        <v>1062</v>
      </c>
    </row>
    <row r="424" spans="1:11" x14ac:dyDescent="0.25">
      <c r="A424" s="16">
        <v>8.1965292145179263E+19</v>
      </c>
      <c r="B424" s="12">
        <v>481</v>
      </c>
      <c r="K424" s="15">
        <v>1062</v>
      </c>
    </row>
    <row r="425" spans="1:11" x14ac:dyDescent="0.25">
      <c r="A425" s="16">
        <v>2.8617871563747156E+19</v>
      </c>
      <c r="B425" s="12">
        <v>581</v>
      </c>
      <c r="K425" s="15">
        <v>1062</v>
      </c>
    </row>
    <row r="426" spans="1:11" x14ac:dyDescent="0.25">
      <c r="A426" s="16">
        <v>3.9907655667212681E+19</v>
      </c>
      <c r="B426" s="12">
        <v>581</v>
      </c>
      <c r="K426" s="15">
        <v>1062</v>
      </c>
    </row>
    <row r="427" spans="1:11" x14ac:dyDescent="0.25">
      <c r="A427" s="16">
        <v>2.399270792333507E+19</v>
      </c>
      <c r="B427" s="12">
        <v>581</v>
      </c>
      <c r="K427" s="15">
        <v>1062</v>
      </c>
    </row>
    <row r="428" spans="1:11" x14ac:dyDescent="0.25">
      <c r="A428" s="16">
        <v>4.6433191869997359E+19</v>
      </c>
      <c r="B428" s="12">
        <v>681</v>
      </c>
      <c r="K428" s="15">
        <v>1062</v>
      </c>
    </row>
    <row r="429" spans="1:11" x14ac:dyDescent="0.25">
      <c r="A429" s="16">
        <v>3.624330244443086E+19</v>
      </c>
      <c r="B429" s="12">
        <v>681</v>
      </c>
      <c r="K429" s="15">
        <v>1062</v>
      </c>
    </row>
    <row r="430" spans="1:11" x14ac:dyDescent="0.25">
      <c r="A430" s="16">
        <v>3.3709409408640725E+19</v>
      </c>
      <c r="B430" s="12">
        <v>681</v>
      </c>
      <c r="K430" s="15">
        <v>1062</v>
      </c>
    </row>
    <row r="431" spans="1:11" x14ac:dyDescent="0.25">
      <c r="A431" s="16">
        <v>2.2594514222377202E+19</v>
      </c>
      <c r="B431" s="12">
        <v>861</v>
      </c>
      <c r="K431" s="15">
        <v>5054</v>
      </c>
    </row>
    <row r="432" spans="1:11" x14ac:dyDescent="0.25">
      <c r="A432" s="16">
        <v>1.0305960901827856E+19</v>
      </c>
      <c r="B432" s="12">
        <v>861</v>
      </c>
      <c r="K432" s="15">
        <v>5054</v>
      </c>
    </row>
    <row r="433" spans="1:11" x14ac:dyDescent="0.25">
      <c r="A433" s="16">
        <v>4.7665010685124174E+19</v>
      </c>
      <c r="B433" s="12">
        <v>861</v>
      </c>
      <c r="K433" s="15">
        <v>5054</v>
      </c>
    </row>
    <row r="434" spans="1:11" x14ac:dyDescent="0.25">
      <c r="A434" s="16">
        <v>7.675373282513009E+19</v>
      </c>
      <c r="B434" s="12">
        <v>702</v>
      </c>
      <c r="K434" s="15">
        <v>5054</v>
      </c>
    </row>
    <row r="435" spans="1:11" x14ac:dyDescent="0.25">
      <c r="A435" s="16">
        <v>1.3324059842176549E+19</v>
      </c>
      <c r="B435" s="12">
        <v>705</v>
      </c>
      <c r="K435" s="15">
        <v>5054</v>
      </c>
    </row>
    <row r="436" spans="1:11" x14ac:dyDescent="0.25">
      <c r="A436" s="16">
        <v>2.403339420704655E+19</v>
      </c>
      <c r="B436" s="12">
        <v>699</v>
      </c>
      <c r="K436" s="15">
        <v>5054</v>
      </c>
    </row>
    <row r="437" spans="1:11" x14ac:dyDescent="0.25">
      <c r="A437" s="16">
        <v>6.4207299531576812E+19</v>
      </c>
      <c r="B437" s="12">
        <v>812</v>
      </c>
      <c r="K437" s="15">
        <v>5054</v>
      </c>
    </row>
    <row r="438" spans="1:11" x14ac:dyDescent="0.25">
      <c r="A438" s="16">
        <v>2.9398693352595579E+19</v>
      </c>
      <c r="B438" s="12">
        <v>812</v>
      </c>
      <c r="K438" s="15">
        <v>5054</v>
      </c>
    </row>
    <row r="439" spans="1:11" x14ac:dyDescent="0.25">
      <c r="A439" s="16">
        <v>1.6435950874232435E+19</v>
      </c>
      <c r="B439" s="12">
        <v>812</v>
      </c>
      <c r="K439" s="15">
        <v>4001</v>
      </c>
    </row>
    <row r="440" spans="1:11" x14ac:dyDescent="0.25">
      <c r="A440" s="16">
        <v>9.8173020240097427E+19</v>
      </c>
      <c r="B440" s="12">
        <v>104</v>
      </c>
      <c r="K440" s="15">
        <v>4001</v>
      </c>
    </row>
    <row r="441" spans="1:11" x14ac:dyDescent="0.25">
      <c r="A441" s="16">
        <v>8.9655903022815543E+19</v>
      </c>
      <c r="B441" s="12">
        <v>105</v>
      </c>
      <c r="K441" s="15">
        <v>4001</v>
      </c>
    </row>
    <row r="442" spans="1:11" x14ac:dyDescent="0.25">
      <c r="A442" s="16">
        <v>3.6204102644144398E+19</v>
      </c>
      <c r="B442" s="12">
        <v>103</v>
      </c>
      <c r="K442" s="15">
        <v>4001</v>
      </c>
    </row>
    <row r="443" spans="1:11" x14ac:dyDescent="0.25">
      <c r="A443" s="16">
        <v>2.567121358092528E+19</v>
      </c>
      <c r="B443" s="12">
        <v>2528</v>
      </c>
      <c r="K443" s="15">
        <v>4001</v>
      </c>
    </row>
    <row r="444" spans="1:11" x14ac:dyDescent="0.25">
      <c r="A444" s="16">
        <v>4.3128616078587953E+19</v>
      </c>
      <c r="B444" s="12">
        <v>2528</v>
      </c>
      <c r="K444" s="15">
        <v>4001</v>
      </c>
    </row>
    <row r="445" spans="1:11" x14ac:dyDescent="0.25">
      <c r="A445" s="16">
        <v>6.3244508598723297E+19</v>
      </c>
      <c r="B445" s="12">
        <v>2528</v>
      </c>
      <c r="K445" s="15">
        <v>4001</v>
      </c>
    </row>
    <row r="446" spans="1:11" x14ac:dyDescent="0.25">
      <c r="A446" s="16">
        <v>5.0212724001969283E+19</v>
      </c>
      <c r="B446" s="12">
        <v>175</v>
      </c>
      <c r="K446" s="15">
        <v>4001</v>
      </c>
    </row>
    <row r="447" spans="1:11" x14ac:dyDescent="0.25">
      <c r="A447" s="16">
        <v>3.7567044728063156E+19</v>
      </c>
      <c r="B447" s="12">
        <v>175</v>
      </c>
      <c r="K447" s="15">
        <v>4002</v>
      </c>
    </row>
    <row r="448" spans="1:11" x14ac:dyDescent="0.25">
      <c r="A448" s="16">
        <v>7.9384771315787923E+19</v>
      </c>
      <c r="B448" s="12">
        <v>175</v>
      </c>
      <c r="K448" s="15">
        <v>4002</v>
      </c>
    </row>
    <row r="449" spans="1:11" x14ac:dyDescent="0.25">
      <c r="A449" s="16">
        <v>1.432487920149215E+19</v>
      </c>
      <c r="B449" s="12">
        <v>350</v>
      </c>
      <c r="K449" s="15">
        <v>4002</v>
      </c>
    </row>
    <row r="450" spans="1:11" x14ac:dyDescent="0.25">
      <c r="A450" s="16">
        <v>4.1324574201018384E+19</v>
      </c>
      <c r="B450" s="12">
        <v>350</v>
      </c>
      <c r="K450" s="15">
        <v>4002</v>
      </c>
    </row>
    <row r="451" spans="1:11" x14ac:dyDescent="0.25">
      <c r="A451" s="16">
        <v>3.9205264784163676E+19</v>
      </c>
      <c r="B451" s="12">
        <v>350</v>
      </c>
      <c r="K451" s="15">
        <v>4002</v>
      </c>
    </row>
    <row r="452" spans="1:11" x14ac:dyDescent="0.25">
      <c r="A452" s="16">
        <v>1.4970697059976856E+19</v>
      </c>
      <c r="B452" s="12">
        <v>350</v>
      </c>
      <c r="K452" s="15">
        <v>4002</v>
      </c>
    </row>
    <row r="453" spans="1:11" x14ac:dyDescent="0.25">
      <c r="A453" s="16">
        <v>6.0591561325970604E+19</v>
      </c>
      <c r="B453" s="12">
        <v>1026</v>
      </c>
      <c r="K453" s="15">
        <v>4002</v>
      </c>
    </row>
    <row r="454" spans="1:11" x14ac:dyDescent="0.25">
      <c r="A454" s="16">
        <v>9.1192137131411456E+19</v>
      </c>
      <c r="B454" s="12">
        <v>1026</v>
      </c>
      <c r="K454" s="15">
        <v>4002</v>
      </c>
    </row>
    <row r="455" spans="1:11" x14ac:dyDescent="0.25">
      <c r="A455" s="16">
        <v>6.4863935502893826E+19</v>
      </c>
      <c r="B455" s="12">
        <v>1026</v>
      </c>
      <c r="K455" s="15">
        <v>4002</v>
      </c>
    </row>
    <row r="456" spans="1:11" x14ac:dyDescent="0.25">
      <c r="A456" s="16">
        <v>1.9671545199068488E+19</v>
      </c>
      <c r="B456" s="12">
        <v>1026</v>
      </c>
      <c r="K456" s="15">
        <v>4002</v>
      </c>
    </row>
    <row r="457" spans="1:11" x14ac:dyDescent="0.25">
      <c r="A457" s="16">
        <v>3.052706080365942E+19</v>
      </c>
      <c r="B457" s="12">
        <v>1026</v>
      </c>
      <c r="K457" s="15">
        <v>4002</v>
      </c>
    </row>
    <row r="458" spans="1:11" x14ac:dyDescent="0.25">
      <c r="A458" s="16">
        <v>1.3976707984829041E+19</v>
      </c>
      <c r="B458" s="12">
        <v>1026</v>
      </c>
      <c r="K458" s="15">
        <v>4002</v>
      </c>
    </row>
    <row r="459" spans="1:11" x14ac:dyDescent="0.25">
      <c r="A459" s="16">
        <v>8.2178995373289144E+19</v>
      </c>
      <c r="B459" s="12">
        <v>1026</v>
      </c>
      <c r="K459" s="15">
        <v>1061</v>
      </c>
    </row>
    <row r="460" spans="1:11" x14ac:dyDescent="0.25">
      <c r="A460" s="16">
        <v>8.386696406318406E+19</v>
      </c>
      <c r="B460" s="12">
        <v>1026</v>
      </c>
      <c r="K460" s="15">
        <v>1061</v>
      </c>
    </row>
    <row r="461" spans="1:11" x14ac:dyDescent="0.25">
      <c r="A461" s="16">
        <v>8.993708006728953E+19</v>
      </c>
      <c r="B461" s="12">
        <v>1026</v>
      </c>
      <c r="K461" s="15">
        <v>1061</v>
      </c>
    </row>
    <row r="462" spans="1:11" x14ac:dyDescent="0.25">
      <c r="A462" s="16">
        <v>2.2387891552870425E+19</v>
      </c>
      <c r="B462" s="12">
        <v>1026</v>
      </c>
      <c r="K462" s="15">
        <v>1061</v>
      </c>
    </row>
    <row r="463" spans="1:11" x14ac:dyDescent="0.25">
      <c r="A463" s="16">
        <v>5.533147530914852E+19</v>
      </c>
      <c r="B463" s="12">
        <v>1026</v>
      </c>
      <c r="K463" s="15">
        <v>1061</v>
      </c>
    </row>
    <row r="464" spans="1:11" x14ac:dyDescent="0.25">
      <c r="A464" s="16">
        <v>5.9125224644469252E+19</v>
      </c>
      <c r="B464" s="12">
        <v>1026</v>
      </c>
      <c r="K464" s="15">
        <v>1061</v>
      </c>
    </row>
    <row r="465" spans="1:11" x14ac:dyDescent="0.25">
      <c r="A465" s="16">
        <v>6.9278257579070398E+19</v>
      </c>
      <c r="B465" s="12">
        <v>1100</v>
      </c>
      <c r="K465" s="15">
        <v>1061</v>
      </c>
    </row>
    <row r="466" spans="1:11" x14ac:dyDescent="0.25">
      <c r="A466" s="16">
        <v>1.4399488708182444E+19</v>
      </c>
      <c r="B466" s="12">
        <v>1100</v>
      </c>
      <c r="K466" s="15">
        <v>1061</v>
      </c>
    </row>
    <row r="467" spans="1:11" x14ac:dyDescent="0.25">
      <c r="A467" s="16">
        <v>3.2042834495333593E+19</v>
      </c>
      <c r="B467" s="12">
        <v>1100</v>
      </c>
      <c r="K467" s="15">
        <v>1061</v>
      </c>
    </row>
    <row r="468" spans="1:11" x14ac:dyDescent="0.25">
      <c r="A468" s="16">
        <v>9.0426577192600011E+19</v>
      </c>
      <c r="B468" s="12">
        <v>1100</v>
      </c>
      <c r="K468" s="15">
        <v>1061</v>
      </c>
    </row>
    <row r="469" spans="1:11" x14ac:dyDescent="0.25">
      <c r="A469" s="16">
        <v>3.0241788698148229E+19</v>
      </c>
      <c r="B469" s="12">
        <v>1101</v>
      </c>
      <c r="K469" s="15">
        <v>1061</v>
      </c>
    </row>
    <row r="470" spans="1:11" x14ac:dyDescent="0.25">
      <c r="A470" s="16">
        <v>6.5160484355140346E+19</v>
      </c>
      <c r="B470" s="12">
        <v>1101</v>
      </c>
      <c r="K470" s="15">
        <v>1061</v>
      </c>
    </row>
    <row r="471" spans="1:11" x14ac:dyDescent="0.25">
      <c r="A471" s="16">
        <v>6.0849812636028248E+19</v>
      </c>
      <c r="B471" s="12">
        <v>1101</v>
      </c>
      <c r="K471" s="15">
        <v>1061</v>
      </c>
    </row>
    <row r="472" spans="1:11" x14ac:dyDescent="0.25">
      <c r="A472" s="16">
        <v>3.9551182894975287E+19</v>
      </c>
      <c r="B472" s="12">
        <v>1101</v>
      </c>
      <c r="K472" s="15">
        <v>1061</v>
      </c>
    </row>
    <row r="473" spans="1:11" x14ac:dyDescent="0.25">
      <c r="A473" s="16">
        <v>5.2159866718189838E+19</v>
      </c>
      <c r="B473" s="12">
        <v>3811</v>
      </c>
      <c r="K473" s="15">
        <v>1061</v>
      </c>
    </row>
    <row r="474" spans="1:11" x14ac:dyDescent="0.25">
      <c r="A474" s="16">
        <v>5.252450251473947E+19</v>
      </c>
      <c r="B474" s="12">
        <v>3811</v>
      </c>
      <c r="K474" s="15">
        <v>1061</v>
      </c>
    </row>
    <row r="475" spans="1:11" x14ac:dyDescent="0.25">
      <c r="A475" s="16">
        <v>1.6875530053024969E+19</v>
      </c>
      <c r="B475" s="12">
        <v>3811</v>
      </c>
      <c r="K475" s="15">
        <v>1061</v>
      </c>
    </row>
    <row r="476" spans="1:11" x14ac:dyDescent="0.25">
      <c r="A476" s="16">
        <v>7.4475457227125031E+19</v>
      </c>
      <c r="B476" s="12">
        <v>3811</v>
      </c>
      <c r="K476" s="15">
        <v>1061</v>
      </c>
    </row>
    <row r="477" spans="1:11" x14ac:dyDescent="0.25">
      <c r="A477" s="16">
        <v>6.8292763370148323E+19</v>
      </c>
      <c r="B477" s="12">
        <v>863</v>
      </c>
      <c r="K477" s="15">
        <v>1061</v>
      </c>
    </row>
    <row r="478" spans="1:11" x14ac:dyDescent="0.25">
      <c r="A478" s="16">
        <v>4.064638540671071E+19</v>
      </c>
      <c r="B478" s="12">
        <v>863</v>
      </c>
      <c r="K478" s="15">
        <v>1061</v>
      </c>
    </row>
    <row r="479" spans="1:11" x14ac:dyDescent="0.25">
      <c r="A479" s="16">
        <v>7.6851858411357012E+19</v>
      </c>
      <c r="B479" s="12">
        <v>863</v>
      </c>
      <c r="K479" s="15">
        <v>1061</v>
      </c>
    </row>
    <row r="480" spans="1:11" x14ac:dyDescent="0.25">
      <c r="A480" s="16">
        <v>8.8000072644290003E+19</v>
      </c>
      <c r="B480" s="12">
        <v>8226</v>
      </c>
      <c r="K480" s="15">
        <v>1061</v>
      </c>
    </row>
    <row r="481" spans="1:11" x14ac:dyDescent="0.25">
      <c r="A481" s="16">
        <v>1.1182300291874736E+19</v>
      </c>
      <c r="B481" s="12">
        <v>8226</v>
      </c>
      <c r="K481" s="15">
        <v>1061</v>
      </c>
    </row>
    <row r="482" spans="1:11" x14ac:dyDescent="0.25">
      <c r="A482" s="16">
        <v>3.2892427447275553E+19</v>
      </c>
      <c r="B482" s="12">
        <v>8226</v>
      </c>
      <c r="K482" s="15">
        <v>1061</v>
      </c>
    </row>
    <row r="483" spans="1:11" x14ac:dyDescent="0.25">
      <c r="A483" s="16">
        <v>9.3334134704747217E+19</v>
      </c>
      <c r="B483" s="12">
        <v>8226</v>
      </c>
      <c r="K483" s="15">
        <v>1061</v>
      </c>
    </row>
    <row r="484" spans="1:11" x14ac:dyDescent="0.25">
      <c r="A484" s="16">
        <v>1.0890121292108681E+19</v>
      </c>
      <c r="B484" s="12">
        <v>8128</v>
      </c>
      <c r="K484" s="15">
        <v>1061</v>
      </c>
    </row>
    <row r="485" spans="1:11" x14ac:dyDescent="0.25">
      <c r="A485" s="16">
        <v>5.0072799576566563E+19</v>
      </c>
      <c r="B485" s="12">
        <v>8128</v>
      </c>
      <c r="K485" s="15">
        <v>1061</v>
      </c>
    </row>
    <row r="486" spans="1:11" x14ac:dyDescent="0.25">
      <c r="A486" s="16">
        <v>1.745230712000254E+19</v>
      </c>
      <c r="B486" s="12">
        <v>8128</v>
      </c>
      <c r="K486" s="15">
        <v>1061</v>
      </c>
    </row>
    <row r="487" spans="1:11" x14ac:dyDescent="0.25">
      <c r="A487" s="16">
        <v>4.7562822867931283E+19</v>
      </c>
      <c r="B487" s="12">
        <v>8128</v>
      </c>
      <c r="K487" s="15">
        <v>1061</v>
      </c>
    </row>
    <row r="488" spans="1:11" x14ac:dyDescent="0.25">
      <c r="A488" s="16">
        <v>4.3422513275954233E+19</v>
      </c>
      <c r="B488" s="12">
        <v>7122</v>
      </c>
      <c r="K488" s="15">
        <v>1061</v>
      </c>
    </row>
    <row r="489" spans="1:11" x14ac:dyDescent="0.25">
      <c r="A489" s="16">
        <v>2.1929487452567265E+19</v>
      </c>
      <c r="B489" s="12">
        <v>7122</v>
      </c>
      <c r="K489" s="15">
        <v>1061</v>
      </c>
    </row>
    <row r="490" spans="1:11" x14ac:dyDescent="0.25">
      <c r="A490" s="16">
        <v>1.0158092009834367E+19</v>
      </c>
      <c r="B490" s="12">
        <v>7122</v>
      </c>
      <c r="K490" s="15">
        <v>1061</v>
      </c>
    </row>
    <row r="491" spans="1:11" x14ac:dyDescent="0.25">
      <c r="A491" s="16">
        <v>1.1314903128123851E+19</v>
      </c>
      <c r="B491" s="12">
        <v>7122</v>
      </c>
      <c r="K491" s="15">
        <v>1061</v>
      </c>
    </row>
    <row r="492" spans="1:11" x14ac:dyDescent="0.25">
      <c r="A492" s="16">
        <v>3.3828817329766982E+19</v>
      </c>
      <c r="B492" s="12">
        <v>2060</v>
      </c>
      <c r="K492" s="15">
        <v>1061</v>
      </c>
    </row>
    <row r="493" spans="1:11" x14ac:dyDescent="0.25">
      <c r="A493" s="16">
        <v>1.7702614695745532E+19</v>
      </c>
      <c r="B493" s="12">
        <v>260</v>
      </c>
      <c r="K493" s="15">
        <v>1061</v>
      </c>
    </row>
    <row r="494" spans="1:11" x14ac:dyDescent="0.25">
      <c r="A494" s="16">
        <v>5.3427732627880509E+19</v>
      </c>
      <c r="B494" s="12">
        <v>1510</v>
      </c>
      <c r="K494" s="15">
        <v>1061</v>
      </c>
    </row>
    <row r="495" spans="1:11" x14ac:dyDescent="0.25">
      <c r="A495" s="16">
        <v>5.0480055774199063E+19</v>
      </c>
      <c r="B495" s="12">
        <v>662</v>
      </c>
      <c r="K495" s="15">
        <v>1024</v>
      </c>
    </row>
    <row r="496" spans="1:11" x14ac:dyDescent="0.25">
      <c r="A496" s="16">
        <v>4.6277106960608444E+19</v>
      </c>
      <c r="B496" s="12">
        <v>662</v>
      </c>
      <c r="K496" s="15">
        <v>1024</v>
      </c>
    </row>
    <row r="497" spans="1:11" x14ac:dyDescent="0.25">
      <c r="A497" s="16">
        <v>2.9133369510372246E+19</v>
      </c>
      <c r="B497" s="12">
        <v>476</v>
      </c>
      <c r="K497" s="15">
        <v>1024</v>
      </c>
    </row>
    <row r="498" spans="1:11" x14ac:dyDescent="0.25">
      <c r="A498" s="16">
        <v>6.8669136246443663E+19</v>
      </c>
      <c r="B498" s="12">
        <v>476</v>
      </c>
      <c r="K498" s="15">
        <v>1024</v>
      </c>
    </row>
    <row r="499" spans="1:11" x14ac:dyDescent="0.25">
      <c r="A499" s="16">
        <v>5.3048264039342039E+19</v>
      </c>
      <c r="B499" s="12">
        <v>476</v>
      </c>
      <c r="K499" s="15">
        <v>1024</v>
      </c>
    </row>
    <row r="500" spans="1:11" x14ac:dyDescent="0.25">
      <c r="A500" s="16">
        <v>5.0985807450571645E+19</v>
      </c>
      <c r="B500" s="12">
        <v>476</v>
      </c>
      <c r="K500" s="15">
        <v>1024</v>
      </c>
    </row>
    <row r="501" spans="1:11" x14ac:dyDescent="0.25">
      <c r="A501" s="16">
        <v>3.185625657870338E+19</v>
      </c>
      <c r="B501" s="12">
        <v>576</v>
      </c>
      <c r="K501" s="15">
        <v>1024</v>
      </c>
    </row>
    <row r="502" spans="1:11" x14ac:dyDescent="0.25">
      <c r="A502" s="16">
        <v>7.2033605919117214E+19</v>
      </c>
      <c r="B502" s="12">
        <v>576</v>
      </c>
      <c r="K502" s="15">
        <v>1024</v>
      </c>
    </row>
    <row r="503" spans="1:11" x14ac:dyDescent="0.25">
      <c r="A503" s="16">
        <v>7.1973085786452771E+19</v>
      </c>
      <c r="B503" s="12">
        <v>576</v>
      </c>
      <c r="K503" s="15">
        <v>1024</v>
      </c>
    </row>
    <row r="504" spans="1:11" x14ac:dyDescent="0.25">
      <c r="A504" s="16">
        <v>6.6531163941817508E+19</v>
      </c>
      <c r="B504" s="12">
        <v>576</v>
      </c>
      <c r="K504" s="15">
        <v>1024</v>
      </c>
    </row>
    <row r="505" spans="1:11" x14ac:dyDescent="0.25">
      <c r="A505" s="16">
        <v>4.1743552998239486E+19</v>
      </c>
      <c r="B505" s="12">
        <v>475</v>
      </c>
      <c r="K505" s="15">
        <v>1024</v>
      </c>
    </row>
    <row r="506" spans="1:11" x14ac:dyDescent="0.25">
      <c r="A506" s="16">
        <v>8.9989677861946655E+19</v>
      </c>
      <c r="B506" s="12">
        <v>475</v>
      </c>
      <c r="K506" s="15">
        <v>1024</v>
      </c>
    </row>
    <row r="507" spans="1:11" x14ac:dyDescent="0.25">
      <c r="A507" s="16">
        <v>8.6411444315851489E+19</v>
      </c>
      <c r="B507" s="12">
        <v>475</v>
      </c>
      <c r="K507" s="15">
        <v>1024</v>
      </c>
    </row>
    <row r="508" spans="1:11" x14ac:dyDescent="0.25">
      <c r="A508" s="16">
        <v>9.834455285322811E+19</v>
      </c>
      <c r="B508" s="12">
        <v>475</v>
      </c>
      <c r="K508" s="15">
        <v>1024</v>
      </c>
    </row>
    <row r="509" spans="1:11" x14ac:dyDescent="0.25">
      <c r="A509" s="16">
        <v>2.2601876118560178E+19</v>
      </c>
      <c r="B509" s="12">
        <v>575</v>
      </c>
      <c r="K509" s="15">
        <v>1024</v>
      </c>
    </row>
    <row r="510" spans="1:11" x14ac:dyDescent="0.25">
      <c r="A510" s="16">
        <v>8.904096906289152E+19</v>
      </c>
      <c r="B510" s="12">
        <v>575</v>
      </c>
      <c r="K510" s="15">
        <v>1024</v>
      </c>
    </row>
    <row r="511" spans="1:11" x14ac:dyDescent="0.25">
      <c r="A511" s="16">
        <v>7.9616888521194815E+19</v>
      </c>
      <c r="B511" s="12">
        <v>575</v>
      </c>
      <c r="K511" s="15">
        <v>1024</v>
      </c>
    </row>
    <row r="512" spans="1:11" x14ac:dyDescent="0.25">
      <c r="A512" s="16">
        <v>9.4588534643829293E+19</v>
      </c>
      <c r="B512" s="12">
        <v>675</v>
      </c>
      <c r="K512" s="15">
        <v>1024</v>
      </c>
    </row>
    <row r="513" spans="1:11" x14ac:dyDescent="0.25">
      <c r="A513" s="16">
        <v>3.2181761788309783E+19</v>
      </c>
      <c r="B513" s="12">
        <v>675</v>
      </c>
      <c r="K513" s="15">
        <v>1024</v>
      </c>
    </row>
    <row r="514" spans="1:11" x14ac:dyDescent="0.25">
      <c r="A514" s="16">
        <v>7.2636263397331968E+19</v>
      </c>
      <c r="B514" s="12">
        <v>675</v>
      </c>
      <c r="K514" s="15">
        <v>1024</v>
      </c>
    </row>
    <row r="515" spans="1:11" x14ac:dyDescent="0.25">
      <c r="A515" s="16">
        <v>6.0070308630610633E+19</v>
      </c>
      <c r="B515" s="12">
        <v>675</v>
      </c>
      <c r="K515" s="15">
        <v>1024</v>
      </c>
    </row>
    <row r="516" spans="1:11" x14ac:dyDescent="0.25">
      <c r="A516" s="16">
        <v>1.5792851798119094E+19</v>
      </c>
      <c r="B516" s="12">
        <v>491</v>
      </c>
      <c r="K516" s="15">
        <v>1024</v>
      </c>
    </row>
    <row r="517" spans="1:11" x14ac:dyDescent="0.25">
      <c r="A517" s="16">
        <v>3.9478918181484102E+19</v>
      </c>
      <c r="B517" s="12">
        <v>491</v>
      </c>
      <c r="K517" s="15">
        <v>1024</v>
      </c>
    </row>
    <row r="518" spans="1:11" x14ac:dyDescent="0.25">
      <c r="A518" s="16">
        <v>1.1112459617238378E+19</v>
      </c>
      <c r="B518" s="12">
        <v>491</v>
      </c>
      <c r="K518" s="15">
        <v>1024</v>
      </c>
    </row>
    <row r="519" spans="1:11" x14ac:dyDescent="0.25">
      <c r="A519" s="16">
        <v>1.0673123605837238E+19</v>
      </c>
      <c r="B519" s="12">
        <v>591</v>
      </c>
      <c r="K519" s="15">
        <v>1024</v>
      </c>
    </row>
    <row r="520" spans="1:11" x14ac:dyDescent="0.25">
      <c r="A520" s="16">
        <v>1.0502699663015815E+19</v>
      </c>
      <c r="B520" s="12">
        <v>591</v>
      </c>
      <c r="K520" s="15">
        <v>1024</v>
      </c>
    </row>
    <row r="521" spans="1:11" x14ac:dyDescent="0.25">
      <c r="A521" s="16">
        <v>7.2633596533988631E+19</v>
      </c>
      <c r="B521" s="12">
        <v>591</v>
      </c>
      <c r="K521" s="15">
        <v>1024</v>
      </c>
    </row>
    <row r="522" spans="1:11" x14ac:dyDescent="0.25">
      <c r="A522" s="16">
        <v>1.525602752338672E+19</v>
      </c>
      <c r="B522" s="12">
        <v>691</v>
      </c>
      <c r="K522" s="15">
        <v>1024</v>
      </c>
    </row>
    <row r="523" spans="1:11" x14ac:dyDescent="0.25">
      <c r="A523" s="16">
        <v>5.2782498236019818E+19</v>
      </c>
      <c r="B523" s="12">
        <v>691</v>
      </c>
      <c r="K523" s="15">
        <v>1024</v>
      </c>
    </row>
    <row r="524" spans="1:11" x14ac:dyDescent="0.25">
      <c r="A524" s="16">
        <v>8.7057777566453449E+19</v>
      </c>
      <c r="B524" s="12">
        <v>691</v>
      </c>
      <c r="K524" s="15">
        <v>1024</v>
      </c>
    </row>
    <row r="525" spans="1:11" x14ac:dyDescent="0.25">
      <c r="A525" s="16">
        <v>4.3265393438147674E+19</v>
      </c>
      <c r="B525" s="12">
        <v>681</v>
      </c>
      <c r="K525" s="15">
        <v>1024</v>
      </c>
    </row>
    <row r="526" spans="1:11" x14ac:dyDescent="0.25">
      <c r="A526" s="16">
        <v>5.2069579936071623E+19</v>
      </c>
      <c r="B526" s="12">
        <v>681</v>
      </c>
      <c r="K526" s="15">
        <v>1024</v>
      </c>
    </row>
    <row r="527" spans="1:11" x14ac:dyDescent="0.25">
      <c r="A527" s="16">
        <v>3.7127104498136941E+19</v>
      </c>
      <c r="B527" s="12">
        <v>581</v>
      </c>
      <c r="K527" s="15">
        <v>4007</v>
      </c>
    </row>
    <row r="528" spans="1:11" x14ac:dyDescent="0.25">
      <c r="A528" s="16">
        <v>8.9089338637797229E+19</v>
      </c>
      <c r="B528" s="12">
        <v>862</v>
      </c>
      <c r="K528" s="15">
        <v>4007</v>
      </c>
    </row>
    <row r="529" spans="1:11" x14ac:dyDescent="0.25">
      <c r="A529" s="16">
        <v>6.6483656193737187E+19</v>
      </c>
      <c r="B529" s="12">
        <v>862</v>
      </c>
      <c r="K529" s="15">
        <v>4007</v>
      </c>
    </row>
    <row r="530" spans="1:11" x14ac:dyDescent="0.25">
      <c r="A530" s="16">
        <v>8.3849387675119501E+19</v>
      </c>
      <c r="B530" s="12">
        <v>862</v>
      </c>
      <c r="K530" s="15">
        <v>4007</v>
      </c>
    </row>
    <row r="531" spans="1:11" x14ac:dyDescent="0.25">
      <c r="A531" s="16">
        <v>4.877710646504421E+19</v>
      </c>
      <c r="B531" s="12">
        <v>676</v>
      </c>
      <c r="K531" s="15">
        <v>4007</v>
      </c>
    </row>
    <row r="532" spans="1:11" x14ac:dyDescent="0.25">
      <c r="A532" s="16">
        <v>1.6634272834361799E+19</v>
      </c>
      <c r="B532" s="12">
        <v>676</v>
      </c>
      <c r="K532" s="15">
        <v>4007</v>
      </c>
    </row>
    <row r="533" spans="1:11" x14ac:dyDescent="0.25">
      <c r="A533" s="16">
        <v>1.1473826286716006E+19</v>
      </c>
      <c r="B533" s="12">
        <v>676</v>
      </c>
      <c r="K533" s="15">
        <v>4007</v>
      </c>
    </row>
    <row r="534" spans="1:11" x14ac:dyDescent="0.25">
      <c r="A534" s="16">
        <v>7.7170921324177408E+19</v>
      </c>
      <c r="B534" s="12">
        <v>676</v>
      </c>
      <c r="K534" s="15">
        <v>4007</v>
      </c>
    </row>
    <row r="535" spans="1:11" x14ac:dyDescent="0.25">
      <c r="A535" s="16">
        <v>1.4039548237119994E+19</v>
      </c>
      <c r="B535" s="12">
        <v>1511</v>
      </c>
      <c r="K535" s="15">
        <v>4005</v>
      </c>
    </row>
    <row r="536" spans="1:11" x14ac:dyDescent="0.25">
      <c r="A536" s="16">
        <v>7.0089149197352108E+19</v>
      </c>
      <c r="B536" s="12">
        <v>662</v>
      </c>
      <c r="K536" s="15">
        <v>4005</v>
      </c>
    </row>
    <row r="537" spans="1:11" x14ac:dyDescent="0.25">
      <c r="A537" s="16">
        <v>7.6508417586170462E+19</v>
      </c>
      <c r="B537" s="12">
        <v>662</v>
      </c>
      <c r="K537" s="15">
        <v>4005</v>
      </c>
    </row>
    <row r="538" spans="1:11" x14ac:dyDescent="0.25">
      <c r="A538" s="16">
        <v>6.0563293039724044E+19</v>
      </c>
      <c r="B538" s="12">
        <v>481</v>
      </c>
      <c r="K538" s="15">
        <v>4005</v>
      </c>
    </row>
    <row r="539" spans="1:11" x14ac:dyDescent="0.25">
      <c r="A539" s="16">
        <v>9.1464606083757687E+19</v>
      </c>
      <c r="B539" s="12">
        <v>1062</v>
      </c>
      <c r="K539" s="15">
        <v>4005</v>
      </c>
    </row>
    <row r="540" spans="1:11" x14ac:dyDescent="0.25">
      <c r="A540" s="16">
        <v>9.4992313785932431E+19</v>
      </c>
      <c r="B540" s="12">
        <v>1062</v>
      </c>
      <c r="K540" s="15">
        <v>4005</v>
      </c>
    </row>
    <row r="541" spans="1:11" x14ac:dyDescent="0.25">
      <c r="A541" s="16">
        <v>1.2434244349040939E+19</v>
      </c>
      <c r="B541" s="12">
        <v>1062</v>
      </c>
      <c r="K541" s="15">
        <v>4005</v>
      </c>
    </row>
    <row r="542" spans="1:11" x14ac:dyDescent="0.25">
      <c r="A542" s="16">
        <v>8.3498795084766052E+19</v>
      </c>
      <c r="B542" s="12">
        <v>1062</v>
      </c>
      <c r="K542" s="15">
        <v>4005</v>
      </c>
    </row>
    <row r="543" spans="1:11" x14ac:dyDescent="0.25">
      <c r="A543" s="16">
        <v>1.1147162381727734E+19</v>
      </c>
      <c r="B543" s="12">
        <v>1062</v>
      </c>
      <c r="K543" s="15">
        <v>4005</v>
      </c>
    </row>
    <row r="544" spans="1:11" x14ac:dyDescent="0.25">
      <c r="A544" s="16">
        <v>9.6842860141027672E+19</v>
      </c>
      <c r="B544" s="12">
        <v>1062</v>
      </c>
      <c r="K544" s="15">
        <v>4005</v>
      </c>
    </row>
    <row r="545" spans="1:11" x14ac:dyDescent="0.25">
      <c r="A545" s="16">
        <v>7.0759696292250386E+19</v>
      </c>
      <c r="B545" s="12">
        <v>1062</v>
      </c>
      <c r="K545" s="15">
        <v>4005</v>
      </c>
    </row>
    <row r="546" spans="1:11" x14ac:dyDescent="0.25">
      <c r="A546" s="16">
        <v>1.9884824104801985E+19</v>
      </c>
      <c r="B546" s="12">
        <v>1062</v>
      </c>
      <c r="K546" s="15">
        <v>4005</v>
      </c>
    </row>
    <row r="547" spans="1:11" x14ac:dyDescent="0.25">
      <c r="A547" s="16">
        <v>4.5272442757145018E+19</v>
      </c>
      <c r="B547" s="12">
        <v>1062</v>
      </c>
      <c r="K547" s="15">
        <v>4005</v>
      </c>
    </row>
    <row r="548" spans="1:11" x14ac:dyDescent="0.25">
      <c r="A548" s="16">
        <v>8.8199515883407884E+19</v>
      </c>
      <c r="B548" s="12">
        <v>1062</v>
      </c>
      <c r="K548" s="15">
        <v>4005</v>
      </c>
    </row>
    <row r="549" spans="1:11" x14ac:dyDescent="0.25">
      <c r="A549" s="16">
        <v>6.2738866493405299E+19</v>
      </c>
      <c r="B549" s="12">
        <v>1062</v>
      </c>
      <c r="K549" s="15">
        <v>4005</v>
      </c>
    </row>
    <row r="550" spans="1:11" x14ac:dyDescent="0.25">
      <c r="A550" s="16">
        <v>9.879670986427741E+19</v>
      </c>
      <c r="B550" s="12">
        <v>1062</v>
      </c>
      <c r="K550" s="15">
        <v>4005</v>
      </c>
    </row>
    <row r="551" spans="1:11" x14ac:dyDescent="0.25">
      <c r="A551" s="16">
        <v>7.7599342861540377E+19</v>
      </c>
      <c r="B551" s="12">
        <v>408</v>
      </c>
      <c r="K551" s="15">
        <v>1013</v>
      </c>
    </row>
    <row r="552" spans="1:11" x14ac:dyDescent="0.25">
      <c r="A552" s="16">
        <v>7.7587295025168384E+19</v>
      </c>
      <c r="B552" s="12">
        <v>408</v>
      </c>
      <c r="K552" s="15">
        <v>1013</v>
      </c>
    </row>
    <row r="553" spans="1:11" x14ac:dyDescent="0.25">
      <c r="A553" s="16">
        <v>6.6773909159375536E+19</v>
      </c>
      <c r="B553" s="12">
        <v>408</v>
      </c>
      <c r="K553" s="15">
        <v>1013</v>
      </c>
    </row>
    <row r="554" spans="1:11" x14ac:dyDescent="0.25">
      <c r="A554" s="16">
        <v>4.0973129518178828E+19</v>
      </c>
      <c r="B554" s="12">
        <v>307</v>
      </c>
      <c r="K554" s="15">
        <v>1013</v>
      </c>
    </row>
    <row r="555" spans="1:11" x14ac:dyDescent="0.25">
      <c r="A555" s="16">
        <v>2.1106179859708293E+19</v>
      </c>
      <c r="B555" s="12">
        <v>307</v>
      </c>
      <c r="K555" s="15">
        <v>1013</v>
      </c>
    </row>
    <row r="556" spans="1:11" x14ac:dyDescent="0.25">
      <c r="A556" s="16">
        <v>5.6537176342250775E+19</v>
      </c>
      <c r="B556" s="12">
        <v>307</v>
      </c>
      <c r="K556" s="15">
        <v>1013</v>
      </c>
    </row>
    <row r="557" spans="1:11" x14ac:dyDescent="0.25">
      <c r="A557" s="16">
        <v>8.3767919110012715E+19</v>
      </c>
      <c r="B557" s="12">
        <v>307</v>
      </c>
      <c r="K557" s="15">
        <v>1013</v>
      </c>
    </row>
    <row r="558" spans="1:11" x14ac:dyDescent="0.25">
      <c r="A558" s="16">
        <v>4.1288128564656783E+19</v>
      </c>
      <c r="B558" s="12">
        <v>508</v>
      </c>
      <c r="K558" s="15">
        <v>1013</v>
      </c>
    </row>
    <row r="559" spans="1:11" x14ac:dyDescent="0.25">
      <c r="A559" s="16">
        <v>3.2440763564919108E+19</v>
      </c>
      <c r="B559" s="12">
        <v>508</v>
      </c>
      <c r="K559" s="15">
        <v>1013</v>
      </c>
    </row>
    <row r="560" spans="1:11" x14ac:dyDescent="0.25">
      <c r="A560" s="16">
        <v>8.0584498874193445E+19</v>
      </c>
      <c r="B560" s="12">
        <v>508</v>
      </c>
      <c r="K560" s="15">
        <v>1013</v>
      </c>
    </row>
    <row r="561" spans="1:11" x14ac:dyDescent="0.25">
      <c r="A561" s="16">
        <v>5.8410404401616339E+19</v>
      </c>
      <c r="B561" s="12">
        <v>508</v>
      </c>
      <c r="K561" s="15">
        <v>1013</v>
      </c>
    </row>
    <row r="562" spans="1:11" x14ac:dyDescent="0.25">
      <c r="A562" s="16">
        <v>4.3661479603449053E+19</v>
      </c>
      <c r="B562" s="12">
        <v>507</v>
      </c>
      <c r="K562" s="15">
        <v>1013</v>
      </c>
    </row>
    <row r="563" spans="1:11" x14ac:dyDescent="0.25">
      <c r="A563" s="16">
        <v>2.0210515581398897E+19</v>
      </c>
      <c r="B563" s="12">
        <v>507</v>
      </c>
      <c r="K563" s="15">
        <v>1013</v>
      </c>
    </row>
    <row r="564" spans="1:11" x14ac:dyDescent="0.25">
      <c r="A564" s="16">
        <v>8.1186322822972375E+19</v>
      </c>
      <c r="B564" s="12">
        <v>507</v>
      </c>
      <c r="K564" s="15">
        <v>1013</v>
      </c>
    </row>
    <row r="565" spans="1:11" x14ac:dyDescent="0.25">
      <c r="A565" s="16">
        <v>9.0575106117085151E+19</v>
      </c>
      <c r="B565" s="12">
        <v>507</v>
      </c>
      <c r="K565" s="15">
        <v>4008</v>
      </c>
    </row>
    <row r="566" spans="1:11" x14ac:dyDescent="0.25">
      <c r="A566" s="16">
        <v>1.6848108465622473E+19</v>
      </c>
      <c r="B566" s="12">
        <v>608</v>
      </c>
      <c r="K566" s="15">
        <v>4008</v>
      </c>
    </row>
    <row r="567" spans="1:11" x14ac:dyDescent="0.25">
      <c r="A567" s="16">
        <v>6.6577664828218401E+19</v>
      </c>
      <c r="B567" s="12">
        <v>608</v>
      </c>
      <c r="K567" s="15">
        <v>4008</v>
      </c>
    </row>
    <row r="568" spans="1:11" x14ac:dyDescent="0.25">
      <c r="A568" s="16">
        <v>4.6009319914069819E+19</v>
      </c>
      <c r="B568" s="12">
        <v>608</v>
      </c>
      <c r="K568" s="15">
        <v>4008</v>
      </c>
    </row>
    <row r="569" spans="1:11" x14ac:dyDescent="0.25">
      <c r="A569" s="16">
        <v>8.6581258149642338E+19</v>
      </c>
      <c r="B569" s="12">
        <v>608</v>
      </c>
      <c r="K569" s="15">
        <v>4008</v>
      </c>
    </row>
    <row r="570" spans="1:11" x14ac:dyDescent="0.25">
      <c r="A570" s="16">
        <v>6.3952555896064475E+19</v>
      </c>
      <c r="B570" s="12">
        <v>352</v>
      </c>
      <c r="K570" s="15">
        <v>4008</v>
      </c>
    </row>
    <row r="571" spans="1:11" x14ac:dyDescent="0.25">
      <c r="A571" s="16">
        <v>8.4176568176672014E+19</v>
      </c>
      <c r="B571" s="12">
        <v>352</v>
      </c>
      <c r="K571" s="15">
        <v>4008</v>
      </c>
    </row>
    <row r="572" spans="1:11" x14ac:dyDescent="0.25">
      <c r="A572" s="16">
        <v>5.8554509630847361E+19</v>
      </c>
      <c r="B572" s="12">
        <v>352</v>
      </c>
      <c r="K572" s="15">
        <v>4008</v>
      </c>
    </row>
    <row r="573" spans="1:11" x14ac:dyDescent="0.25">
      <c r="A573" s="16">
        <v>4.8183589347500794E+19</v>
      </c>
      <c r="B573" s="12">
        <v>352</v>
      </c>
      <c r="K573" s="15">
        <v>4008</v>
      </c>
    </row>
    <row r="574" spans="1:11" x14ac:dyDescent="0.25">
      <c r="A574" s="16">
        <v>8.9971982198421176E+19</v>
      </c>
      <c r="B574" s="12">
        <v>352</v>
      </c>
      <c r="K574" s="15">
        <v>4008</v>
      </c>
    </row>
    <row r="575" spans="1:11" x14ac:dyDescent="0.25">
      <c r="A575" s="16">
        <v>1.6312360105176592E+19</v>
      </c>
      <c r="B575" s="12">
        <v>352</v>
      </c>
      <c r="K575" s="15">
        <v>4008</v>
      </c>
    </row>
    <row r="576" spans="1:11" x14ac:dyDescent="0.25">
      <c r="A576" s="16">
        <v>4.0200827458525184E+19</v>
      </c>
      <c r="B576" s="12">
        <v>352</v>
      </c>
      <c r="K576" s="15">
        <v>4008</v>
      </c>
    </row>
    <row r="577" spans="1:11" x14ac:dyDescent="0.25">
      <c r="A577" s="16">
        <v>4.0434908727544013E+19</v>
      </c>
      <c r="B577" s="12">
        <v>352</v>
      </c>
      <c r="K577" s="15">
        <v>4008</v>
      </c>
    </row>
    <row r="578" spans="1:11" x14ac:dyDescent="0.25">
      <c r="A578" s="16">
        <v>2.483005226108407E+19</v>
      </c>
      <c r="B578" s="12">
        <v>5054</v>
      </c>
      <c r="K578" s="15">
        <v>4008</v>
      </c>
    </row>
    <row r="579" spans="1:11" x14ac:dyDescent="0.25">
      <c r="A579" s="16">
        <v>5.7867531304023949E+19</v>
      </c>
      <c r="B579" s="12">
        <v>5054</v>
      </c>
      <c r="K579" s="15">
        <v>4008</v>
      </c>
    </row>
    <row r="580" spans="1:11" x14ac:dyDescent="0.25">
      <c r="A580" s="16">
        <v>5.8760877630829199E+19</v>
      </c>
      <c r="B580" s="12">
        <v>5054</v>
      </c>
      <c r="K580" s="15">
        <v>4008</v>
      </c>
    </row>
    <row r="581" spans="1:11" x14ac:dyDescent="0.25">
      <c r="A581" s="16">
        <v>9.2263822199957619E+19</v>
      </c>
      <c r="B581" s="12">
        <v>5054</v>
      </c>
      <c r="K581" s="15">
        <v>5041</v>
      </c>
    </row>
    <row r="582" spans="1:11" x14ac:dyDescent="0.25">
      <c r="A582" s="16">
        <v>4.7557522115459129E+19</v>
      </c>
      <c r="B582" s="12">
        <v>5054</v>
      </c>
      <c r="K582" s="15">
        <v>5041</v>
      </c>
    </row>
    <row r="583" spans="1:11" x14ac:dyDescent="0.25">
      <c r="A583" s="16">
        <v>5.1583830150996804E+19</v>
      </c>
      <c r="B583" s="12">
        <v>5054</v>
      </c>
      <c r="K583" s="15">
        <v>5041</v>
      </c>
    </row>
    <row r="584" spans="1:11" x14ac:dyDescent="0.25">
      <c r="A584" s="16">
        <v>4.8813154746124911E+19</v>
      </c>
      <c r="B584" s="12">
        <v>3451</v>
      </c>
      <c r="K584" s="15">
        <v>5041</v>
      </c>
    </row>
    <row r="585" spans="1:11" x14ac:dyDescent="0.25">
      <c r="A585" s="16">
        <v>5.0698234079987286E+19</v>
      </c>
      <c r="B585" s="12">
        <v>3451</v>
      </c>
      <c r="K585" s="15">
        <v>5041</v>
      </c>
    </row>
    <row r="586" spans="1:11" x14ac:dyDescent="0.25">
      <c r="A586" s="16">
        <v>9.882356196869564E+19</v>
      </c>
      <c r="B586" s="12">
        <v>3451</v>
      </c>
      <c r="K586" s="15">
        <v>5041</v>
      </c>
    </row>
    <row r="587" spans="1:11" x14ac:dyDescent="0.25">
      <c r="A587" s="16">
        <v>4.884756118148078E+19</v>
      </c>
      <c r="B587" s="12">
        <v>3452</v>
      </c>
      <c r="K587" s="15">
        <v>5041</v>
      </c>
    </row>
    <row r="588" spans="1:11" x14ac:dyDescent="0.25">
      <c r="A588" s="16">
        <v>1.7428084236810498E+19</v>
      </c>
      <c r="B588" s="12">
        <v>3452</v>
      </c>
      <c r="K588" s="15">
        <v>5041</v>
      </c>
    </row>
    <row r="589" spans="1:11" x14ac:dyDescent="0.25">
      <c r="A589" s="16">
        <v>1.3647071503450681E+19</v>
      </c>
      <c r="B589" s="12">
        <v>3452</v>
      </c>
      <c r="K589" s="15">
        <v>5041</v>
      </c>
    </row>
    <row r="590" spans="1:11" x14ac:dyDescent="0.25">
      <c r="A590" s="16">
        <v>9.0407982577612931E+19</v>
      </c>
      <c r="B590" s="12">
        <v>3426</v>
      </c>
      <c r="K590" s="15">
        <v>5041</v>
      </c>
    </row>
    <row r="591" spans="1:11" x14ac:dyDescent="0.25">
      <c r="A591" s="16">
        <v>1.4771254765254863E+19</v>
      </c>
      <c r="B591" s="12">
        <v>19058</v>
      </c>
      <c r="K591" s="15">
        <v>5041</v>
      </c>
    </row>
    <row r="592" spans="1:11" x14ac:dyDescent="0.25">
      <c r="A592" s="16">
        <v>4.4406398445870686E+19</v>
      </c>
      <c r="B592" s="12">
        <v>19058</v>
      </c>
      <c r="K592" s="15">
        <v>5041</v>
      </c>
    </row>
    <row r="593" spans="1:11" x14ac:dyDescent="0.25">
      <c r="A593" s="16">
        <v>4.0421496388724605E+19</v>
      </c>
      <c r="B593" s="12">
        <v>19058</v>
      </c>
      <c r="K593" s="15">
        <v>5041</v>
      </c>
    </row>
    <row r="594" spans="1:11" x14ac:dyDescent="0.25">
      <c r="A594" s="16">
        <v>8.9821298547393118E+19</v>
      </c>
      <c r="B594" s="12">
        <v>5054</v>
      </c>
      <c r="K594" s="15">
        <v>5041</v>
      </c>
    </row>
    <row r="595" spans="1:11" x14ac:dyDescent="0.25">
      <c r="A595" s="16">
        <v>3.4522429462386389E+19</v>
      </c>
      <c r="B595" s="12">
        <v>5054</v>
      </c>
      <c r="K595" s="15">
        <v>5041</v>
      </c>
    </row>
    <row r="596" spans="1:11" x14ac:dyDescent="0.25">
      <c r="A596" s="16">
        <v>5.8970389780595663E+19</v>
      </c>
      <c r="B596" s="12">
        <v>5040</v>
      </c>
      <c r="K596" s="15">
        <v>5041</v>
      </c>
    </row>
    <row r="597" spans="1:11" x14ac:dyDescent="0.25">
      <c r="A597" s="16">
        <v>3.7671532122968302E+19</v>
      </c>
      <c r="B597" s="12">
        <v>5040</v>
      </c>
      <c r="K597" s="15">
        <v>5041</v>
      </c>
    </row>
    <row r="598" spans="1:11" x14ac:dyDescent="0.25">
      <c r="A598" s="16">
        <v>4.6244425481962422E+19</v>
      </c>
      <c r="B598" s="12">
        <v>5040</v>
      </c>
      <c r="K598" s="15">
        <v>5041</v>
      </c>
    </row>
    <row r="599" spans="1:11" x14ac:dyDescent="0.25">
      <c r="A599" s="16">
        <v>4.1638374906245726E+19</v>
      </c>
      <c r="B599" s="12">
        <v>5040</v>
      </c>
      <c r="K599" s="15">
        <v>5041</v>
      </c>
    </row>
    <row r="600" spans="1:11" x14ac:dyDescent="0.25">
      <c r="A600" s="16">
        <v>8.8610424880296493E+19</v>
      </c>
      <c r="B600" s="12">
        <v>3436</v>
      </c>
      <c r="K600" s="15">
        <v>5041</v>
      </c>
    </row>
    <row r="601" spans="1:11" x14ac:dyDescent="0.25">
      <c r="A601" s="16">
        <v>5.4895808595158548E+19</v>
      </c>
      <c r="B601" s="12">
        <v>3436</v>
      </c>
      <c r="K601" s="15">
        <v>5041</v>
      </c>
    </row>
    <row r="602" spans="1:11" x14ac:dyDescent="0.25">
      <c r="A602" s="16">
        <v>9.6896036711978418E+19</v>
      </c>
      <c r="B602" s="12">
        <v>3437</v>
      </c>
      <c r="K602" s="15">
        <v>5041</v>
      </c>
    </row>
    <row r="603" spans="1:11" x14ac:dyDescent="0.25">
      <c r="A603" s="16">
        <v>8.0570997255323779E+19</v>
      </c>
      <c r="B603" s="12">
        <v>3437</v>
      </c>
      <c r="K603" s="15">
        <v>5041</v>
      </c>
    </row>
    <row r="604" spans="1:11" x14ac:dyDescent="0.25">
      <c r="A604" s="16">
        <v>6.8120492719849275E+19</v>
      </c>
      <c r="B604" s="12">
        <v>3438</v>
      </c>
      <c r="K604" s="15">
        <v>5041</v>
      </c>
    </row>
    <row r="605" spans="1:11" x14ac:dyDescent="0.25">
      <c r="A605" s="16">
        <v>2.9247343056140067E+19</v>
      </c>
      <c r="B605" s="12">
        <v>3438</v>
      </c>
      <c r="K605" s="15">
        <v>4006</v>
      </c>
    </row>
    <row r="606" spans="1:11" x14ac:dyDescent="0.25">
      <c r="A606" s="16">
        <v>7.7763038105894879E+19</v>
      </c>
      <c r="B606" s="12">
        <v>3438</v>
      </c>
      <c r="K606" s="15">
        <v>4006</v>
      </c>
    </row>
    <row r="607" spans="1:11" x14ac:dyDescent="0.25">
      <c r="A607" s="16">
        <v>2.2612995613094396E+19</v>
      </c>
      <c r="B607" s="12">
        <v>3439</v>
      </c>
      <c r="K607" s="15">
        <v>4006</v>
      </c>
    </row>
    <row r="608" spans="1:11" x14ac:dyDescent="0.25">
      <c r="A608" s="16">
        <v>5.1336099030271992E+19</v>
      </c>
      <c r="B608" s="12">
        <v>3439</v>
      </c>
      <c r="K608" s="15">
        <v>4006</v>
      </c>
    </row>
    <row r="609" spans="1:11" x14ac:dyDescent="0.25">
      <c r="A609" s="16">
        <v>1.7347356434990604E+19</v>
      </c>
      <c r="B609" s="12">
        <v>3439</v>
      </c>
      <c r="K609" s="15">
        <v>4006</v>
      </c>
    </row>
    <row r="610" spans="1:11" x14ac:dyDescent="0.25">
      <c r="A610" s="16">
        <v>2.3728055702683943E+19</v>
      </c>
      <c r="B610" s="12">
        <v>3433</v>
      </c>
      <c r="K610" s="15">
        <v>4006</v>
      </c>
    </row>
    <row r="611" spans="1:11" x14ac:dyDescent="0.25">
      <c r="A611" s="16">
        <v>6.1476306289375502E+19</v>
      </c>
      <c r="B611" s="12">
        <v>3433</v>
      </c>
      <c r="K611" s="15">
        <v>4006</v>
      </c>
    </row>
    <row r="612" spans="1:11" x14ac:dyDescent="0.25">
      <c r="A612" s="16">
        <v>9.1257613103119303E+19</v>
      </c>
      <c r="B612" s="12">
        <v>3434</v>
      </c>
      <c r="K612" s="15">
        <v>4006</v>
      </c>
    </row>
    <row r="613" spans="1:11" x14ac:dyDescent="0.25">
      <c r="A613" s="16">
        <v>8.4866531462162137E+19</v>
      </c>
      <c r="B613" s="12">
        <v>3434</v>
      </c>
      <c r="K613" s="15">
        <v>4006</v>
      </c>
    </row>
    <row r="614" spans="1:11" x14ac:dyDescent="0.25">
      <c r="A614" s="16">
        <v>8.725088982798721E+19</v>
      </c>
      <c r="B614" s="12">
        <v>3432</v>
      </c>
      <c r="K614" s="15">
        <v>4006</v>
      </c>
    </row>
    <row r="615" spans="1:11" x14ac:dyDescent="0.25">
      <c r="A615" s="16">
        <v>3.7008752535975002E+19</v>
      </c>
      <c r="B615" s="12">
        <v>3432</v>
      </c>
      <c r="K615" s="15">
        <v>4006</v>
      </c>
    </row>
    <row r="616" spans="1:11" x14ac:dyDescent="0.25">
      <c r="A616" s="16">
        <v>3.4804324675243266E+19</v>
      </c>
      <c r="B616" s="12">
        <v>3455</v>
      </c>
      <c r="K616" s="15">
        <v>4006</v>
      </c>
    </row>
    <row r="617" spans="1:11" x14ac:dyDescent="0.25">
      <c r="A617" s="16">
        <v>7.3505801564249194E+19</v>
      </c>
      <c r="B617" s="12">
        <v>3455</v>
      </c>
      <c r="K617" s="15">
        <v>4006</v>
      </c>
    </row>
    <row r="618" spans="1:11" x14ac:dyDescent="0.25">
      <c r="A618" s="16">
        <v>8.3555206499540468E+19</v>
      </c>
      <c r="B618" s="12">
        <v>1151</v>
      </c>
      <c r="K618" s="15">
        <v>4006</v>
      </c>
    </row>
    <row r="619" spans="1:11" x14ac:dyDescent="0.25">
      <c r="A619" s="16">
        <v>9.767140385222461E+19</v>
      </c>
      <c r="B619" s="12">
        <v>1151</v>
      </c>
      <c r="K619" s="15">
        <v>4006</v>
      </c>
    </row>
    <row r="620" spans="1:11" x14ac:dyDescent="0.25">
      <c r="A620" s="16">
        <v>8.1447574600155054E+19</v>
      </c>
      <c r="B620" s="12">
        <v>1151</v>
      </c>
      <c r="K620" s="15">
        <v>4006</v>
      </c>
    </row>
    <row r="621" spans="1:11" x14ac:dyDescent="0.25">
      <c r="A621" s="16">
        <v>3.3233686750265E+19</v>
      </c>
      <c r="B621" s="12">
        <v>1151</v>
      </c>
      <c r="K621" s="15">
        <v>4015</v>
      </c>
    </row>
    <row r="622" spans="1:11" x14ac:dyDescent="0.25">
      <c r="A622" s="16">
        <v>6.8371930962219246E+19</v>
      </c>
      <c r="B622" s="12">
        <v>2151</v>
      </c>
      <c r="K622" s="15">
        <v>4015</v>
      </c>
    </row>
    <row r="623" spans="1:11" x14ac:dyDescent="0.25">
      <c r="A623" s="16">
        <v>9.9978087191437951E+19</v>
      </c>
      <c r="B623" s="12">
        <v>2151</v>
      </c>
      <c r="K623" s="15">
        <v>4015</v>
      </c>
    </row>
    <row r="624" spans="1:11" x14ac:dyDescent="0.25">
      <c r="A624" s="16">
        <v>4.0759787665599513E+19</v>
      </c>
      <c r="B624" s="12">
        <v>2151</v>
      </c>
      <c r="K624" s="15">
        <v>4015</v>
      </c>
    </row>
    <row r="625" spans="1:11" x14ac:dyDescent="0.25">
      <c r="A625" s="16">
        <v>8.3895400433017176E+19</v>
      </c>
      <c r="B625" s="12">
        <v>2151</v>
      </c>
      <c r="K625" s="15">
        <v>4015</v>
      </c>
    </row>
    <row r="626" spans="1:11" x14ac:dyDescent="0.25">
      <c r="A626" s="16">
        <v>6.4878158821662122E+19</v>
      </c>
      <c r="B626" s="12">
        <v>11</v>
      </c>
      <c r="K626" s="15">
        <v>4015</v>
      </c>
    </row>
    <row r="627" spans="1:11" x14ac:dyDescent="0.25">
      <c r="A627" s="16">
        <v>5.3566501690645783E+19</v>
      </c>
      <c r="B627" s="12">
        <v>11</v>
      </c>
      <c r="K627" s="15">
        <v>4015</v>
      </c>
    </row>
    <row r="628" spans="1:11" x14ac:dyDescent="0.25">
      <c r="A628" s="16">
        <v>6.0997508152438235E+19</v>
      </c>
      <c r="B628" s="12">
        <v>11</v>
      </c>
      <c r="K628" s="15">
        <v>4015</v>
      </c>
    </row>
    <row r="629" spans="1:11" x14ac:dyDescent="0.25">
      <c r="A629" s="16">
        <v>1.0716535244722778E+19</v>
      </c>
      <c r="B629" s="12">
        <v>11</v>
      </c>
      <c r="K629" s="15">
        <v>4015</v>
      </c>
    </row>
    <row r="630" spans="1:11" x14ac:dyDescent="0.25">
      <c r="A630" s="16">
        <v>6.5044194687834268E+19</v>
      </c>
      <c r="B630" s="12">
        <v>11</v>
      </c>
      <c r="K630" s="15">
        <v>4015</v>
      </c>
    </row>
    <row r="631" spans="1:11" x14ac:dyDescent="0.25">
      <c r="A631" s="16">
        <v>3.500548539752117E+19</v>
      </c>
      <c r="B631" s="12">
        <v>9040</v>
      </c>
      <c r="K631" s="15">
        <v>4015</v>
      </c>
    </row>
    <row r="632" spans="1:11" x14ac:dyDescent="0.25">
      <c r="A632" s="16">
        <v>4.765652221227375E+19</v>
      </c>
      <c r="B632" s="12">
        <v>9040</v>
      </c>
      <c r="K632" s="15">
        <v>4015</v>
      </c>
    </row>
    <row r="633" spans="1:11" x14ac:dyDescent="0.25">
      <c r="A633" s="16">
        <v>2.7107471908172149E+19</v>
      </c>
      <c r="B633" s="12">
        <v>9040</v>
      </c>
      <c r="K633" s="15">
        <v>4015</v>
      </c>
    </row>
    <row r="634" spans="1:11" x14ac:dyDescent="0.25">
      <c r="A634" s="16">
        <v>1.4780980907975197E+19</v>
      </c>
      <c r="B634" s="12">
        <v>9040</v>
      </c>
      <c r="K634" s="15">
        <v>4015</v>
      </c>
    </row>
    <row r="635" spans="1:11" x14ac:dyDescent="0.25">
      <c r="A635" s="16">
        <v>3.7233119241254445E+19</v>
      </c>
      <c r="B635" s="12">
        <v>9040</v>
      </c>
      <c r="K635" s="15">
        <v>4015</v>
      </c>
    </row>
    <row r="636" spans="1:11" x14ac:dyDescent="0.25">
      <c r="A636" s="16">
        <v>2.7666101859140739E+19</v>
      </c>
      <c r="B636" s="12">
        <v>9040</v>
      </c>
      <c r="K636" s="15">
        <v>4015</v>
      </c>
    </row>
    <row r="637" spans="1:11" x14ac:dyDescent="0.25">
      <c r="A637" s="16">
        <v>3.2268441938842767E+19</v>
      </c>
      <c r="B637" s="12">
        <v>9040</v>
      </c>
      <c r="K637" s="15">
        <v>4012</v>
      </c>
    </row>
    <row r="638" spans="1:11" x14ac:dyDescent="0.25">
      <c r="A638" s="16">
        <v>1.092365642562338E+19</v>
      </c>
      <c r="B638" s="12">
        <v>9040</v>
      </c>
      <c r="K638" s="15">
        <v>4012</v>
      </c>
    </row>
    <row r="639" spans="1:11" x14ac:dyDescent="0.25">
      <c r="A639" s="16">
        <v>8.935287334430276E+19</v>
      </c>
      <c r="B639" s="12">
        <v>9044</v>
      </c>
      <c r="K639" s="15">
        <v>4012</v>
      </c>
    </row>
    <row r="640" spans="1:11" x14ac:dyDescent="0.25">
      <c r="A640" s="16">
        <v>5.4941545307146797E+19</v>
      </c>
      <c r="B640" s="12">
        <v>9044</v>
      </c>
      <c r="K640" s="15">
        <v>4012</v>
      </c>
    </row>
    <row r="641" spans="1:11" x14ac:dyDescent="0.25">
      <c r="A641" s="16">
        <v>4.1382685134988607E+19</v>
      </c>
      <c r="B641" s="12">
        <v>9044</v>
      </c>
      <c r="K641" s="15">
        <v>4012</v>
      </c>
    </row>
    <row r="642" spans="1:11" x14ac:dyDescent="0.25">
      <c r="A642" s="16">
        <v>9.7097325397973221E+19</v>
      </c>
      <c r="B642" s="12">
        <v>9044</v>
      </c>
      <c r="K642" s="15">
        <v>4012</v>
      </c>
    </row>
    <row r="643" spans="1:11" x14ac:dyDescent="0.25">
      <c r="A643" s="16">
        <v>8.44778067822186E+19</v>
      </c>
      <c r="B643" s="12">
        <v>9044</v>
      </c>
      <c r="K643" s="15">
        <v>4012</v>
      </c>
    </row>
    <row r="644" spans="1:11" x14ac:dyDescent="0.25">
      <c r="A644" s="16">
        <v>6.1983594846577156E+19</v>
      </c>
      <c r="B644" s="12">
        <v>9044</v>
      </c>
      <c r="K644" s="15">
        <v>4012</v>
      </c>
    </row>
    <row r="645" spans="1:11" x14ac:dyDescent="0.25">
      <c r="A645" s="16">
        <v>3.914174584614146E+19</v>
      </c>
      <c r="B645" s="12">
        <v>9044</v>
      </c>
      <c r="K645" s="15">
        <v>4012</v>
      </c>
    </row>
    <row r="646" spans="1:11" x14ac:dyDescent="0.25">
      <c r="A646" s="16">
        <v>6.5104974257249001E+19</v>
      </c>
      <c r="B646" s="12">
        <v>9044</v>
      </c>
      <c r="K646" s="15">
        <v>4012</v>
      </c>
    </row>
    <row r="647" spans="1:11" x14ac:dyDescent="0.25">
      <c r="A647" s="16">
        <v>3.6794262863241175E+19</v>
      </c>
      <c r="B647" s="12">
        <v>1102</v>
      </c>
      <c r="K647" s="15">
        <v>4012</v>
      </c>
    </row>
    <row r="648" spans="1:11" x14ac:dyDescent="0.25">
      <c r="A648" s="16">
        <v>2.9605101331437191E+19</v>
      </c>
      <c r="B648" s="12">
        <v>1102</v>
      </c>
      <c r="K648" s="15">
        <v>4012</v>
      </c>
    </row>
    <row r="649" spans="1:11" x14ac:dyDescent="0.25">
      <c r="A649" s="16">
        <v>1.987928587135336E+19</v>
      </c>
      <c r="B649" s="12">
        <v>1102</v>
      </c>
      <c r="K649" s="15">
        <v>1001</v>
      </c>
    </row>
    <row r="650" spans="1:11" x14ac:dyDescent="0.25">
      <c r="A650" s="16">
        <v>1.4153273570510764E+19</v>
      </c>
      <c r="B650" s="12">
        <v>1102</v>
      </c>
      <c r="K650" s="15">
        <v>1001</v>
      </c>
    </row>
    <row r="651" spans="1:11" x14ac:dyDescent="0.25">
      <c r="A651" s="16">
        <v>7.063747549954089E+19</v>
      </c>
      <c r="B651" s="12">
        <v>1103</v>
      </c>
      <c r="K651" s="15">
        <v>1001</v>
      </c>
    </row>
    <row r="652" spans="1:11" x14ac:dyDescent="0.25">
      <c r="A652" s="16">
        <v>3.4120066481668313E+19</v>
      </c>
      <c r="B652" s="12">
        <v>1103</v>
      </c>
      <c r="K652" s="15">
        <v>1001</v>
      </c>
    </row>
    <row r="653" spans="1:11" x14ac:dyDescent="0.25">
      <c r="A653" s="16">
        <v>9.4616990581610758E+19</v>
      </c>
      <c r="B653" s="12">
        <v>1103</v>
      </c>
      <c r="K653" s="15">
        <v>1001</v>
      </c>
    </row>
    <row r="654" spans="1:11" x14ac:dyDescent="0.25">
      <c r="A654" s="16">
        <v>7.821172994855533E+19</v>
      </c>
      <c r="B654" s="12">
        <v>1103</v>
      </c>
      <c r="K654" s="15">
        <v>1001</v>
      </c>
    </row>
    <row r="655" spans="1:11" x14ac:dyDescent="0.25">
      <c r="A655" s="16">
        <v>2.1383565169218339E+19</v>
      </c>
      <c r="B655" s="12">
        <v>7128</v>
      </c>
      <c r="K655" s="15">
        <v>1001</v>
      </c>
    </row>
    <row r="656" spans="1:11" x14ac:dyDescent="0.25">
      <c r="A656" s="16">
        <v>3.4746165970662171E+19</v>
      </c>
      <c r="B656" s="12">
        <v>7128</v>
      </c>
      <c r="K656" s="15">
        <v>1001</v>
      </c>
    </row>
    <row r="657" spans="1:11" x14ac:dyDescent="0.25">
      <c r="A657" s="16">
        <v>6.4957309970058379E+19</v>
      </c>
      <c r="B657" s="12">
        <v>7128</v>
      </c>
      <c r="K657" s="15">
        <v>1001</v>
      </c>
    </row>
    <row r="658" spans="1:11" x14ac:dyDescent="0.25">
      <c r="A658" s="16">
        <v>7.4168990130162762E+19</v>
      </c>
      <c r="B658" s="12">
        <v>7128</v>
      </c>
      <c r="K658" s="15">
        <v>1001</v>
      </c>
    </row>
    <row r="659" spans="1:11" x14ac:dyDescent="0.25">
      <c r="A659" s="16">
        <v>8.5719325632550158E+19</v>
      </c>
      <c r="B659" s="12">
        <v>8124</v>
      </c>
      <c r="K659" s="15">
        <v>1001</v>
      </c>
    </row>
    <row r="660" spans="1:11" x14ac:dyDescent="0.25">
      <c r="A660" s="16">
        <v>8.5929235113493234E+19</v>
      </c>
      <c r="B660" s="12">
        <v>8124</v>
      </c>
      <c r="K660" s="15">
        <v>1001</v>
      </c>
    </row>
    <row r="661" spans="1:11" x14ac:dyDescent="0.25">
      <c r="A661" s="16">
        <v>1.2857003569592762E+19</v>
      </c>
      <c r="B661" s="12">
        <v>8124</v>
      </c>
      <c r="K661" s="15">
        <v>1001</v>
      </c>
    </row>
    <row r="662" spans="1:11" x14ac:dyDescent="0.25">
      <c r="A662" s="16">
        <v>7.1130283902685602E+19</v>
      </c>
      <c r="B662" s="12">
        <v>8124</v>
      </c>
      <c r="K662" s="15">
        <v>1001</v>
      </c>
    </row>
    <row r="663" spans="1:11" x14ac:dyDescent="0.25">
      <c r="A663" s="16">
        <v>4.3299182481890132E+19</v>
      </c>
      <c r="B663" s="12">
        <v>8222</v>
      </c>
      <c r="K663" s="15">
        <v>1001</v>
      </c>
    </row>
    <row r="664" spans="1:11" x14ac:dyDescent="0.25">
      <c r="A664" s="16">
        <v>7.7739212149630566E+19</v>
      </c>
      <c r="B664" s="12">
        <v>8222</v>
      </c>
      <c r="K664" s="15">
        <v>1001</v>
      </c>
    </row>
    <row r="665" spans="1:11" x14ac:dyDescent="0.25">
      <c r="A665" s="16">
        <v>2.8420640994915754E+19</v>
      </c>
      <c r="B665" s="12">
        <v>8222</v>
      </c>
      <c r="K665" s="15">
        <v>1065</v>
      </c>
    </row>
    <row r="666" spans="1:11" x14ac:dyDescent="0.25">
      <c r="A666" s="16">
        <v>2.2172475425884246E+19</v>
      </c>
      <c r="B666" s="12">
        <v>8222</v>
      </c>
      <c r="K666" s="15">
        <v>1065</v>
      </c>
    </row>
    <row r="667" spans="1:11" x14ac:dyDescent="0.25">
      <c r="A667" s="16">
        <v>5.734500871958596E+19</v>
      </c>
      <c r="B667" s="12">
        <v>4450</v>
      </c>
      <c r="K667" s="15">
        <v>1065</v>
      </c>
    </row>
    <row r="668" spans="1:11" x14ac:dyDescent="0.25">
      <c r="A668" s="16">
        <v>9.785187620950229E+19</v>
      </c>
      <c r="B668" s="12">
        <v>4450</v>
      </c>
      <c r="K668" s="15">
        <v>1065</v>
      </c>
    </row>
    <row r="669" spans="1:11" x14ac:dyDescent="0.25">
      <c r="A669" s="16">
        <v>2.8825322916247814E+19</v>
      </c>
      <c r="B669" s="12">
        <v>4450</v>
      </c>
      <c r="K669" s="15">
        <v>1065</v>
      </c>
    </row>
    <row r="670" spans="1:11" x14ac:dyDescent="0.25">
      <c r="A670" s="16">
        <v>5.4008798183539941E+19</v>
      </c>
      <c r="B670" s="12">
        <v>1200</v>
      </c>
      <c r="K670" s="15">
        <v>1065</v>
      </c>
    </row>
    <row r="671" spans="1:11" x14ac:dyDescent="0.25">
      <c r="A671" s="16">
        <v>1.1699579266442942E+19</v>
      </c>
      <c r="B671" s="12">
        <v>1200</v>
      </c>
      <c r="K671" s="15">
        <v>1065</v>
      </c>
    </row>
    <row r="672" spans="1:11" x14ac:dyDescent="0.25">
      <c r="A672" s="16">
        <v>2.23922815614918E+19</v>
      </c>
      <c r="B672" s="12">
        <v>1200</v>
      </c>
      <c r="K672" s="15">
        <v>1065</v>
      </c>
    </row>
    <row r="673" spans="1:11" x14ac:dyDescent="0.25">
      <c r="A673" s="16">
        <v>9.4829292849504305E+19</v>
      </c>
      <c r="B673" s="12">
        <v>1200</v>
      </c>
      <c r="K673" s="15">
        <v>1065</v>
      </c>
    </row>
    <row r="674" spans="1:11" x14ac:dyDescent="0.25">
      <c r="A674" s="16">
        <v>1.209192096617709E+19</v>
      </c>
      <c r="B674" s="12">
        <v>1201</v>
      </c>
      <c r="K674" s="15">
        <v>1065</v>
      </c>
    </row>
    <row r="675" spans="1:11" x14ac:dyDescent="0.25">
      <c r="A675" s="16">
        <v>3.2222753741329727E+19</v>
      </c>
      <c r="B675" s="12">
        <v>1201</v>
      </c>
      <c r="K675" s="15">
        <v>1065</v>
      </c>
    </row>
    <row r="676" spans="1:11" x14ac:dyDescent="0.25">
      <c r="A676" s="16">
        <v>3.9228191588166468E+19</v>
      </c>
      <c r="B676" s="12">
        <v>1201</v>
      </c>
      <c r="K676" s="15">
        <v>1065</v>
      </c>
    </row>
    <row r="677" spans="1:11" x14ac:dyDescent="0.25">
      <c r="A677" s="16">
        <v>5.6401029752179974E+19</v>
      </c>
      <c r="B677" s="12">
        <v>1201</v>
      </c>
      <c r="K677" s="15">
        <v>1065</v>
      </c>
    </row>
    <row r="678" spans="1:11" x14ac:dyDescent="0.25">
      <c r="A678" s="16">
        <v>8.8143662953906438E+19</v>
      </c>
      <c r="B678" s="12">
        <v>642</v>
      </c>
      <c r="K678" s="15">
        <v>1065</v>
      </c>
    </row>
    <row r="679" spans="1:11" x14ac:dyDescent="0.25">
      <c r="A679" s="16">
        <v>1.9602627493978055E+19</v>
      </c>
      <c r="B679" s="12">
        <v>642</v>
      </c>
      <c r="K679" s="15">
        <v>1065</v>
      </c>
    </row>
    <row r="680" spans="1:11" x14ac:dyDescent="0.25">
      <c r="A680" s="16">
        <v>3.2645559826426343E+19</v>
      </c>
      <c r="B680" s="12">
        <v>107</v>
      </c>
      <c r="K680" s="15">
        <v>1065</v>
      </c>
    </row>
    <row r="681" spans="1:11" x14ac:dyDescent="0.25">
      <c r="A681" s="16">
        <v>6.3530011307883422E+19</v>
      </c>
      <c r="B681" s="12">
        <v>642</v>
      </c>
      <c r="K681" s="15">
        <v>1065</v>
      </c>
    </row>
    <row r="682" spans="1:11" x14ac:dyDescent="0.25">
      <c r="A682" s="16">
        <v>3.1418167410361938E+19</v>
      </c>
      <c r="B682" s="12">
        <v>642</v>
      </c>
      <c r="K682" s="15">
        <v>1065</v>
      </c>
    </row>
    <row r="683" spans="1:11" x14ac:dyDescent="0.25">
      <c r="A683" s="16">
        <v>2.3100334384506716E+19</v>
      </c>
      <c r="B683" s="12">
        <v>106</v>
      </c>
      <c r="K683" s="15">
        <v>1065</v>
      </c>
    </row>
    <row r="684" spans="1:11" x14ac:dyDescent="0.25">
      <c r="A684" s="16">
        <v>9.5259736954619888E+19</v>
      </c>
      <c r="B684" s="12">
        <v>106</v>
      </c>
      <c r="K684" s="15">
        <v>1065</v>
      </c>
    </row>
    <row r="685" spans="1:11" x14ac:dyDescent="0.25">
      <c r="A685" s="16">
        <v>3.6083602790662476E+19</v>
      </c>
      <c r="B685" s="12">
        <v>106</v>
      </c>
      <c r="K685" s="15">
        <v>1065</v>
      </c>
    </row>
    <row r="686" spans="1:11" x14ac:dyDescent="0.25">
      <c r="A686" s="16">
        <v>9.7363321721597264E+19</v>
      </c>
      <c r="B686" s="12">
        <v>808</v>
      </c>
      <c r="K686" s="15">
        <v>1065</v>
      </c>
    </row>
    <row r="687" spans="1:11" x14ac:dyDescent="0.25">
      <c r="A687" s="16">
        <v>3.7178197694001611E+19</v>
      </c>
      <c r="B687" s="12">
        <v>808</v>
      </c>
      <c r="K687" s="15">
        <v>1065</v>
      </c>
    </row>
    <row r="688" spans="1:11" x14ac:dyDescent="0.25">
      <c r="A688" s="16">
        <v>1.8100504651172438E+19</v>
      </c>
      <c r="B688" s="12">
        <v>808</v>
      </c>
      <c r="K688" s="15">
        <v>1065</v>
      </c>
    </row>
    <row r="689" spans="1:11" x14ac:dyDescent="0.25">
      <c r="A689" s="16">
        <v>8.1826822008764465E+19</v>
      </c>
      <c r="B689" s="12">
        <v>807</v>
      </c>
      <c r="K689" s="15">
        <v>1065</v>
      </c>
    </row>
    <row r="690" spans="1:11" x14ac:dyDescent="0.25">
      <c r="A690" s="16">
        <v>3.4455679743362367E+19</v>
      </c>
      <c r="B690" s="12">
        <v>807</v>
      </c>
      <c r="K690" s="15">
        <v>1065</v>
      </c>
    </row>
    <row r="691" spans="1:11" x14ac:dyDescent="0.25">
      <c r="A691" s="16">
        <v>3.5821064941796225E+19</v>
      </c>
      <c r="B691" s="12">
        <v>807</v>
      </c>
      <c r="K691" s="15">
        <v>1065</v>
      </c>
    </row>
    <row r="692" spans="1:11" x14ac:dyDescent="0.25">
      <c r="A692" s="16">
        <v>4.2976098458103185E+19</v>
      </c>
      <c r="B692" s="12">
        <v>817</v>
      </c>
      <c r="K692" s="15">
        <v>1065</v>
      </c>
    </row>
    <row r="693" spans="1:11" x14ac:dyDescent="0.25">
      <c r="A693" s="16">
        <v>4.5629983809631814E+19</v>
      </c>
      <c r="B693" s="12">
        <v>817</v>
      </c>
      <c r="K693" s="15">
        <v>1065</v>
      </c>
    </row>
    <row r="694" spans="1:11" x14ac:dyDescent="0.25">
      <c r="A694" s="16">
        <v>1.7197397302242232E+19</v>
      </c>
      <c r="B694" s="12">
        <v>817</v>
      </c>
      <c r="K694" s="15">
        <v>1065</v>
      </c>
    </row>
    <row r="695" spans="1:11" x14ac:dyDescent="0.25">
      <c r="A695" s="16">
        <v>1.2466407661561696E+19</v>
      </c>
      <c r="B695" s="12">
        <v>917</v>
      </c>
      <c r="K695" s="15">
        <v>1065</v>
      </c>
    </row>
    <row r="696" spans="1:11" x14ac:dyDescent="0.25">
      <c r="A696" s="16">
        <v>6.5249854356375773E+19</v>
      </c>
      <c r="B696" s="12">
        <v>917</v>
      </c>
      <c r="K696" s="15">
        <v>1065</v>
      </c>
    </row>
    <row r="697" spans="1:11" x14ac:dyDescent="0.25">
      <c r="A697" s="16">
        <v>3.4209428936825487E+19</v>
      </c>
      <c r="B697" s="12">
        <v>917</v>
      </c>
      <c r="K697" s="15">
        <v>1065</v>
      </c>
    </row>
    <row r="698" spans="1:11" x14ac:dyDescent="0.25">
      <c r="A698" s="16">
        <v>7.4443933394394448E+19</v>
      </c>
      <c r="B698" s="12">
        <v>705</v>
      </c>
      <c r="K698" s="15">
        <v>1065</v>
      </c>
    </row>
    <row r="699" spans="1:11" x14ac:dyDescent="0.25">
      <c r="A699" s="16">
        <v>3.8706101889232101E+19</v>
      </c>
      <c r="B699" s="12">
        <v>705</v>
      </c>
      <c r="K699" s="15">
        <v>1065</v>
      </c>
    </row>
    <row r="700" spans="1:11" x14ac:dyDescent="0.25">
      <c r="A700" s="16">
        <v>9.8771348531572556E+19</v>
      </c>
      <c r="B700" s="12">
        <v>705</v>
      </c>
      <c r="K700" s="15">
        <v>1065</v>
      </c>
    </row>
    <row r="701" spans="1:11" x14ac:dyDescent="0.25">
      <c r="A701" s="16">
        <v>1.5011810624622051E+19</v>
      </c>
      <c r="B701" s="12">
        <v>705</v>
      </c>
      <c r="K701" s="15">
        <v>5075</v>
      </c>
    </row>
    <row r="702" spans="1:11" x14ac:dyDescent="0.25">
      <c r="A702" s="16">
        <v>2.9656590502008156E+19</v>
      </c>
      <c r="B702" s="12">
        <v>705</v>
      </c>
      <c r="K702" s="15">
        <v>5075</v>
      </c>
    </row>
    <row r="703" spans="1:11" x14ac:dyDescent="0.25">
      <c r="A703" s="16">
        <v>5.3953129527752745E+19</v>
      </c>
      <c r="B703" s="12">
        <v>705</v>
      </c>
      <c r="K703" s="15">
        <v>5075</v>
      </c>
    </row>
    <row r="704" spans="1:11" x14ac:dyDescent="0.25">
      <c r="A704" s="16">
        <v>3.3217382198773391E+19</v>
      </c>
      <c r="B704" s="12">
        <v>705</v>
      </c>
      <c r="K704" s="15">
        <v>5075</v>
      </c>
    </row>
    <row r="705" spans="1:11" x14ac:dyDescent="0.25">
      <c r="A705" s="16">
        <v>4.2245938945371619E+19</v>
      </c>
      <c r="B705" s="12">
        <v>705</v>
      </c>
      <c r="K705" s="15">
        <v>5075</v>
      </c>
    </row>
    <row r="706" spans="1:11" x14ac:dyDescent="0.25">
      <c r="A706" s="16">
        <v>3.5064785377603731E+19</v>
      </c>
      <c r="B706" s="12">
        <v>642</v>
      </c>
      <c r="K706" s="15">
        <v>5075</v>
      </c>
    </row>
    <row r="707" spans="1:11" x14ac:dyDescent="0.25">
      <c r="A707" s="16">
        <v>5.347454793913285E+19</v>
      </c>
      <c r="B707" s="12">
        <v>642</v>
      </c>
      <c r="K707" s="15">
        <v>5075</v>
      </c>
    </row>
    <row r="708" spans="1:11" x14ac:dyDescent="0.25">
      <c r="A708" s="16">
        <v>2.9087918910068519E+19</v>
      </c>
      <c r="B708" s="12">
        <v>107</v>
      </c>
      <c r="K708" s="15">
        <v>5075</v>
      </c>
    </row>
    <row r="709" spans="1:11" x14ac:dyDescent="0.25">
      <c r="A709" s="16">
        <v>3.8290767469964173E+19</v>
      </c>
      <c r="B709" s="12">
        <v>107</v>
      </c>
      <c r="K709" s="15">
        <v>5075</v>
      </c>
    </row>
    <row r="710" spans="1:11" x14ac:dyDescent="0.25">
      <c r="A710" s="16">
        <v>5.0049656592695828E+19</v>
      </c>
      <c r="B710" s="12">
        <v>907</v>
      </c>
      <c r="K710" s="15">
        <v>5075</v>
      </c>
    </row>
    <row r="711" spans="1:11" x14ac:dyDescent="0.25">
      <c r="A711" s="16">
        <v>4.1492236163623993E+19</v>
      </c>
      <c r="B711" s="12">
        <v>907</v>
      </c>
      <c r="K711" s="15">
        <v>5075</v>
      </c>
    </row>
    <row r="712" spans="1:11" x14ac:dyDescent="0.25">
      <c r="A712" s="16">
        <v>2.1370700430041985E+19</v>
      </c>
      <c r="B712" s="12">
        <v>907</v>
      </c>
      <c r="K712" s="15">
        <v>5075</v>
      </c>
    </row>
    <row r="713" spans="1:11" x14ac:dyDescent="0.25">
      <c r="A713" s="16">
        <v>5.9783443200368812E+19</v>
      </c>
      <c r="B713" s="12">
        <v>907</v>
      </c>
      <c r="K713" s="15">
        <v>5044</v>
      </c>
    </row>
    <row r="714" spans="1:11" x14ac:dyDescent="0.25">
      <c r="A714" s="16">
        <v>2.6030032954618323E+19</v>
      </c>
      <c r="B714" s="12">
        <v>345</v>
      </c>
      <c r="K714" s="15">
        <v>5044</v>
      </c>
    </row>
    <row r="715" spans="1:11" x14ac:dyDescent="0.25">
      <c r="A715" s="16">
        <v>7.737673814068555E+19</v>
      </c>
      <c r="B715" s="12">
        <v>345</v>
      </c>
      <c r="K715" s="15">
        <v>5044</v>
      </c>
    </row>
    <row r="716" spans="1:11" x14ac:dyDescent="0.25">
      <c r="A716" s="16">
        <v>6.7270096994145935E+19</v>
      </c>
      <c r="B716" s="12">
        <v>345</v>
      </c>
      <c r="K716" s="15">
        <v>5044</v>
      </c>
    </row>
    <row r="717" spans="1:11" x14ac:dyDescent="0.25">
      <c r="A717" s="16">
        <v>4.1975831708119974E+19</v>
      </c>
      <c r="B717" s="12">
        <v>345</v>
      </c>
      <c r="K717" s="15">
        <v>5044</v>
      </c>
    </row>
    <row r="718" spans="1:11" x14ac:dyDescent="0.25">
      <c r="A718" s="16">
        <v>6.1433437840434405E+19</v>
      </c>
      <c r="B718" s="12">
        <v>345</v>
      </c>
      <c r="K718" s="15">
        <v>5044</v>
      </c>
    </row>
    <row r="719" spans="1:11" x14ac:dyDescent="0.25">
      <c r="A719" s="16">
        <v>8.9665669831029801E+19</v>
      </c>
      <c r="B719" s="12">
        <v>345</v>
      </c>
      <c r="K719" s="15">
        <v>5044</v>
      </c>
    </row>
    <row r="720" spans="1:11" x14ac:dyDescent="0.25">
      <c r="A720" s="16">
        <v>3.0957149000144339E+19</v>
      </c>
      <c r="B720" s="12">
        <v>345</v>
      </c>
      <c r="K720" s="15">
        <v>5044</v>
      </c>
    </row>
    <row r="721" spans="1:11" x14ac:dyDescent="0.25">
      <c r="A721" s="16">
        <v>2.2949364982006415E+19</v>
      </c>
      <c r="B721" s="12">
        <v>345</v>
      </c>
      <c r="K721" s="15">
        <v>5044</v>
      </c>
    </row>
    <row r="722" spans="1:11" x14ac:dyDescent="0.25">
      <c r="A722" s="16">
        <v>1.0435992852186937E+19</v>
      </c>
      <c r="B722" s="12">
        <v>245</v>
      </c>
      <c r="K722" s="15">
        <v>5044</v>
      </c>
    </row>
    <row r="723" spans="1:11" x14ac:dyDescent="0.25">
      <c r="A723" s="16">
        <v>1.6324336090149765E+19</v>
      </c>
      <c r="B723" s="12">
        <v>245</v>
      </c>
      <c r="K723" s="15">
        <v>5044</v>
      </c>
    </row>
    <row r="724" spans="1:11" x14ac:dyDescent="0.25">
      <c r="A724" s="16">
        <v>3.1385753206197375E+19</v>
      </c>
      <c r="B724" s="12">
        <v>245</v>
      </c>
      <c r="K724" s="15">
        <v>5044</v>
      </c>
    </row>
    <row r="725" spans="1:11" x14ac:dyDescent="0.25">
      <c r="A725" s="16">
        <v>5.4460995540180959E+19</v>
      </c>
      <c r="B725" s="12">
        <v>345</v>
      </c>
      <c r="K725" s="15">
        <v>5044</v>
      </c>
    </row>
    <row r="726" spans="1:11" x14ac:dyDescent="0.25">
      <c r="A726" s="16">
        <v>2.2408532675514327E+19</v>
      </c>
      <c r="B726" s="12">
        <v>345</v>
      </c>
      <c r="K726" s="15">
        <v>5044</v>
      </c>
    </row>
    <row r="727" spans="1:11" x14ac:dyDescent="0.25">
      <c r="A727" s="16">
        <v>4.3908327942983287E+19</v>
      </c>
      <c r="B727" s="12">
        <v>345</v>
      </c>
      <c r="K727" s="15">
        <v>5044</v>
      </c>
    </row>
    <row r="728" spans="1:11" x14ac:dyDescent="0.25">
      <c r="A728" s="16">
        <v>1.8606145058197299E+19</v>
      </c>
      <c r="B728" s="12">
        <v>247</v>
      </c>
      <c r="K728" s="15">
        <v>5044</v>
      </c>
    </row>
    <row r="729" spans="1:11" x14ac:dyDescent="0.25">
      <c r="A729" s="16">
        <v>9.3598983550452417E+19</v>
      </c>
      <c r="B729" s="12">
        <v>247</v>
      </c>
      <c r="K729" s="15">
        <v>5044</v>
      </c>
    </row>
    <row r="730" spans="1:11" x14ac:dyDescent="0.25">
      <c r="A730" s="16">
        <v>4.8004740290121032E+19</v>
      </c>
      <c r="B730" s="12">
        <v>247</v>
      </c>
      <c r="K730" s="15">
        <v>5044</v>
      </c>
    </row>
    <row r="731" spans="1:11" x14ac:dyDescent="0.25">
      <c r="A731" s="16">
        <v>6.0518356327710736E+19</v>
      </c>
      <c r="B731" s="12">
        <v>347</v>
      </c>
      <c r="K731" s="15">
        <v>5044</v>
      </c>
    </row>
    <row r="732" spans="1:11" x14ac:dyDescent="0.25">
      <c r="A732" s="16">
        <v>4.354072484568626E+19</v>
      </c>
      <c r="B732" s="12">
        <v>347</v>
      </c>
      <c r="K732" s="15">
        <v>5044</v>
      </c>
    </row>
    <row r="733" spans="1:11" x14ac:dyDescent="0.25">
      <c r="A733" s="16">
        <v>8.1119469597025108E+19</v>
      </c>
      <c r="B733" s="12">
        <v>347</v>
      </c>
      <c r="K733" s="15">
        <v>5044</v>
      </c>
    </row>
    <row r="734" spans="1:11" x14ac:dyDescent="0.25">
      <c r="A734" s="16">
        <v>1.2647732951904805E+19</v>
      </c>
      <c r="B734" s="12">
        <v>4001</v>
      </c>
      <c r="K734" s="15">
        <v>5044</v>
      </c>
    </row>
    <row r="735" spans="1:11" x14ac:dyDescent="0.25">
      <c r="A735" s="16">
        <v>6.3404397359013331E+19</v>
      </c>
      <c r="B735" s="12">
        <v>4002</v>
      </c>
      <c r="K735" s="15">
        <v>5044</v>
      </c>
    </row>
    <row r="736" spans="1:11" x14ac:dyDescent="0.25">
      <c r="A736" s="16">
        <v>6.6286218547837895E+19</v>
      </c>
      <c r="B736" s="12">
        <v>4002</v>
      </c>
      <c r="K736" s="15">
        <v>5044</v>
      </c>
    </row>
    <row r="737" spans="1:11" x14ac:dyDescent="0.25">
      <c r="A737" s="16">
        <v>4.1272182719411536E+19</v>
      </c>
      <c r="B737" s="12">
        <v>4002</v>
      </c>
      <c r="K737" s="15">
        <v>5070</v>
      </c>
    </row>
    <row r="738" spans="1:11" x14ac:dyDescent="0.25">
      <c r="A738" s="16">
        <v>5.3874564377563734E+19</v>
      </c>
      <c r="B738" s="12">
        <v>4001</v>
      </c>
      <c r="K738" s="15">
        <v>5070</v>
      </c>
    </row>
    <row r="739" spans="1:11" x14ac:dyDescent="0.25">
      <c r="A739" s="16">
        <v>3.6090499898545385E+19</v>
      </c>
      <c r="B739" s="12">
        <v>4001</v>
      </c>
      <c r="K739" s="15">
        <v>5070</v>
      </c>
    </row>
    <row r="740" spans="1:11" x14ac:dyDescent="0.25">
      <c r="A740" s="16">
        <v>6.4343576791332274E+19</v>
      </c>
      <c r="B740" s="12">
        <v>348</v>
      </c>
      <c r="K740" s="15">
        <v>5070</v>
      </c>
    </row>
    <row r="741" spans="1:11" x14ac:dyDescent="0.25">
      <c r="A741" s="16">
        <v>8.5350494444039569E+19</v>
      </c>
      <c r="B741" s="12">
        <v>348</v>
      </c>
      <c r="K741" s="15">
        <v>5070</v>
      </c>
    </row>
    <row r="742" spans="1:11" x14ac:dyDescent="0.25">
      <c r="A742" s="16">
        <v>5.3638899598158971E+19</v>
      </c>
      <c r="B742" s="12">
        <v>348</v>
      </c>
      <c r="K742" s="15">
        <v>5070</v>
      </c>
    </row>
    <row r="743" spans="1:11" x14ac:dyDescent="0.25">
      <c r="A743" s="16">
        <v>3.5227746132938363E+19</v>
      </c>
      <c r="B743" s="12">
        <v>448</v>
      </c>
      <c r="K743" s="15">
        <v>5070</v>
      </c>
    </row>
    <row r="744" spans="1:11" x14ac:dyDescent="0.25">
      <c r="A744" s="16">
        <v>6.2443288541194199E+19</v>
      </c>
      <c r="B744" s="12">
        <v>448</v>
      </c>
      <c r="K744" s="15">
        <v>5070</v>
      </c>
    </row>
    <row r="745" spans="1:11" x14ac:dyDescent="0.25">
      <c r="A745" s="16">
        <v>1.2084229660499223E+19</v>
      </c>
      <c r="B745" s="12">
        <v>448</v>
      </c>
      <c r="K745" s="15">
        <v>5070</v>
      </c>
    </row>
    <row r="746" spans="1:11" x14ac:dyDescent="0.25">
      <c r="A746" s="16">
        <v>6.6133448472253432E+19</v>
      </c>
      <c r="B746" s="12">
        <v>1061</v>
      </c>
      <c r="K746" s="15">
        <v>5070</v>
      </c>
    </row>
    <row r="747" spans="1:11" x14ac:dyDescent="0.25">
      <c r="A747" s="16">
        <v>2.9836785980719182E+19</v>
      </c>
      <c r="B747" s="12">
        <v>1061</v>
      </c>
      <c r="K747" s="15">
        <v>5070</v>
      </c>
    </row>
    <row r="748" spans="1:11" x14ac:dyDescent="0.25">
      <c r="A748" s="16">
        <v>9.7994814132991361E+19</v>
      </c>
      <c r="B748" s="12">
        <v>1061</v>
      </c>
      <c r="K748" s="15">
        <v>5070</v>
      </c>
    </row>
    <row r="749" spans="1:11" x14ac:dyDescent="0.25">
      <c r="A749" s="16">
        <v>8.3256931889218765E+19</v>
      </c>
      <c r="B749" s="12">
        <v>1061</v>
      </c>
      <c r="K749" s="15">
        <v>5070</v>
      </c>
    </row>
    <row r="750" spans="1:11" x14ac:dyDescent="0.25">
      <c r="A750" s="16">
        <v>3.9912708443318575E+19</v>
      </c>
      <c r="B750" s="12">
        <v>1061</v>
      </c>
      <c r="K750" s="15">
        <v>5070</v>
      </c>
    </row>
    <row r="751" spans="1:11" x14ac:dyDescent="0.25">
      <c r="A751" s="16">
        <v>6.69184908590684E+19</v>
      </c>
      <c r="B751" s="12">
        <v>1061</v>
      </c>
      <c r="K751" s="15">
        <v>5070</v>
      </c>
    </row>
    <row r="752" spans="1:11" x14ac:dyDescent="0.25">
      <c r="A752" s="16">
        <v>9.2853480809141338E+19</v>
      </c>
      <c r="B752" s="12">
        <v>1061</v>
      </c>
      <c r="K752" s="15">
        <v>5070</v>
      </c>
    </row>
    <row r="753" spans="1:11" x14ac:dyDescent="0.25">
      <c r="A753" s="16">
        <v>1.9263849064224129E+19</v>
      </c>
      <c r="B753" s="12">
        <v>1061</v>
      </c>
      <c r="K753" s="15">
        <v>5070</v>
      </c>
    </row>
    <row r="754" spans="1:11" x14ac:dyDescent="0.25">
      <c r="A754" s="16">
        <v>1.0152778027324623E+19</v>
      </c>
      <c r="B754" s="12">
        <v>1061</v>
      </c>
      <c r="K754" s="15">
        <v>5070</v>
      </c>
    </row>
    <row r="755" spans="1:11" x14ac:dyDescent="0.25">
      <c r="A755" s="16">
        <v>8.0505727527840793E+19</v>
      </c>
      <c r="B755" s="12">
        <v>1061</v>
      </c>
      <c r="K755" s="15">
        <v>4013</v>
      </c>
    </row>
    <row r="756" spans="1:11" x14ac:dyDescent="0.25">
      <c r="A756" s="16">
        <v>1.376828077173059E+19</v>
      </c>
      <c r="B756" s="12">
        <v>1061</v>
      </c>
      <c r="K756" s="15">
        <v>4013</v>
      </c>
    </row>
    <row r="757" spans="1:11" x14ac:dyDescent="0.25">
      <c r="A757" s="16">
        <v>4.5410779683801653E+19</v>
      </c>
      <c r="B757" s="12">
        <v>1061</v>
      </c>
      <c r="K757" s="15">
        <v>4013</v>
      </c>
    </row>
    <row r="758" spans="1:11" x14ac:dyDescent="0.25">
      <c r="A758" s="16">
        <v>6.3090646650669834E+19</v>
      </c>
      <c r="B758" s="12">
        <v>127</v>
      </c>
      <c r="K758" s="15">
        <v>4013</v>
      </c>
    </row>
    <row r="759" spans="1:11" x14ac:dyDescent="0.25">
      <c r="A759" s="16">
        <v>1.1614510455103039E+19</v>
      </c>
      <c r="B759" s="12">
        <v>127</v>
      </c>
      <c r="K759" s="15">
        <v>4013</v>
      </c>
    </row>
    <row r="760" spans="1:11" x14ac:dyDescent="0.25">
      <c r="A760" s="16">
        <v>4.8377411343703753E+19</v>
      </c>
      <c r="B760" s="12">
        <v>127</v>
      </c>
      <c r="K760" s="15">
        <v>4013</v>
      </c>
    </row>
    <row r="761" spans="1:11" x14ac:dyDescent="0.25">
      <c r="A761" s="16">
        <v>5.970626968557459E+19</v>
      </c>
      <c r="B761" s="12">
        <v>127</v>
      </c>
      <c r="K761" s="15">
        <v>4013</v>
      </c>
    </row>
    <row r="762" spans="1:11" x14ac:dyDescent="0.25">
      <c r="A762" s="16">
        <v>8.98382071025326E+19</v>
      </c>
      <c r="B762" s="12">
        <v>125</v>
      </c>
      <c r="K762" s="15">
        <v>4013</v>
      </c>
    </row>
    <row r="763" spans="1:11" x14ac:dyDescent="0.25">
      <c r="A763" s="16">
        <v>6.9645869228512748E+19</v>
      </c>
      <c r="B763" s="12">
        <v>125</v>
      </c>
      <c r="K763" s="15">
        <v>4013</v>
      </c>
    </row>
    <row r="764" spans="1:11" x14ac:dyDescent="0.25">
      <c r="A764" s="16">
        <v>4.1479248093569466E+19</v>
      </c>
      <c r="B764" s="12">
        <v>125</v>
      </c>
      <c r="K764" s="15">
        <v>4013</v>
      </c>
    </row>
    <row r="765" spans="1:11" x14ac:dyDescent="0.25">
      <c r="A765" s="16">
        <v>1.4477984036510509E+19</v>
      </c>
      <c r="B765" s="12">
        <v>125</v>
      </c>
      <c r="K765" s="15">
        <v>4013</v>
      </c>
    </row>
    <row r="766" spans="1:11" x14ac:dyDescent="0.25">
      <c r="A766" s="16">
        <v>4.6946358731959599E+19</v>
      </c>
      <c r="B766" s="12">
        <v>124</v>
      </c>
      <c r="K766" s="15">
        <v>4013</v>
      </c>
    </row>
    <row r="767" spans="1:11" x14ac:dyDescent="0.25">
      <c r="A767" s="16">
        <v>8.3927650752033374E+19</v>
      </c>
      <c r="B767" s="12">
        <v>124</v>
      </c>
      <c r="K767" s="15">
        <v>1070</v>
      </c>
    </row>
    <row r="768" spans="1:11" x14ac:dyDescent="0.25">
      <c r="A768" s="16">
        <v>2.7469990716195373E+19</v>
      </c>
      <c r="B768" s="12">
        <v>124</v>
      </c>
      <c r="K768" s="15">
        <v>1070</v>
      </c>
    </row>
    <row r="769" spans="1:11" x14ac:dyDescent="0.25">
      <c r="A769" s="16">
        <v>5.1870187598681334E+19</v>
      </c>
      <c r="B769" s="12">
        <v>124</v>
      </c>
      <c r="K769" s="15">
        <v>1070</v>
      </c>
    </row>
    <row r="770" spans="1:11" x14ac:dyDescent="0.25">
      <c r="A770" s="16">
        <v>6.6314701808401129E+19</v>
      </c>
      <c r="B770" s="12">
        <v>126</v>
      </c>
      <c r="K770" s="15">
        <v>1070</v>
      </c>
    </row>
    <row r="771" spans="1:11" x14ac:dyDescent="0.25">
      <c r="A771" s="16">
        <v>3.3302057228841734E+19</v>
      </c>
      <c r="B771" s="12">
        <v>126</v>
      </c>
      <c r="K771" s="15">
        <v>1070</v>
      </c>
    </row>
    <row r="772" spans="1:11" x14ac:dyDescent="0.25">
      <c r="A772" s="16">
        <v>8.1013010183272399E+19</v>
      </c>
      <c r="B772" s="12">
        <v>126</v>
      </c>
      <c r="K772" s="15">
        <v>1070</v>
      </c>
    </row>
    <row r="773" spans="1:11" x14ac:dyDescent="0.25">
      <c r="A773" s="16">
        <v>2.5445259499983626E+19</v>
      </c>
      <c r="B773" s="12">
        <v>130</v>
      </c>
      <c r="K773" s="15">
        <v>1070</v>
      </c>
    </row>
    <row r="774" spans="1:11" x14ac:dyDescent="0.25">
      <c r="A774" s="16">
        <v>9.8115248372273791E+19</v>
      </c>
      <c r="B774" s="12">
        <v>130</v>
      </c>
      <c r="K774" s="15">
        <v>1070</v>
      </c>
    </row>
    <row r="775" spans="1:11" x14ac:dyDescent="0.25">
      <c r="A775" s="16">
        <v>2.8042293434249118E+19</v>
      </c>
      <c r="B775" s="12">
        <v>125</v>
      </c>
      <c r="K775" s="15">
        <v>1070</v>
      </c>
    </row>
    <row r="776" spans="1:11" x14ac:dyDescent="0.25">
      <c r="A776" s="16">
        <v>4.935123121425544E+19</v>
      </c>
      <c r="B776" s="12">
        <v>1152</v>
      </c>
      <c r="K776" s="15">
        <v>1070</v>
      </c>
    </row>
    <row r="777" spans="1:11" x14ac:dyDescent="0.25">
      <c r="A777" s="16">
        <v>2.3692573907040911E+19</v>
      </c>
      <c r="B777" s="12">
        <v>1152</v>
      </c>
      <c r="K777" s="15">
        <v>1070</v>
      </c>
    </row>
    <row r="778" spans="1:11" x14ac:dyDescent="0.25">
      <c r="A778" s="16">
        <v>1.6644650647475638E+19</v>
      </c>
      <c r="B778" s="12">
        <v>1152</v>
      </c>
      <c r="K778" s="15">
        <v>1070</v>
      </c>
    </row>
    <row r="779" spans="1:11" x14ac:dyDescent="0.25">
      <c r="A779" s="16">
        <v>8.7753365088295633E+19</v>
      </c>
      <c r="B779" s="12">
        <v>1152</v>
      </c>
      <c r="K779" s="15">
        <v>1070</v>
      </c>
    </row>
    <row r="780" spans="1:11" x14ac:dyDescent="0.25">
      <c r="A780" s="16">
        <v>4.2301633382149628E+19</v>
      </c>
      <c r="B780" s="12">
        <v>2152</v>
      </c>
      <c r="K780" s="15">
        <v>1070</v>
      </c>
    </row>
    <row r="781" spans="1:11" x14ac:dyDescent="0.25">
      <c r="A781" s="16">
        <v>1.4688291584999762E+19</v>
      </c>
      <c r="B781" s="12">
        <v>2152</v>
      </c>
      <c r="K781" s="15">
        <v>1070</v>
      </c>
    </row>
    <row r="782" spans="1:11" x14ac:dyDescent="0.25">
      <c r="A782" s="16">
        <v>4.8169746481947967E+19</v>
      </c>
      <c r="B782" s="12">
        <v>2152</v>
      </c>
      <c r="K782" s="15">
        <v>1070</v>
      </c>
    </row>
    <row r="783" spans="1:11" x14ac:dyDescent="0.25">
      <c r="A783" s="16">
        <v>1.4125072948441494E+19</v>
      </c>
      <c r="B783" s="12">
        <v>2152</v>
      </c>
      <c r="K783" s="15">
        <v>1070</v>
      </c>
    </row>
    <row r="784" spans="1:11" x14ac:dyDescent="0.25">
      <c r="A784" s="16">
        <v>6.7092706468689191E+19</v>
      </c>
      <c r="B784" s="12">
        <v>807</v>
      </c>
      <c r="K784" s="15">
        <v>1070</v>
      </c>
    </row>
    <row r="785" spans="1:11" x14ac:dyDescent="0.25">
      <c r="A785" s="16">
        <v>5.1097406125821125E+19</v>
      </c>
      <c r="B785" s="12">
        <v>1024</v>
      </c>
      <c r="K785" s="15">
        <v>1070</v>
      </c>
    </row>
    <row r="786" spans="1:11" x14ac:dyDescent="0.25">
      <c r="A786" s="16">
        <v>4.1735047755647345E+19</v>
      </c>
      <c r="B786" s="12">
        <v>1024</v>
      </c>
      <c r="K786" s="15">
        <v>1070</v>
      </c>
    </row>
    <row r="787" spans="1:11" x14ac:dyDescent="0.25">
      <c r="A787" s="16">
        <v>8.558612368755517E+19</v>
      </c>
      <c r="B787" s="12">
        <v>1024</v>
      </c>
      <c r="K787" s="15">
        <v>1070</v>
      </c>
    </row>
    <row r="788" spans="1:11" x14ac:dyDescent="0.25">
      <c r="A788" s="16">
        <v>4.3443185949930406E+19</v>
      </c>
      <c r="B788" s="12">
        <v>1024</v>
      </c>
      <c r="K788" s="15">
        <v>1070</v>
      </c>
    </row>
    <row r="789" spans="1:11" x14ac:dyDescent="0.25">
      <c r="A789" s="16">
        <v>5.5903293043263726E+19</v>
      </c>
      <c r="B789" s="12">
        <v>1024</v>
      </c>
      <c r="K789" s="15">
        <v>1070</v>
      </c>
    </row>
    <row r="790" spans="1:11" x14ac:dyDescent="0.25">
      <c r="A790" s="16">
        <v>6.1929600321775788E+19</v>
      </c>
      <c r="B790" s="12">
        <v>1024</v>
      </c>
      <c r="K790" s="15">
        <v>1070</v>
      </c>
    </row>
    <row r="791" spans="1:11" x14ac:dyDescent="0.25">
      <c r="A791" s="16">
        <v>8.203818718205739E+19</v>
      </c>
      <c r="B791" s="12">
        <v>1024</v>
      </c>
      <c r="K791" s="15">
        <v>1070</v>
      </c>
    </row>
    <row r="792" spans="1:11" x14ac:dyDescent="0.25">
      <c r="A792" s="16">
        <v>5.2174980746351346E+19</v>
      </c>
      <c r="B792" s="12">
        <v>1024</v>
      </c>
      <c r="K792" s="15">
        <v>1070</v>
      </c>
    </row>
    <row r="793" spans="1:11" x14ac:dyDescent="0.25">
      <c r="A793" s="16">
        <v>3.7531370012224225E+19</v>
      </c>
      <c r="B793" s="12">
        <v>1024</v>
      </c>
      <c r="K793" s="15">
        <v>1070</v>
      </c>
    </row>
    <row r="794" spans="1:11" x14ac:dyDescent="0.25">
      <c r="A794" s="16">
        <v>4.7945589335738008E+19</v>
      </c>
      <c r="B794" s="12">
        <v>867</v>
      </c>
      <c r="K794" s="15">
        <v>1070</v>
      </c>
    </row>
    <row r="795" spans="1:11" x14ac:dyDescent="0.25">
      <c r="A795" s="16">
        <v>8.5781821916510847E+19</v>
      </c>
      <c r="B795" s="12">
        <v>867</v>
      </c>
      <c r="K795" s="15">
        <v>5052</v>
      </c>
    </row>
    <row r="796" spans="1:11" x14ac:dyDescent="0.25">
      <c r="A796" s="16">
        <v>1.3496336011286256E+19</v>
      </c>
      <c r="B796" s="12">
        <v>867</v>
      </c>
      <c r="K796" s="15">
        <v>5052</v>
      </c>
    </row>
    <row r="797" spans="1:11" x14ac:dyDescent="0.25">
      <c r="A797" s="16">
        <v>1.6625323294288337E+19</v>
      </c>
      <c r="B797" s="12">
        <v>504</v>
      </c>
      <c r="K797" s="15">
        <v>5052</v>
      </c>
    </row>
    <row r="798" spans="1:11" x14ac:dyDescent="0.25">
      <c r="A798" s="16">
        <v>2.3141752518677848E+19</v>
      </c>
      <c r="B798" s="12">
        <v>504</v>
      </c>
      <c r="K798" s="15">
        <v>5052</v>
      </c>
    </row>
    <row r="799" spans="1:11" x14ac:dyDescent="0.25">
      <c r="A799" s="16">
        <v>1.4934416904572893E+19</v>
      </c>
      <c r="B799" s="12">
        <v>504</v>
      </c>
      <c r="K799" s="15">
        <v>5052</v>
      </c>
    </row>
    <row r="800" spans="1:11" x14ac:dyDescent="0.25">
      <c r="A800" s="16">
        <v>1.4994068936571075E+19</v>
      </c>
      <c r="B800" s="12">
        <v>504</v>
      </c>
      <c r="K800" s="15">
        <v>5052</v>
      </c>
    </row>
    <row r="801" spans="1:11" x14ac:dyDescent="0.25">
      <c r="A801" s="16">
        <v>1.1586870765743538E+19</v>
      </c>
      <c r="B801" s="12">
        <v>870</v>
      </c>
      <c r="K801" s="15">
        <v>5052</v>
      </c>
    </row>
    <row r="802" spans="1:11" x14ac:dyDescent="0.25">
      <c r="A802" s="16">
        <v>9.5129011711317688E+19</v>
      </c>
      <c r="B802" s="12">
        <v>870</v>
      </c>
      <c r="K802" s="15">
        <v>5052</v>
      </c>
    </row>
    <row r="803" spans="1:11" x14ac:dyDescent="0.25">
      <c r="A803" s="16">
        <v>1.6944408375311415E+19</v>
      </c>
      <c r="B803" s="12">
        <v>870</v>
      </c>
      <c r="K803" s="15">
        <v>5052</v>
      </c>
    </row>
    <row r="804" spans="1:11" x14ac:dyDescent="0.25">
      <c r="A804" s="16">
        <v>9.8438266285008454E+19</v>
      </c>
      <c r="B804" s="12">
        <v>503</v>
      </c>
      <c r="K804" s="15">
        <v>5052</v>
      </c>
    </row>
    <row r="805" spans="1:11" x14ac:dyDescent="0.25">
      <c r="A805" s="16">
        <v>6.460500404069992E+19</v>
      </c>
      <c r="B805" s="12">
        <v>503</v>
      </c>
      <c r="K805" s="15">
        <v>5052</v>
      </c>
    </row>
    <row r="806" spans="1:11" x14ac:dyDescent="0.25">
      <c r="A806" s="16">
        <v>2.16695777974069E+19</v>
      </c>
      <c r="B806" s="12">
        <v>503</v>
      </c>
      <c r="K806" s="15">
        <v>5052</v>
      </c>
    </row>
    <row r="807" spans="1:11" x14ac:dyDescent="0.25">
      <c r="A807" s="16">
        <v>2.1578877845548593E+19</v>
      </c>
      <c r="B807" s="12">
        <v>503</v>
      </c>
      <c r="K807" s="15">
        <v>5052</v>
      </c>
    </row>
    <row r="808" spans="1:11" x14ac:dyDescent="0.25">
      <c r="A808" s="16">
        <v>2.3292022073624404E+19</v>
      </c>
      <c r="B808" s="12">
        <v>249</v>
      </c>
      <c r="K808" s="15">
        <v>5052</v>
      </c>
    </row>
    <row r="809" spans="1:11" x14ac:dyDescent="0.25">
      <c r="A809" s="16">
        <v>4.7778351438658888E+19</v>
      </c>
      <c r="B809" s="12">
        <v>249</v>
      </c>
      <c r="K809" s="15">
        <v>5052</v>
      </c>
    </row>
    <row r="810" spans="1:11" x14ac:dyDescent="0.25">
      <c r="A810" s="16">
        <v>8.088486747726132E+19</v>
      </c>
      <c r="B810" s="12">
        <v>249</v>
      </c>
      <c r="K810" s="15">
        <v>5052</v>
      </c>
    </row>
    <row r="811" spans="1:11" x14ac:dyDescent="0.25">
      <c r="A811" s="16">
        <v>9.1175151500317E+19</v>
      </c>
      <c r="B811" s="12">
        <v>243</v>
      </c>
      <c r="K811" s="15">
        <v>5069</v>
      </c>
    </row>
    <row r="812" spans="1:11" x14ac:dyDescent="0.25">
      <c r="A812" s="16">
        <v>2.7959673604557119E+19</v>
      </c>
      <c r="B812" s="12">
        <v>243</v>
      </c>
      <c r="K812" s="15">
        <v>5069</v>
      </c>
    </row>
    <row r="813" spans="1:11" x14ac:dyDescent="0.25">
      <c r="A813" s="16">
        <v>5.2823759211008311E+19</v>
      </c>
      <c r="B813" s="12">
        <v>243</v>
      </c>
      <c r="K813" s="15">
        <v>5069</v>
      </c>
    </row>
    <row r="814" spans="1:11" x14ac:dyDescent="0.25">
      <c r="A814" s="16">
        <v>4.8961627665677631E+19</v>
      </c>
      <c r="B814" s="12">
        <v>243</v>
      </c>
      <c r="K814" s="15">
        <v>5069</v>
      </c>
    </row>
    <row r="815" spans="1:11" x14ac:dyDescent="0.25">
      <c r="A815" s="16">
        <v>5.74171271200082E+19</v>
      </c>
      <c r="B815" s="12">
        <v>343</v>
      </c>
      <c r="K815" s="15">
        <v>5069</v>
      </c>
    </row>
    <row r="816" spans="1:11" x14ac:dyDescent="0.25">
      <c r="A816" s="16">
        <v>6.562590788432497E+19</v>
      </c>
      <c r="B816" s="12">
        <v>343</v>
      </c>
      <c r="K816" s="15">
        <v>5069</v>
      </c>
    </row>
    <row r="817" spans="1:11" x14ac:dyDescent="0.25">
      <c r="A817" s="16">
        <v>4.8603171815878255E+19</v>
      </c>
      <c r="B817" s="12">
        <v>343</v>
      </c>
      <c r="K817" s="15">
        <v>5069</v>
      </c>
    </row>
    <row r="818" spans="1:11" x14ac:dyDescent="0.25">
      <c r="A818" s="16">
        <v>1.8074604879487754E+19</v>
      </c>
      <c r="B818" s="12">
        <v>343</v>
      </c>
      <c r="K818" s="15">
        <v>5069</v>
      </c>
    </row>
    <row r="819" spans="1:11" x14ac:dyDescent="0.25">
      <c r="A819" s="16">
        <v>1.1605799787984853E+19</v>
      </c>
      <c r="B819" s="12">
        <v>443</v>
      </c>
      <c r="K819" s="15">
        <v>5069</v>
      </c>
    </row>
    <row r="820" spans="1:11" x14ac:dyDescent="0.25">
      <c r="A820" s="16">
        <v>3.5674014949074829E+19</v>
      </c>
      <c r="B820" s="12">
        <v>443</v>
      </c>
      <c r="K820" s="15">
        <v>5069</v>
      </c>
    </row>
    <row r="821" spans="1:11" x14ac:dyDescent="0.25">
      <c r="A821" s="16">
        <v>6.5487008456811004E+19</v>
      </c>
      <c r="B821" s="12">
        <v>443</v>
      </c>
      <c r="K821" s="15">
        <v>5069</v>
      </c>
    </row>
    <row r="822" spans="1:11" x14ac:dyDescent="0.25">
      <c r="A822" s="16">
        <v>3.7182343026322244E+19</v>
      </c>
      <c r="B822" s="12">
        <v>443</v>
      </c>
      <c r="K822" s="15">
        <v>5069</v>
      </c>
    </row>
    <row r="823" spans="1:11" x14ac:dyDescent="0.25">
      <c r="A823" s="16">
        <v>7.3876538237878731E+19</v>
      </c>
      <c r="B823" s="12">
        <v>132</v>
      </c>
      <c r="K823" s="15">
        <v>5069</v>
      </c>
    </row>
    <row r="824" spans="1:11" x14ac:dyDescent="0.25">
      <c r="A824" s="16">
        <v>3.204711317682749E+19</v>
      </c>
      <c r="B824" s="12">
        <v>132</v>
      </c>
      <c r="K824" s="15">
        <v>5069</v>
      </c>
    </row>
    <row r="825" spans="1:11" x14ac:dyDescent="0.25">
      <c r="A825" s="16">
        <v>3.6921243177912533E+19</v>
      </c>
      <c r="B825" s="12">
        <v>132</v>
      </c>
      <c r="K825" s="15">
        <v>5069</v>
      </c>
    </row>
    <row r="826" spans="1:11" x14ac:dyDescent="0.25">
      <c r="A826" s="16">
        <v>3.5281791134242501E+19</v>
      </c>
      <c r="B826" s="12">
        <v>132</v>
      </c>
      <c r="K826" s="15">
        <v>5069</v>
      </c>
    </row>
    <row r="827" spans="1:11" x14ac:dyDescent="0.25">
      <c r="A827" s="16">
        <v>9.0724662617175966E+19</v>
      </c>
      <c r="B827" s="12">
        <v>129</v>
      </c>
      <c r="K827" s="15">
        <v>5069</v>
      </c>
    </row>
    <row r="828" spans="1:11" x14ac:dyDescent="0.25">
      <c r="A828" s="16">
        <v>9.6313116988502966E+19</v>
      </c>
      <c r="B828" s="12">
        <v>129</v>
      </c>
      <c r="K828" s="15">
        <v>5069</v>
      </c>
    </row>
    <row r="829" spans="1:11" x14ac:dyDescent="0.25">
      <c r="A829" s="16">
        <v>1.9542558787886223E+19</v>
      </c>
      <c r="B829" s="12">
        <v>129</v>
      </c>
      <c r="K829" s="15">
        <v>1040</v>
      </c>
    </row>
    <row r="830" spans="1:11" x14ac:dyDescent="0.25">
      <c r="A830" s="16">
        <v>5.4618916205066641E+19</v>
      </c>
      <c r="B830" s="12">
        <v>129</v>
      </c>
      <c r="K830" s="15">
        <v>1040</v>
      </c>
    </row>
    <row r="831" spans="1:11" x14ac:dyDescent="0.25">
      <c r="A831" s="16">
        <v>9.1787581027970597E+19</v>
      </c>
      <c r="B831" s="12">
        <v>26007</v>
      </c>
      <c r="K831" s="15">
        <v>1040</v>
      </c>
    </row>
    <row r="832" spans="1:11" x14ac:dyDescent="0.25">
      <c r="A832" s="16">
        <v>4.4366255709208764E+19</v>
      </c>
      <c r="B832" s="12">
        <v>26008</v>
      </c>
      <c r="K832" s="15">
        <v>1040</v>
      </c>
    </row>
    <row r="833" spans="1:11" x14ac:dyDescent="0.25">
      <c r="A833" s="16">
        <v>2.2653252071009124E+19</v>
      </c>
      <c r="B833" s="12">
        <v>26009</v>
      </c>
      <c r="K833" s="15">
        <v>1040</v>
      </c>
    </row>
    <row r="834" spans="1:11" x14ac:dyDescent="0.25">
      <c r="A834" s="16">
        <v>3.5184659994328506E+19</v>
      </c>
      <c r="B834" s="12">
        <v>26114</v>
      </c>
      <c r="K834" s="15">
        <v>1040</v>
      </c>
    </row>
    <row r="835" spans="1:11" x14ac:dyDescent="0.25">
      <c r="A835" s="16">
        <v>4.3108031647982813E+19</v>
      </c>
      <c r="B835" s="12">
        <v>26164</v>
      </c>
      <c r="K835" s="15">
        <v>1040</v>
      </c>
    </row>
    <row r="836" spans="1:11" x14ac:dyDescent="0.25">
      <c r="A836" s="16">
        <v>8.7221036217825378E+19</v>
      </c>
      <c r="B836" s="12">
        <v>26312</v>
      </c>
      <c r="K836" s="15">
        <v>1040</v>
      </c>
    </row>
    <row r="837" spans="1:11" x14ac:dyDescent="0.25">
      <c r="A837" s="16">
        <v>2.7220170271965917E+19</v>
      </c>
      <c r="B837" s="12">
        <v>26314</v>
      </c>
      <c r="K837" s="15">
        <v>1040</v>
      </c>
    </row>
    <row r="838" spans="1:11" x14ac:dyDescent="0.25">
      <c r="A838" s="16">
        <v>8.985740691300429E+19</v>
      </c>
      <c r="B838" s="12">
        <v>26512</v>
      </c>
      <c r="K838" s="15">
        <v>1040</v>
      </c>
    </row>
    <row r="839" spans="1:11" x14ac:dyDescent="0.25">
      <c r="A839" s="16">
        <v>6.1728662567045874E+19</v>
      </c>
      <c r="B839" s="12">
        <v>325</v>
      </c>
      <c r="K839" s="15">
        <v>1040</v>
      </c>
    </row>
    <row r="840" spans="1:11" x14ac:dyDescent="0.25">
      <c r="A840" s="16">
        <v>2.9193364893376434E+19</v>
      </c>
      <c r="B840" s="12">
        <v>325</v>
      </c>
      <c r="K840" s="15">
        <v>1040</v>
      </c>
    </row>
    <row r="841" spans="1:11" x14ac:dyDescent="0.25">
      <c r="A841" s="16">
        <v>3.0372771892197986E+19</v>
      </c>
      <c r="B841" s="12">
        <v>325</v>
      </c>
      <c r="K841" s="15">
        <v>1040</v>
      </c>
    </row>
    <row r="842" spans="1:11" x14ac:dyDescent="0.25">
      <c r="A842" s="16">
        <v>2.9679862876159488E+19</v>
      </c>
      <c r="B842" s="12">
        <v>325</v>
      </c>
      <c r="K842" s="15">
        <v>1040</v>
      </c>
    </row>
    <row r="843" spans="1:11" x14ac:dyDescent="0.25">
      <c r="A843" s="16">
        <v>3.8545898133934981E+19</v>
      </c>
      <c r="B843" s="12">
        <v>329</v>
      </c>
      <c r="K843" s="15">
        <v>1040</v>
      </c>
    </row>
    <row r="844" spans="1:11" x14ac:dyDescent="0.25">
      <c r="A844" s="16">
        <v>7.095397821033069E+19</v>
      </c>
      <c r="B844" s="12">
        <v>329</v>
      </c>
      <c r="K844" s="15">
        <v>1040</v>
      </c>
    </row>
    <row r="845" spans="1:11" x14ac:dyDescent="0.25">
      <c r="A845" s="16">
        <v>6.1753578794575159E+19</v>
      </c>
      <c r="B845" s="12">
        <v>329</v>
      </c>
      <c r="K845" s="15">
        <v>1040</v>
      </c>
    </row>
    <row r="846" spans="1:11" x14ac:dyDescent="0.25">
      <c r="A846" s="16">
        <v>1.4865244515621997E+19</v>
      </c>
      <c r="B846" s="12">
        <v>329</v>
      </c>
      <c r="K846" s="15">
        <v>1040</v>
      </c>
    </row>
    <row r="847" spans="1:11" x14ac:dyDescent="0.25">
      <c r="A847" s="16">
        <v>9.7826051034407715E+19</v>
      </c>
      <c r="B847" s="12">
        <v>324</v>
      </c>
      <c r="K847" s="15">
        <v>1040</v>
      </c>
    </row>
    <row r="848" spans="1:11" x14ac:dyDescent="0.25">
      <c r="A848" s="16">
        <v>3.2736547314468925E+19</v>
      </c>
      <c r="B848" s="12">
        <v>324</v>
      </c>
      <c r="K848" s="15">
        <v>1040</v>
      </c>
    </row>
    <row r="849" spans="1:11" x14ac:dyDescent="0.25">
      <c r="A849" s="16">
        <v>6.3494794044887613E+19</v>
      </c>
      <c r="B849" s="12">
        <v>324</v>
      </c>
      <c r="K849" s="15">
        <v>1040</v>
      </c>
    </row>
    <row r="850" spans="1:11" x14ac:dyDescent="0.25">
      <c r="A850" s="16">
        <v>8.925932223073978E+19</v>
      </c>
      <c r="B850" s="12">
        <v>324</v>
      </c>
      <c r="K850" s="15">
        <v>1040</v>
      </c>
    </row>
    <row r="851" spans="1:11" x14ac:dyDescent="0.25">
      <c r="A851" s="16">
        <v>3.458016158817144E+19</v>
      </c>
      <c r="B851" s="12">
        <v>4005</v>
      </c>
      <c r="K851" s="15">
        <v>1040</v>
      </c>
    </row>
    <row r="852" spans="1:11" x14ac:dyDescent="0.25">
      <c r="A852" s="16">
        <v>9.5752207936630964E+19</v>
      </c>
      <c r="B852" s="12">
        <v>4005</v>
      </c>
      <c r="K852" s="15">
        <v>1040</v>
      </c>
    </row>
    <row r="853" spans="1:11" x14ac:dyDescent="0.25">
      <c r="A853" s="16">
        <v>7.9556707478434791E+19</v>
      </c>
      <c r="B853" s="12">
        <v>4005</v>
      </c>
      <c r="K853" s="15">
        <v>1040</v>
      </c>
    </row>
    <row r="854" spans="1:11" x14ac:dyDescent="0.25">
      <c r="A854" s="16">
        <v>1.9110671765302673E+19</v>
      </c>
      <c r="B854" s="12">
        <v>4005</v>
      </c>
      <c r="K854" s="15">
        <v>1040</v>
      </c>
    </row>
    <row r="855" spans="1:11" x14ac:dyDescent="0.25">
      <c r="A855" s="16">
        <v>2.0824208449486995E+19</v>
      </c>
      <c r="B855" s="12">
        <v>4007</v>
      </c>
      <c r="K855" s="15">
        <v>1040</v>
      </c>
    </row>
    <row r="856" spans="1:11" x14ac:dyDescent="0.25">
      <c r="A856" s="16">
        <v>4.192245733533542E+19</v>
      </c>
      <c r="B856" s="12">
        <v>4007</v>
      </c>
      <c r="K856" s="15">
        <v>1040</v>
      </c>
    </row>
    <row r="857" spans="1:11" x14ac:dyDescent="0.25">
      <c r="A857" s="16">
        <v>1.558180252595626E+19</v>
      </c>
      <c r="B857" s="12">
        <v>4007</v>
      </c>
      <c r="K857" s="15">
        <v>1040</v>
      </c>
    </row>
    <row r="858" spans="1:11" x14ac:dyDescent="0.25">
      <c r="A858" s="16">
        <v>5.25811971556661E+19</v>
      </c>
      <c r="B858" s="12">
        <v>4007</v>
      </c>
      <c r="K858" s="15">
        <v>1040</v>
      </c>
    </row>
    <row r="859" spans="1:11" x14ac:dyDescent="0.25">
      <c r="A859" s="16">
        <v>9.4981367181149733E+19</v>
      </c>
      <c r="B859" s="12">
        <v>4007</v>
      </c>
      <c r="K859" s="15">
        <v>1040</v>
      </c>
    </row>
    <row r="860" spans="1:11" x14ac:dyDescent="0.25">
      <c r="A860" s="16">
        <v>1.8857664150501454E+19</v>
      </c>
      <c r="B860" s="12">
        <v>1013</v>
      </c>
      <c r="K860" s="15">
        <v>1040</v>
      </c>
    </row>
    <row r="861" spans="1:11" x14ac:dyDescent="0.25">
      <c r="A861" s="16">
        <v>2.3440025713729753E+19</v>
      </c>
      <c r="B861" s="12">
        <v>1013</v>
      </c>
      <c r="K861" s="15">
        <v>1040</v>
      </c>
    </row>
    <row r="862" spans="1:11" x14ac:dyDescent="0.25">
      <c r="A862" s="16">
        <v>8.883518481401602E+19</v>
      </c>
      <c r="B862" s="12">
        <v>1013</v>
      </c>
      <c r="K862" s="15">
        <v>1040</v>
      </c>
    </row>
    <row r="863" spans="1:11" x14ac:dyDescent="0.25">
      <c r="A863" s="16">
        <v>2.7789842796938912E+19</v>
      </c>
      <c r="B863" s="12">
        <v>1013</v>
      </c>
      <c r="K863" s="15">
        <v>1040</v>
      </c>
    </row>
    <row r="864" spans="1:11" x14ac:dyDescent="0.25">
      <c r="A864" s="16">
        <v>5.2380383772682068E+19</v>
      </c>
      <c r="B864" s="12">
        <v>504</v>
      </c>
      <c r="K864" s="15">
        <v>1040</v>
      </c>
    </row>
    <row r="865" spans="1:11" x14ac:dyDescent="0.25">
      <c r="A865" s="16">
        <v>2.589601014382651E+19</v>
      </c>
      <c r="B865" s="12">
        <v>504</v>
      </c>
      <c r="K865" s="15">
        <v>1040</v>
      </c>
    </row>
    <row r="866" spans="1:11" x14ac:dyDescent="0.25">
      <c r="A866" s="16">
        <v>3.7908607874833302E+19</v>
      </c>
      <c r="B866" s="12">
        <v>504</v>
      </c>
      <c r="K866" s="15">
        <v>1040</v>
      </c>
    </row>
    <row r="867" spans="1:11" x14ac:dyDescent="0.25">
      <c r="A867" s="16">
        <v>7.7030937009922179E+19</v>
      </c>
      <c r="B867" s="12">
        <v>504</v>
      </c>
      <c r="K867" s="15">
        <v>1040</v>
      </c>
    </row>
    <row r="868" spans="1:11" x14ac:dyDescent="0.25">
      <c r="A868" s="16">
        <v>7.1411348097324073E+19</v>
      </c>
      <c r="B868" s="12">
        <v>504</v>
      </c>
      <c r="K868" s="15">
        <v>1040</v>
      </c>
    </row>
    <row r="869" spans="1:11" x14ac:dyDescent="0.25">
      <c r="A869" s="16">
        <v>1.198420601873451E+19</v>
      </c>
      <c r="B869" s="12">
        <v>2</v>
      </c>
      <c r="K869" s="15">
        <v>1040</v>
      </c>
    </row>
    <row r="870" spans="1:11" x14ac:dyDescent="0.25">
      <c r="A870" s="16">
        <v>8.051407514050501E+19</v>
      </c>
      <c r="B870" s="12">
        <v>52</v>
      </c>
      <c r="K870" s="15">
        <v>1040</v>
      </c>
    </row>
    <row r="871" spans="1:11" x14ac:dyDescent="0.25">
      <c r="A871" s="16">
        <v>9.5075832338046206E+19</v>
      </c>
      <c r="B871" s="12">
        <v>7</v>
      </c>
      <c r="K871" s="15">
        <v>1040</v>
      </c>
    </row>
    <row r="872" spans="1:11" x14ac:dyDescent="0.25">
      <c r="A872" s="16">
        <v>2.1888946762316055E+19</v>
      </c>
      <c r="B872" s="12">
        <v>7</v>
      </c>
      <c r="K872" s="15">
        <v>1040</v>
      </c>
    </row>
    <row r="873" spans="1:11" x14ac:dyDescent="0.25">
      <c r="A873" s="16">
        <v>7.6952241574494011E+19</v>
      </c>
      <c r="B873" s="12">
        <v>4</v>
      </c>
      <c r="K873" s="15">
        <v>1040</v>
      </c>
    </row>
    <row r="874" spans="1:11" x14ac:dyDescent="0.25">
      <c r="A874" s="16">
        <v>3.5241291256380326E+19</v>
      </c>
      <c r="B874" s="12">
        <v>4</v>
      </c>
      <c r="K874" s="15">
        <v>1040</v>
      </c>
    </row>
    <row r="875" spans="1:11" x14ac:dyDescent="0.25">
      <c r="A875" s="16">
        <v>7.4166906845873865E+19</v>
      </c>
      <c r="B875" s="12">
        <v>57</v>
      </c>
      <c r="K875" s="15">
        <v>1040</v>
      </c>
    </row>
    <row r="876" spans="1:11" x14ac:dyDescent="0.25">
      <c r="A876" s="16">
        <v>6.3347863636368998E+19</v>
      </c>
      <c r="B876" s="12">
        <v>57</v>
      </c>
      <c r="K876" s="15">
        <v>1040</v>
      </c>
    </row>
    <row r="877" spans="1:11" x14ac:dyDescent="0.25">
      <c r="A877" s="16">
        <v>6.9412835718311821E+19</v>
      </c>
      <c r="B877" s="12">
        <v>250</v>
      </c>
      <c r="K877" s="15">
        <v>1040</v>
      </c>
    </row>
    <row r="878" spans="1:11" x14ac:dyDescent="0.25">
      <c r="A878" s="16">
        <v>9.5196204405191721E+19</v>
      </c>
      <c r="B878" s="12">
        <v>250</v>
      </c>
      <c r="K878" s="15">
        <v>1040</v>
      </c>
    </row>
    <row r="879" spans="1:11" x14ac:dyDescent="0.25">
      <c r="A879" s="16">
        <v>3.6245608269366358E+19</v>
      </c>
      <c r="B879" s="12">
        <v>250</v>
      </c>
      <c r="K879" s="15">
        <v>1040</v>
      </c>
    </row>
    <row r="880" spans="1:11" x14ac:dyDescent="0.25">
      <c r="A880" s="16">
        <v>3.7061536088109253E+19</v>
      </c>
      <c r="B880" s="12">
        <v>350</v>
      </c>
      <c r="K880" s="15">
        <v>1040</v>
      </c>
    </row>
    <row r="881" spans="1:11" x14ac:dyDescent="0.25">
      <c r="A881" s="16">
        <v>8.5525269430455173E+19</v>
      </c>
      <c r="B881" s="12">
        <v>350</v>
      </c>
      <c r="K881" s="15">
        <v>1063</v>
      </c>
    </row>
    <row r="882" spans="1:11" x14ac:dyDescent="0.25">
      <c r="A882" s="16">
        <v>6.8804145785984E+19</v>
      </c>
      <c r="B882" s="12">
        <v>350</v>
      </c>
      <c r="K882" s="15">
        <v>1063</v>
      </c>
    </row>
    <row r="883" spans="1:11" x14ac:dyDescent="0.25">
      <c r="A883" s="16">
        <v>9.0795882633077096E+19</v>
      </c>
      <c r="B883" s="12">
        <v>450</v>
      </c>
      <c r="K883" s="15">
        <v>1063</v>
      </c>
    </row>
    <row r="884" spans="1:11" x14ac:dyDescent="0.25">
      <c r="A884" s="16">
        <v>9.0249238405043175E+19</v>
      </c>
      <c r="B884" s="12">
        <v>450</v>
      </c>
      <c r="K884" s="15">
        <v>1063</v>
      </c>
    </row>
    <row r="885" spans="1:11" x14ac:dyDescent="0.25">
      <c r="A885" s="16">
        <v>7.6655214105039372E+19</v>
      </c>
      <c r="B885" s="12">
        <v>450</v>
      </c>
      <c r="K885" s="15">
        <v>1063</v>
      </c>
    </row>
    <row r="886" spans="1:11" x14ac:dyDescent="0.25">
      <c r="A886" s="16">
        <v>7.8750742220474122E+19</v>
      </c>
      <c r="B886" s="12">
        <v>2605</v>
      </c>
      <c r="K886" s="15">
        <v>1063</v>
      </c>
    </row>
    <row r="887" spans="1:11" x14ac:dyDescent="0.25">
      <c r="A887" s="16">
        <v>7.2561796213029667E+19</v>
      </c>
      <c r="B887" s="12">
        <v>2605</v>
      </c>
      <c r="K887" s="15">
        <v>1063</v>
      </c>
    </row>
    <row r="888" spans="1:11" x14ac:dyDescent="0.25">
      <c r="A888" s="16">
        <v>3.1917963997308117E+19</v>
      </c>
      <c r="B888" s="12">
        <v>2605</v>
      </c>
      <c r="K888" s="15">
        <v>1063</v>
      </c>
    </row>
    <row r="889" spans="1:11" x14ac:dyDescent="0.25">
      <c r="A889" s="16">
        <v>5.7135821856001737E+19</v>
      </c>
      <c r="B889" s="12">
        <v>2605</v>
      </c>
      <c r="K889" s="15">
        <v>1063</v>
      </c>
    </row>
    <row r="890" spans="1:11" x14ac:dyDescent="0.25">
      <c r="A890" s="16">
        <v>9.8078735408201957E+19</v>
      </c>
      <c r="B890" s="12">
        <v>2539</v>
      </c>
      <c r="K890" s="15">
        <v>1063</v>
      </c>
    </row>
    <row r="891" spans="1:11" x14ac:dyDescent="0.25">
      <c r="A891" s="16">
        <v>4.3295333794257043E+19</v>
      </c>
      <c r="B891" s="12">
        <v>2539</v>
      </c>
      <c r="K891" s="15">
        <v>1063</v>
      </c>
    </row>
    <row r="892" spans="1:11" x14ac:dyDescent="0.25">
      <c r="A892" s="16">
        <v>4.1355090903549198E+19</v>
      </c>
      <c r="B892" s="12">
        <v>2539</v>
      </c>
      <c r="K892" s="15">
        <v>1063</v>
      </c>
    </row>
    <row r="893" spans="1:11" x14ac:dyDescent="0.25">
      <c r="A893" s="16">
        <v>2.2187021044325548E+19</v>
      </c>
      <c r="B893" s="12">
        <v>5041</v>
      </c>
      <c r="K893" s="15">
        <v>1063</v>
      </c>
    </row>
    <row r="894" spans="1:11" x14ac:dyDescent="0.25">
      <c r="A894" s="16">
        <v>2.6042050147396604E+19</v>
      </c>
      <c r="B894" s="12">
        <v>5041</v>
      </c>
      <c r="K894" s="15">
        <v>1063</v>
      </c>
    </row>
    <row r="895" spans="1:11" x14ac:dyDescent="0.25">
      <c r="A895" s="16">
        <v>9.8088708132540875E+19</v>
      </c>
      <c r="B895" s="12">
        <v>5041</v>
      </c>
      <c r="K895" s="15">
        <v>1063</v>
      </c>
    </row>
    <row r="896" spans="1:11" x14ac:dyDescent="0.25">
      <c r="A896" s="16">
        <v>4.2655513208778179E+19</v>
      </c>
      <c r="B896" s="12">
        <v>5041</v>
      </c>
      <c r="K896" s="15">
        <v>1063</v>
      </c>
    </row>
    <row r="897" spans="1:11" x14ac:dyDescent="0.25">
      <c r="A897" s="16">
        <v>6.5323996954348659E+19</v>
      </c>
      <c r="B897" s="12">
        <v>5041</v>
      </c>
      <c r="K897" s="15">
        <v>1063</v>
      </c>
    </row>
    <row r="898" spans="1:11" x14ac:dyDescent="0.25">
      <c r="A898" s="16">
        <v>5.2482304291419431E+19</v>
      </c>
      <c r="B898" s="12">
        <v>5041</v>
      </c>
      <c r="K898" s="15">
        <v>1063</v>
      </c>
    </row>
    <row r="899" spans="1:11" x14ac:dyDescent="0.25">
      <c r="A899" s="16">
        <v>2.5604502519527997E+19</v>
      </c>
      <c r="B899" s="12">
        <v>4008</v>
      </c>
      <c r="K899" s="15">
        <v>1063</v>
      </c>
    </row>
    <row r="900" spans="1:11" x14ac:dyDescent="0.25">
      <c r="A900" s="16">
        <v>9.8069752703141298E+19</v>
      </c>
      <c r="B900" s="12">
        <v>4008</v>
      </c>
      <c r="K900" s="15">
        <v>1063</v>
      </c>
    </row>
    <row r="901" spans="1:11" x14ac:dyDescent="0.25">
      <c r="A901" s="16">
        <v>6.6716981214424048E+19</v>
      </c>
      <c r="B901" s="12">
        <v>4008</v>
      </c>
      <c r="K901" s="15">
        <v>1063</v>
      </c>
    </row>
    <row r="902" spans="1:11" x14ac:dyDescent="0.25">
      <c r="A902" s="16">
        <v>8.8094597525190361E+19</v>
      </c>
      <c r="B902" s="12">
        <v>4008</v>
      </c>
      <c r="K902" s="15">
        <v>1063</v>
      </c>
    </row>
    <row r="903" spans="1:11" x14ac:dyDescent="0.25">
      <c r="A903" s="16">
        <v>1.0022700044730698E+19</v>
      </c>
      <c r="B903" s="12">
        <v>374</v>
      </c>
      <c r="K903" s="15">
        <v>1063</v>
      </c>
    </row>
    <row r="904" spans="1:11" x14ac:dyDescent="0.25">
      <c r="A904" s="16">
        <v>5.3262637064553701E+19</v>
      </c>
      <c r="B904" s="12">
        <v>376</v>
      </c>
      <c r="K904" s="15">
        <v>1063</v>
      </c>
    </row>
    <row r="905" spans="1:11" x14ac:dyDescent="0.25">
      <c r="A905" s="16">
        <v>5.8799364987676688E+19</v>
      </c>
      <c r="B905" s="12">
        <v>4006</v>
      </c>
      <c r="K905" s="15">
        <v>1063</v>
      </c>
    </row>
    <row r="906" spans="1:11" x14ac:dyDescent="0.25">
      <c r="A906" s="16">
        <v>1.435661270129449E+19</v>
      </c>
      <c r="B906" s="12">
        <v>4006</v>
      </c>
      <c r="K906" s="15">
        <v>1063</v>
      </c>
    </row>
    <row r="907" spans="1:11" x14ac:dyDescent="0.25">
      <c r="A907" s="16">
        <v>2.987929074569062E+19</v>
      </c>
      <c r="B907" s="12">
        <v>4006</v>
      </c>
      <c r="K907" s="15">
        <v>1063</v>
      </c>
    </row>
    <row r="908" spans="1:11" x14ac:dyDescent="0.25">
      <c r="A908" s="16">
        <v>6.5484004626619408E+19</v>
      </c>
      <c r="B908" s="12">
        <v>4006</v>
      </c>
      <c r="K908" s="15">
        <v>1063</v>
      </c>
    </row>
    <row r="909" spans="1:11" x14ac:dyDescent="0.25">
      <c r="A909" s="16">
        <v>6.1750308530157625E+19</v>
      </c>
      <c r="B909" s="12">
        <v>4015</v>
      </c>
      <c r="K909" s="15">
        <v>1063</v>
      </c>
    </row>
    <row r="910" spans="1:11" x14ac:dyDescent="0.25">
      <c r="A910" s="16">
        <v>8.9590417492001751E+19</v>
      </c>
      <c r="B910" s="12">
        <v>4015</v>
      </c>
      <c r="K910" s="15">
        <v>1063</v>
      </c>
    </row>
    <row r="911" spans="1:11" x14ac:dyDescent="0.25">
      <c r="A911" s="16">
        <v>4.4719993537380393E+19</v>
      </c>
      <c r="B911" s="12">
        <v>4015</v>
      </c>
      <c r="K911" s="15">
        <v>1063</v>
      </c>
    </row>
    <row r="912" spans="1:11" x14ac:dyDescent="0.25">
      <c r="A912" s="16">
        <v>3.3652639212972409E+19</v>
      </c>
      <c r="B912" s="12">
        <v>4015</v>
      </c>
      <c r="K912" s="15">
        <v>1063</v>
      </c>
    </row>
    <row r="913" spans="1:11" x14ac:dyDescent="0.25">
      <c r="A913" s="16">
        <v>5.5131842117362803E+19</v>
      </c>
      <c r="B913" s="12">
        <v>4012</v>
      </c>
      <c r="K913" s="15">
        <v>1063</v>
      </c>
    </row>
    <row r="914" spans="1:11" x14ac:dyDescent="0.25">
      <c r="A914" s="16">
        <v>4.831501517168572E+19</v>
      </c>
      <c r="B914" s="12">
        <v>4012</v>
      </c>
      <c r="K914" s="15">
        <v>1063</v>
      </c>
    </row>
    <row r="915" spans="1:11" x14ac:dyDescent="0.25">
      <c r="A915" s="16">
        <v>8.0990244793427886E+19</v>
      </c>
      <c r="B915" s="12">
        <v>4012</v>
      </c>
      <c r="K915" s="15">
        <v>1063</v>
      </c>
    </row>
    <row r="916" spans="1:11" x14ac:dyDescent="0.25">
      <c r="A916" s="16">
        <v>4.7255594165536023E+19</v>
      </c>
      <c r="B916" s="12">
        <v>1001</v>
      </c>
      <c r="K916" s="15">
        <v>1063</v>
      </c>
    </row>
    <row r="917" spans="1:11" x14ac:dyDescent="0.25">
      <c r="A917" s="16">
        <v>4.3258477206630449E+19</v>
      </c>
      <c r="B917" s="12">
        <v>1001</v>
      </c>
      <c r="K917" s="15">
        <v>1063</v>
      </c>
    </row>
    <row r="918" spans="1:11" x14ac:dyDescent="0.25">
      <c r="A918" s="16">
        <v>8.1975200345220956E+19</v>
      </c>
      <c r="B918" s="12">
        <v>1001</v>
      </c>
      <c r="K918" s="15">
        <v>1063</v>
      </c>
    </row>
    <row r="919" spans="1:11" x14ac:dyDescent="0.25">
      <c r="A919" s="16">
        <v>3.1695324525785448E+19</v>
      </c>
      <c r="B919" s="12">
        <v>1001</v>
      </c>
      <c r="K919" s="15">
        <v>1063</v>
      </c>
    </row>
    <row r="920" spans="1:11" x14ac:dyDescent="0.25">
      <c r="A920" s="16">
        <v>6.7550411463657898E+19</v>
      </c>
      <c r="B920" s="12">
        <v>2613</v>
      </c>
      <c r="K920" s="15">
        <v>1063</v>
      </c>
    </row>
    <row r="921" spans="1:11" x14ac:dyDescent="0.25">
      <c r="A921" s="16">
        <v>9.8165302217857679E+19</v>
      </c>
      <c r="B921" s="12">
        <v>1065</v>
      </c>
      <c r="K921" s="15">
        <v>1063</v>
      </c>
    </row>
    <row r="922" spans="1:11" x14ac:dyDescent="0.25">
      <c r="A922" s="16">
        <v>1.4611366929631281E+19</v>
      </c>
      <c r="B922" s="12">
        <v>1065</v>
      </c>
      <c r="K922" s="15">
        <v>1063</v>
      </c>
    </row>
    <row r="923" spans="1:11" x14ac:dyDescent="0.25">
      <c r="A923" s="16">
        <v>5.6999851747997295E+19</v>
      </c>
      <c r="B923" s="12">
        <v>1065</v>
      </c>
      <c r="K923" s="15">
        <v>1063</v>
      </c>
    </row>
    <row r="924" spans="1:11" x14ac:dyDescent="0.25">
      <c r="A924" s="16">
        <v>3.8389469473583587E+19</v>
      </c>
      <c r="B924" s="12">
        <v>1065</v>
      </c>
      <c r="K924" s="15">
        <v>1063</v>
      </c>
    </row>
    <row r="925" spans="1:11" x14ac:dyDescent="0.25">
      <c r="A925" s="16">
        <v>4.6442024596730986E+19</v>
      </c>
      <c r="B925" s="12">
        <v>1065</v>
      </c>
      <c r="K925" s="15">
        <v>1063</v>
      </c>
    </row>
    <row r="926" spans="1:11" x14ac:dyDescent="0.25">
      <c r="A926" s="16">
        <v>8.4652156037925208E+19</v>
      </c>
      <c r="B926" s="12">
        <v>1065</v>
      </c>
      <c r="K926" s="15">
        <v>1063</v>
      </c>
    </row>
    <row r="927" spans="1:11" x14ac:dyDescent="0.25">
      <c r="A927" s="16">
        <v>6.2421271619082863E+19</v>
      </c>
      <c r="B927" s="12">
        <v>1065</v>
      </c>
      <c r="K927" s="15">
        <v>1063</v>
      </c>
    </row>
    <row r="928" spans="1:11" x14ac:dyDescent="0.25">
      <c r="A928" s="16">
        <v>6.0987182005227725E+19</v>
      </c>
      <c r="B928" s="12">
        <v>1065</v>
      </c>
      <c r="K928" s="15">
        <v>1063</v>
      </c>
    </row>
    <row r="929" spans="1:11" x14ac:dyDescent="0.25">
      <c r="A929" s="16">
        <v>6.417607985613466E+19</v>
      </c>
      <c r="B929" s="12">
        <v>1065</v>
      </c>
      <c r="K929" s="15">
        <v>5050</v>
      </c>
    </row>
    <row r="930" spans="1:11" x14ac:dyDescent="0.25">
      <c r="A930" s="16">
        <v>3.4580849492726313E+19</v>
      </c>
      <c r="B930" s="12">
        <v>5075</v>
      </c>
      <c r="K930" s="15">
        <v>5050</v>
      </c>
    </row>
    <row r="931" spans="1:11" x14ac:dyDescent="0.25">
      <c r="A931" s="16">
        <v>9.9940997269901115E+19</v>
      </c>
      <c r="B931" s="12">
        <v>5075</v>
      </c>
      <c r="K931" s="15">
        <v>5050</v>
      </c>
    </row>
    <row r="932" spans="1:11" x14ac:dyDescent="0.25">
      <c r="A932" s="16">
        <v>2.731160499577165E+19</v>
      </c>
      <c r="B932" s="12">
        <v>5075</v>
      </c>
      <c r="K932" s="15">
        <v>5050</v>
      </c>
    </row>
    <row r="933" spans="1:11" x14ac:dyDescent="0.25">
      <c r="A933" s="16">
        <v>7.4824556480943817E+19</v>
      </c>
      <c r="B933" s="12">
        <v>5075</v>
      </c>
      <c r="K933" s="15">
        <v>5050</v>
      </c>
    </row>
    <row r="934" spans="1:11" x14ac:dyDescent="0.25">
      <c r="A934" s="16">
        <v>9.3614557935231828E+19</v>
      </c>
      <c r="B934" s="12">
        <v>5075</v>
      </c>
      <c r="K934" s="15">
        <v>5050</v>
      </c>
    </row>
    <row r="935" spans="1:11" x14ac:dyDescent="0.25">
      <c r="A935" s="16">
        <v>2.9939317737517285E+19</v>
      </c>
      <c r="B935" s="12">
        <v>5075</v>
      </c>
      <c r="K935" s="15">
        <v>5050</v>
      </c>
    </row>
    <row r="936" spans="1:11" x14ac:dyDescent="0.25">
      <c r="A936" s="16">
        <v>3.9633798218020684E+19</v>
      </c>
      <c r="B936" s="12">
        <v>5044</v>
      </c>
      <c r="K936" s="15">
        <v>5050</v>
      </c>
    </row>
    <row r="937" spans="1:11" x14ac:dyDescent="0.25">
      <c r="A937" s="16">
        <v>8.5606379280755606E+19</v>
      </c>
      <c r="B937" s="12">
        <v>5044</v>
      </c>
      <c r="K937" s="15">
        <v>5050</v>
      </c>
    </row>
    <row r="938" spans="1:11" x14ac:dyDescent="0.25">
      <c r="A938" s="16">
        <v>6.1405994239122694E+19</v>
      </c>
      <c r="B938" s="12">
        <v>5044</v>
      </c>
      <c r="K938" s="15">
        <v>5050</v>
      </c>
    </row>
    <row r="939" spans="1:11" x14ac:dyDescent="0.25">
      <c r="A939" s="16">
        <v>8.8758193753374245E+19</v>
      </c>
      <c r="B939" s="12">
        <v>5044</v>
      </c>
      <c r="K939" s="15">
        <v>5050</v>
      </c>
    </row>
    <row r="940" spans="1:11" x14ac:dyDescent="0.25">
      <c r="A940" s="16">
        <v>1.2241074454176197E+19</v>
      </c>
      <c r="B940" s="12">
        <v>5044</v>
      </c>
      <c r="K940" s="15">
        <v>5050</v>
      </c>
    </row>
    <row r="941" spans="1:11" x14ac:dyDescent="0.25">
      <c r="A941" s="16">
        <v>4.2572040780625404E+19</v>
      </c>
      <c r="B941" s="12">
        <v>5044</v>
      </c>
      <c r="K941" s="15">
        <v>5050</v>
      </c>
    </row>
    <row r="942" spans="1:11" x14ac:dyDescent="0.25">
      <c r="A942" s="16">
        <v>5.6892042702033543E+19</v>
      </c>
      <c r="B942" s="12">
        <v>5070</v>
      </c>
      <c r="K942" s="15">
        <v>5050</v>
      </c>
    </row>
    <row r="943" spans="1:11" x14ac:dyDescent="0.25">
      <c r="A943" s="16">
        <v>6.0041035436824756E+19</v>
      </c>
      <c r="B943" s="12">
        <v>5070</v>
      </c>
      <c r="K943" s="15">
        <v>5050</v>
      </c>
    </row>
    <row r="944" spans="1:11" x14ac:dyDescent="0.25">
      <c r="A944" s="16">
        <v>7.6894675321792201E+19</v>
      </c>
      <c r="B944" s="12">
        <v>5070</v>
      </c>
      <c r="K944" s="15">
        <v>5050</v>
      </c>
    </row>
    <row r="945" spans="1:11" x14ac:dyDescent="0.25">
      <c r="A945" s="16">
        <v>6.9411321573711593E+19</v>
      </c>
      <c r="B945" s="12">
        <v>5070</v>
      </c>
      <c r="K945" s="15">
        <v>1076</v>
      </c>
    </row>
    <row r="946" spans="1:11" x14ac:dyDescent="0.25">
      <c r="A946" s="16">
        <v>3.4433336486853255E+19</v>
      </c>
      <c r="B946" s="12">
        <v>4013</v>
      </c>
      <c r="K946" s="15">
        <v>1076</v>
      </c>
    </row>
    <row r="947" spans="1:11" x14ac:dyDescent="0.25">
      <c r="A947" s="16">
        <v>2.0543439845298274E+19</v>
      </c>
      <c r="B947" s="12">
        <v>4013</v>
      </c>
      <c r="K947" s="15">
        <v>1076</v>
      </c>
    </row>
    <row r="948" spans="1:11" x14ac:dyDescent="0.25">
      <c r="A948" s="16">
        <v>3.4420423224749363E+19</v>
      </c>
      <c r="B948" s="12">
        <v>4013</v>
      </c>
      <c r="K948" s="15">
        <v>1076</v>
      </c>
    </row>
    <row r="949" spans="1:11" x14ac:dyDescent="0.25">
      <c r="A949" s="16">
        <v>4.1505448968213053E+19</v>
      </c>
      <c r="B949" s="12">
        <v>1009</v>
      </c>
      <c r="K949" s="15">
        <v>1076</v>
      </c>
    </row>
    <row r="950" spans="1:11" x14ac:dyDescent="0.25">
      <c r="A950" s="16">
        <v>5.4970366008811053E+19</v>
      </c>
      <c r="B950" s="12">
        <v>1009</v>
      </c>
      <c r="K950" s="15">
        <v>1076</v>
      </c>
    </row>
    <row r="951" spans="1:11" x14ac:dyDescent="0.25">
      <c r="A951" s="16">
        <v>1.0577330959717075E+19</v>
      </c>
      <c r="B951" s="12">
        <v>1009</v>
      </c>
      <c r="K951" s="15">
        <v>1076</v>
      </c>
    </row>
    <row r="952" spans="1:11" x14ac:dyDescent="0.25">
      <c r="A952" s="16">
        <v>2.3655752102916305E+19</v>
      </c>
      <c r="B952" s="12">
        <v>1009</v>
      </c>
      <c r="K952" s="15">
        <v>1076</v>
      </c>
    </row>
    <row r="953" spans="1:11" x14ac:dyDescent="0.25">
      <c r="A953" s="16">
        <v>9.7151791195846099E+19</v>
      </c>
      <c r="B953" s="12">
        <v>1009</v>
      </c>
      <c r="K953" s="15">
        <v>1076</v>
      </c>
    </row>
    <row r="954" spans="1:11" x14ac:dyDescent="0.25">
      <c r="A954" s="16">
        <v>8.0784128580715676E+19</v>
      </c>
      <c r="B954" s="12">
        <v>1009</v>
      </c>
      <c r="K954" s="15">
        <v>1076</v>
      </c>
    </row>
    <row r="955" spans="1:11" x14ac:dyDescent="0.25">
      <c r="A955" s="16">
        <v>2.9663155404655534E+19</v>
      </c>
      <c r="B955" s="12">
        <v>62</v>
      </c>
      <c r="K955" s="15">
        <v>1076</v>
      </c>
    </row>
    <row r="956" spans="1:11" x14ac:dyDescent="0.25">
      <c r="A956" s="16">
        <v>4.5959615949885374E+19</v>
      </c>
      <c r="B956" s="12">
        <v>62</v>
      </c>
      <c r="K956" s="15">
        <v>1076</v>
      </c>
    </row>
    <row r="957" spans="1:11" x14ac:dyDescent="0.25">
      <c r="A957" s="16">
        <v>1.7978218994377449E+19</v>
      </c>
      <c r="B957" s="12">
        <v>8</v>
      </c>
      <c r="K957" s="15">
        <v>1076</v>
      </c>
    </row>
    <row r="958" spans="1:11" x14ac:dyDescent="0.25">
      <c r="A958" s="16">
        <v>4.6210891594603708E+19</v>
      </c>
      <c r="B958" s="12">
        <v>8</v>
      </c>
      <c r="K958" s="15">
        <v>1076</v>
      </c>
    </row>
    <row r="959" spans="1:11" x14ac:dyDescent="0.25">
      <c r="A959" s="16">
        <v>1.2777190477930926E+19</v>
      </c>
      <c r="B959" s="12">
        <v>1070</v>
      </c>
      <c r="K959" s="15">
        <v>1076</v>
      </c>
    </row>
    <row r="960" spans="1:11" x14ac:dyDescent="0.25">
      <c r="A960" s="16">
        <v>8.7281932658440831E+19</v>
      </c>
      <c r="B960" s="12">
        <v>1070</v>
      </c>
      <c r="K960" s="15">
        <v>1076</v>
      </c>
    </row>
    <row r="961" spans="1:11" x14ac:dyDescent="0.25">
      <c r="A961" s="16">
        <v>7.7129668952257184E+19</v>
      </c>
      <c r="B961" s="12">
        <v>1070</v>
      </c>
      <c r="K961" s="15">
        <v>1076</v>
      </c>
    </row>
    <row r="962" spans="1:11" x14ac:dyDescent="0.25">
      <c r="A962" s="16">
        <v>5.3563737142774178E+19</v>
      </c>
      <c r="B962" s="12">
        <v>1070</v>
      </c>
      <c r="K962" s="15">
        <v>1076</v>
      </c>
    </row>
    <row r="963" spans="1:11" x14ac:dyDescent="0.25">
      <c r="A963" s="16">
        <v>5.5463375908864098E+19</v>
      </c>
      <c r="B963" s="12">
        <v>1070</v>
      </c>
      <c r="K963" s="15">
        <v>1076</v>
      </c>
    </row>
    <row r="964" spans="1:11" x14ac:dyDescent="0.25">
      <c r="A964" s="16">
        <v>8.0039292864378438E+19</v>
      </c>
      <c r="B964" s="12">
        <v>1070</v>
      </c>
      <c r="K964" s="15">
        <v>1076</v>
      </c>
    </row>
    <row r="965" spans="1:11" x14ac:dyDescent="0.25">
      <c r="A965" s="16">
        <v>4.4181739944964465E+19</v>
      </c>
      <c r="B965" s="12">
        <v>5052</v>
      </c>
      <c r="K965" s="15">
        <v>1076</v>
      </c>
    </row>
    <row r="966" spans="1:11" x14ac:dyDescent="0.25">
      <c r="A966" s="16">
        <v>4.6235044730996965E+19</v>
      </c>
      <c r="B966" s="12">
        <v>5052</v>
      </c>
      <c r="K966" s="15">
        <v>1076</v>
      </c>
    </row>
    <row r="967" spans="1:11" x14ac:dyDescent="0.25">
      <c r="A967" s="16">
        <v>2.7209660892175356E+19</v>
      </c>
      <c r="B967" s="12">
        <v>1040</v>
      </c>
      <c r="K967" s="15">
        <v>1076</v>
      </c>
    </row>
    <row r="968" spans="1:11" x14ac:dyDescent="0.25">
      <c r="A968" s="16">
        <v>9.5124093969676354E+19</v>
      </c>
      <c r="B968" s="12">
        <v>1040</v>
      </c>
      <c r="K968" s="15">
        <v>1076</v>
      </c>
    </row>
    <row r="969" spans="1:11" x14ac:dyDescent="0.25">
      <c r="A969" s="16">
        <v>4.1589002180522279E+19</v>
      </c>
      <c r="B969" s="12">
        <v>1040</v>
      </c>
      <c r="K969" s="15">
        <v>1076</v>
      </c>
    </row>
    <row r="970" spans="1:11" x14ac:dyDescent="0.25">
      <c r="A970" s="16">
        <v>2.1283928283360596E+19</v>
      </c>
      <c r="B970" s="12">
        <v>1040</v>
      </c>
      <c r="K970" s="15">
        <v>1076</v>
      </c>
    </row>
    <row r="971" spans="1:11" x14ac:dyDescent="0.25">
      <c r="A971" s="16">
        <v>3.3754281526575264E+19</v>
      </c>
      <c r="B971" s="12">
        <v>1040</v>
      </c>
      <c r="K971" s="15">
        <v>1076</v>
      </c>
    </row>
    <row r="972" spans="1:11" x14ac:dyDescent="0.25">
      <c r="A972" s="16">
        <v>2.2439913810329752E+19</v>
      </c>
      <c r="B972" s="12">
        <v>1040</v>
      </c>
      <c r="K972" s="15">
        <v>1076</v>
      </c>
    </row>
    <row r="973" spans="1:11" x14ac:dyDescent="0.25">
      <c r="A973" s="16">
        <v>6.3599401222578373E+19</v>
      </c>
      <c r="B973" s="12">
        <v>1040</v>
      </c>
      <c r="K973" s="15">
        <v>1076</v>
      </c>
    </row>
    <row r="974" spans="1:11" x14ac:dyDescent="0.25">
      <c r="A974" s="16">
        <v>2.8588022326338257E+19</v>
      </c>
      <c r="B974" s="12">
        <v>1040</v>
      </c>
      <c r="K974" s="15">
        <v>1076</v>
      </c>
    </row>
    <row r="975" spans="1:11" x14ac:dyDescent="0.25">
      <c r="A975" s="16">
        <v>7.5792912211588612E+19</v>
      </c>
      <c r="B975" s="12">
        <v>1040</v>
      </c>
      <c r="K975" s="15">
        <v>1076</v>
      </c>
    </row>
    <row r="976" spans="1:11" x14ac:dyDescent="0.25">
      <c r="A976" s="16">
        <v>4.0415646071999447E+19</v>
      </c>
      <c r="B976" s="12">
        <v>1040</v>
      </c>
      <c r="K976" s="15">
        <v>1076</v>
      </c>
    </row>
    <row r="977" spans="1:11" x14ac:dyDescent="0.25">
      <c r="A977" s="16">
        <v>8.4242519244311593E+19</v>
      </c>
      <c r="B977" s="12">
        <v>1040</v>
      </c>
      <c r="K977" s="15">
        <v>5057</v>
      </c>
    </row>
    <row r="978" spans="1:11" x14ac:dyDescent="0.25">
      <c r="A978" s="16">
        <v>1.1162765508445811E+19</v>
      </c>
      <c r="B978" s="12">
        <v>1040</v>
      </c>
      <c r="K978" s="15">
        <v>5057</v>
      </c>
    </row>
    <row r="979" spans="1:11" x14ac:dyDescent="0.25">
      <c r="A979" s="16">
        <v>2.585404400354902E+19</v>
      </c>
      <c r="B979" s="12">
        <v>5069</v>
      </c>
      <c r="K979" s="15">
        <v>5057</v>
      </c>
    </row>
    <row r="980" spans="1:11" x14ac:dyDescent="0.25">
      <c r="A980" s="16">
        <v>4.0932662208557744E+19</v>
      </c>
      <c r="B980" s="12">
        <v>5069</v>
      </c>
      <c r="K980" s="15">
        <v>5057</v>
      </c>
    </row>
    <row r="981" spans="1:11" x14ac:dyDescent="0.25">
      <c r="A981" s="16">
        <v>9.5255641989419205E+19</v>
      </c>
      <c r="B981" s="12">
        <v>5069</v>
      </c>
      <c r="K981" s="15">
        <v>5057</v>
      </c>
    </row>
    <row r="982" spans="1:11" x14ac:dyDescent="0.25">
      <c r="A982" s="16">
        <v>3.5771980559810253E+19</v>
      </c>
      <c r="B982" s="12">
        <v>5069</v>
      </c>
      <c r="K982" s="15">
        <v>5057</v>
      </c>
    </row>
    <row r="983" spans="1:11" x14ac:dyDescent="0.25">
      <c r="A983" s="16">
        <v>7.0796326107133305E+19</v>
      </c>
      <c r="B983" s="12">
        <v>5069</v>
      </c>
      <c r="K983" s="15">
        <v>5057</v>
      </c>
    </row>
    <row r="984" spans="1:11" x14ac:dyDescent="0.25">
      <c r="A984" s="16">
        <v>6.7644504597095293E+19</v>
      </c>
      <c r="B984" s="12">
        <v>5069</v>
      </c>
      <c r="K984" s="15">
        <v>5057</v>
      </c>
    </row>
    <row r="985" spans="1:11" x14ac:dyDescent="0.25">
      <c r="A985" s="16">
        <v>3.9983005423710962E+19</v>
      </c>
      <c r="B985" s="12">
        <v>261</v>
      </c>
      <c r="K985" s="15">
        <v>5057</v>
      </c>
    </row>
    <row r="986" spans="1:11" x14ac:dyDescent="0.25">
      <c r="A986" s="16">
        <v>8.0225962307619635E+19</v>
      </c>
      <c r="B986" s="12">
        <v>2612</v>
      </c>
      <c r="K986" s="15">
        <v>5057</v>
      </c>
    </row>
    <row r="987" spans="1:11" x14ac:dyDescent="0.25">
      <c r="A987" s="16">
        <v>9.7459989448153334E+19</v>
      </c>
      <c r="B987" s="12">
        <v>1063</v>
      </c>
      <c r="K987" s="15">
        <v>5057</v>
      </c>
    </row>
    <row r="988" spans="1:11" x14ac:dyDescent="0.25">
      <c r="A988" s="16">
        <v>6.7291862421557764E+19</v>
      </c>
      <c r="B988" s="12">
        <v>1063</v>
      </c>
      <c r="K988" s="15">
        <v>5057</v>
      </c>
    </row>
    <row r="989" spans="1:11" x14ac:dyDescent="0.25">
      <c r="A989" s="16">
        <v>3.2656905927348097E+19</v>
      </c>
      <c r="B989" s="12">
        <v>1063</v>
      </c>
      <c r="K989" s="15">
        <v>5057</v>
      </c>
    </row>
    <row r="990" spans="1:11" x14ac:dyDescent="0.25">
      <c r="A990" s="16">
        <v>4.4150214909957816E+19</v>
      </c>
      <c r="B990" s="12">
        <v>1063</v>
      </c>
      <c r="K990" s="15">
        <v>5057</v>
      </c>
    </row>
    <row r="991" spans="1:11" x14ac:dyDescent="0.25">
      <c r="A991" s="16">
        <v>5.6978916101774041E+19</v>
      </c>
      <c r="B991" s="12">
        <v>1063</v>
      </c>
      <c r="K991" s="15">
        <v>5057</v>
      </c>
    </row>
    <row r="992" spans="1:11" x14ac:dyDescent="0.25">
      <c r="A992" s="16">
        <v>8.2783911967903842E+19</v>
      </c>
      <c r="B992" s="12">
        <v>1063</v>
      </c>
      <c r="K992" s="15">
        <v>5057</v>
      </c>
    </row>
    <row r="993" spans="1:11" x14ac:dyDescent="0.25">
      <c r="A993" s="16">
        <v>4.4827799024756204E+19</v>
      </c>
      <c r="B993" s="12">
        <v>1063</v>
      </c>
      <c r="K993" s="15">
        <v>5057</v>
      </c>
    </row>
    <row r="994" spans="1:11" x14ac:dyDescent="0.25">
      <c r="A994" s="16">
        <v>8.7925154275090989E+19</v>
      </c>
      <c r="B994" s="12">
        <v>1063</v>
      </c>
      <c r="K994" s="15">
        <v>5057</v>
      </c>
    </row>
    <row r="995" spans="1:11" x14ac:dyDescent="0.25">
      <c r="A995" s="16">
        <v>4.1382852895527068E+19</v>
      </c>
      <c r="B995" s="12">
        <v>1063</v>
      </c>
      <c r="K995" s="15">
        <v>5057</v>
      </c>
    </row>
    <row r="996" spans="1:11" x14ac:dyDescent="0.25">
      <c r="A996" s="16">
        <v>4.8996604521169789E+19</v>
      </c>
      <c r="B996" s="12">
        <v>1063</v>
      </c>
      <c r="K996" s="15">
        <v>5057</v>
      </c>
    </row>
    <row r="997" spans="1:11" x14ac:dyDescent="0.25">
      <c r="A997" s="16">
        <v>1.5743354303406416E+19</v>
      </c>
      <c r="B997" s="12">
        <v>1063</v>
      </c>
      <c r="K997" s="15">
        <v>5057</v>
      </c>
    </row>
    <row r="998" spans="1:11" x14ac:dyDescent="0.25">
      <c r="A998" s="16">
        <v>7.1002070567794287E+19</v>
      </c>
      <c r="B998" s="12">
        <v>1063</v>
      </c>
      <c r="K998" s="15">
        <v>5057</v>
      </c>
    </row>
    <row r="999" spans="1:11" x14ac:dyDescent="0.25">
      <c r="A999" s="16">
        <v>9.9389158791839662E+19</v>
      </c>
      <c r="B999" s="12">
        <v>5050</v>
      </c>
      <c r="K999" s="15">
        <v>5057</v>
      </c>
    </row>
    <row r="1000" spans="1:11" x14ac:dyDescent="0.25">
      <c r="A1000" s="16">
        <v>3.6853484691237487E+19</v>
      </c>
      <c r="B1000" s="12">
        <v>5050</v>
      </c>
      <c r="K1000" s="15">
        <v>5057</v>
      </c>
    </row>
    <row r="1001" spans="1:11" x14ac:dyDescent="0.25">
      <c r="A1001" s="16">
        <v>8.342960771770948E+19</v>
      </c>
      <c r="B1001" s="12">
        <v>5050</v>
      </c>
      <c r="K1001" s="15">
        <v>5058</v>
      </c>
    </row>
    <row r="1002" spans="1:11" x14ac:dyDescent="0.25">
      <c r="A1002" s="16">
        <v>4.269343669249604E+19</v>
      </c>
      <c r="B1002" s="12">
        <v>5050</v>
      </c>
      <c r="K1002" s="15">
        <v>5058</v>
      </c>
    </row>
    <row r="1003" spans="1:11" x14ac:dyDescent="0.25">
      <c r="A1003" s="16">
        <v>5.3909810639111594E+19</v>
      </c>
      <c r="B1003" s="12">
        <v>3211</v>
      </c>
      <c r="K1003" s="15">
        <v>5058</v>
      </c>
    </row>
    <row r="1004" spans="1:11" x14ac:dyDescent="0.25">
      <c r="A1004" s="16">
        <v>5.8397915797378499E+19</v>
      </c>
      <c r="B1004" s="12">
        <v>3211</v>
      </c>
      <c r="K1004" s="15">
        <v>5058</v>
      </c>
    </row>
    <row r="1005" spans="1:11" x14ac:dyDescent="0.25">
      <c r="A1005" s="16">
        <v>3.1932623720201052E+19</v>
      </c>
      <c r="B1005" s="12">
        <v>3211</v>
      </c>
      <c r="K1005" s="15">
        <v>5058</v>
      </c>
    </row>
    <row r="1006" spans="1:11" x14ac:dyDescent="0.25">
      <c r="A1006" s="16">
        <v>6.9948026357729034E+19</v>
      </c>
      <c r="B1006" s="12">
        <v>3211</v>
      </c>
      <c r="K1006" s="15">
        <v>5058</v>
      </c>
    </row>
    <row r="1007" spans="1:11" x14ac:dyDescent="0.25">
      <c r="A1007" s="16">
        <v>2.7411746799162892E+19</v>
      </c>
      <c r="B1007" s="12">
        <v>1076</v>
      </c>
      <c r="K1007" s="15">
        <v>5058</v>
      </c>
    </row>
    <row r="1008" spans="1:11" x14ac:dyDescent="0.25">
      <c r="A1008" s="16">
        <v>8.2710019323919958E+19</v>
      </c>
      <c r="B1008" s="12">
        <v>1076</v>
      </c>
      <c r="K1008" s="15">
        <v>5058</v>
      </c>
    </row>
    <row r="1009" spans="1:11" x14ac:dyDescent="0.25">
      <c r="A1009" s="16">
        <v>3.4592883079786869E+19</v>
      </c>
      <c r="B1009" s="12">
        <v>1076</v>
      </c>
      <c r="K1009" s="15">
        <v>5058</v>
      </c>
    </row>
    <row r="1010" spans="1:11" x14ac:dyDescent="0.25">
      <c r="A1010" s="16">
        <v>3.4193360932341903E+19</v>
      </c>
      <c r="B1010" s="12">
        <v>1076</v>
      </c>
      <c r="K1010" s="15">
        <v>5058</v>
      </c>
    </row>
    <row r="1011" spans="1:11" x14ac:dyDescent="0.25">
      <c r="A1011" s="16">
        <v>1.5578532782532805E+19</v>
      </c>
      <c r="B1011" s="12">
        <v>1076</v>
      </c>
      <c r="K1011" s="15">
        <v>5058</v>
      </c>
    </row>
    <row r="1012" spans="1:11" x14ac:dyDescent="0.25">
      <c r="A1012" s="16">
        <v>8.0516358717520249E+19</v>
      </c>
      <c r="B1012" s="12">
        <v>1076</v>
      </c>
      <c r="K1012" s="15">
        <v>5058</v>
      </c>
    </row>
    <row r="1013" spans="1:11" x14ac:dyDescent="0.25">
      <c r="A1013" s="16">
        <v>9.4728861416907194E+19</v>
      </c>
      <c r="B1013" s="12">
        <v>1076</v>
      </c>
      <c r="K1013" s="15">
        <v>5058</v>
      </c>
    </row>
    <row r="1014" spans="1:11" x14ac:dyDescent="0.25">
      <c r="A1014" s="16">
        <v>8.5578870442000368E+19</v>
      </c>
      <c r="B1014" s="12">
        <v>1076</v>
      </c>
      <c r="K1014" s="15">
        <v>5058</v>
      </c>
    </row>
    <row r="1015" spans="1:11" x14ac:dyDescent="0.25">
      <c r="A1015" s="16">
        <v>9.7500525656225055E+19</v>
      </c>
      <c r="B1015" s="12">
        <v>1076</v>
      </c>
      <c r="K1015" s="15">
        <v>5058</v>
      </c>
    </row>
    <row r="1016" spans="1:11" x14ac:dyDescent="0.25">
      <c r="A1016" s="16">
        <v>8.8571698796562629E+19</v>
      </c>
      <c r="B1016" s="12">
        <v>2553</v>
      </c>
      <c r="K1016" s="15">
        <v>5058</v>
      </c>
    </row>
    <row r="1017" spans="1:11" x14ac:dyDescent="0.25">
      <c r="A1017" s="16">
        <v>5.548144504704598E+19</v>
      </c>
      <c r="B1017" s="12">
        <v>2553</v>
      </c>
      <c r="K1017" s="15">
        <v>5091</v>
      </c>
    </row>
    <row r="1018" spans="1:11" x14ac:dyDescent="0.25">
      <c r="A1018" s="16">
        <v>8.1976014534579782E+19</v>
      </c>
      <c r="B1018" s="12">
        <v>2553</v>
      </c>
      <c r="K1018" s="15">
        <v>5091</v>
      </c>
    </row>
    <row r="1019" spans="1:11" x14ac:dyDescent="0.25">
      <c r="A1019" s="16">
        <v>8.7321855775652397E+19</v>
      </c>
      <c r="B1019" s="12">
        <v>2553</v>
      </c>
      <c r="K1019" s="15">
        <v>5091</v>
      </c>
    </row>
    <row r="1020" spans="1:11" x14ac:dyDescent="0.25">
      <c r="A1020" s="16">
        <v>3.3173389223374553E+19</v>
      </c>
      <c r="B1020" s="12">
        <v>2554</v>
      </c>
      <c r="K1020" s="15">
        <v>5091</v>
      </c>
    </row>
    <row r="1021" spans="1:11" x14ac:dyDescent="0.25">
      <c r="A1021" s="16">
        <v>4.7448356046886461E+19</v>
      </c>
      <c r="B1021" s="12">
        <v>2554</v>
      </c>
      <c r="K1021" s="15">
        <v>5091</v>
      </c>
    </row>
    <row r="1022" spans="1:11" x14ac:dyDescent="0.25">
      <c r="A1022" s="16">
        <v>2.3408512102793351E+19</v>
      </c>
      <c r="B1022" s="12">
        <v>2554</v>
      </c>
      <c r="K1022" s="15">
        <v>5091</v>
      </c>
    </row>
    <row r="1023" spans="1:11" x14ac:dyDescent="0.25">
      <c r="A1023" s="16">
        <v>6.4438047892401938E+19</v>
      </c>
      <c r="B1023" s="12">
        <v>2554</v>
      </c>
      <c r="K1023" s="15">
        <v>5091</v>
      </c>
    </row>
    <row r="1024" spans="1:11" x14ac:dyDescent="0.25">
      <c r="A1024" s="16">
        <v>8.2352464787022414E+19</v>
      </c>
      <c r="B1024" s="12">
        <v>829</v>
      </c>
      <c r="K1024" s="15">
        <v>5091</v>
      </c>
    </row>
    <row r="1025" spans="1:11" x14ac:dyDescent="0.25">
      <c r="A1025" s="16">
        <v>7.9311251271818707E+19</v>
      </c>
      <c r="B1025" s="12">
        <v>4225</v>
      </c>
      <c r="K1025" s="15">
        <v>5085</v>
      </c>
    </row>
    <row r="1026" spans="1:11" x14ac:dyDescent="0.25">
      <c r="A1026" s="16">
        <v>1.6917962379291079E+19</v>
      </c>
      <c r="B1026" s="12">
        <v>4225</v>
      </c>
      <c r="K1026" s="15">
        <v>5085</v>
      </c>
    </row>
    <row r="1027" spans="1:11" x14ac:dyDescent="0.25">
      <c r="A1027" s="16">
        <v>1.9602322463237464E+19</v>
      </c>
      <c r="B1027" s="12">
        <v>4225</v>
      </c>
      <c r="K1027" s="15">
        <v>5085</v>
      </c>
    </row>
    <row r="1028" spans="1:11" x14ac:dyDescent="0.25">
      <c r="A1028" s="16">
        <v>7.0592829721836831E+19</v>
      </c>
      <c r="B1028" s="12">
        <v>5057</v>
      </c>
      <c r="K1028" s="15">
        <v>5085</v>
      </c>
    </row>
    <row r="1029" spans="1:11" x14ac:dyDescent="0.25">
      <c r="A1029" s="16">
        <v>7.3206739314692088E+19</v>
      </c>
      <c r="B1029" s="12">
        <v>5057</v>
      </c>
      <c r="K1029" s="15">
        <v>5085</v>
      </c>
    </row>
    <row r="1030" spans="1:11" x14ac:dyDescent="0.25">
      <c r="A1030" s="16">
        <v>1.7717084749101724E+19</v>
      </c>
      <c r="B1030" s="12">
        <v>5057</v>
      </c>
      <c r="K1030" s="15">
        <v>5085</v>
      </c>
    </row>
    <row r="1031" spans="1:11" x14ac:dyDescent="0.25">
      <c r="A1031" s="16">
        <v>3.1167392362887328E+19</v>
      </c>
      <c r="B1031" s="12">
        <v>5057</v>
      </c>
      <c r="K1031" s="15">
        <v>5085</v>
      </c>
    </row>
    <row r="1032" spans="1:11" x14ac:dyDescent="0.25">
      <c r="A1032" s="16">
        <v>7.7355310198623519E+19</v>
      </c>
      <c r="B1032" s="12">
        <v>5057</v>
      </c>
      <c r="K1032" s="15">
        <v>5085</v>
      </c>
    </row>
    <row r="1033" spans="1:11" x14ac:dyDescent="0.25">
      <c r="A1033" s="16">
        <v>5.9443020986165846E+19</v>
      </c>
      <c r="B1033" s="12">
        <v>5057</v>
      </c>
      <c r="K1033" s="15">
        <v>5085</v>
      </c>
    </row>
    <row r="1034" spans="1:11" x14ac:dyDescent="0.25">
      <c r="A1034" s="16">
        <v>2.5208145873729917E+19</v>
      </c>
      <c r="B1034" s="12">
        <v>5058</v>
      </c>
      <c r="K1034" s="15">
        <v>5085</v>
      </c>
    </row>
    <row r="1035" spans="1:11" x14ac:dyDescent="0.25">
      <c r="A1035" s="16">
        <v>8.9754894773218869E+19</v>
      </c>
      <c r="B1035" s="12">
        <v>5058</v>
      </c>
      <c r="K1035" s="15">
        <v>5085</v>
      </c>
    </row>
    <row r="1036" spans="1:11" x14ac:dyDescent="0.25">
      <c r="A1036" s="16">
        <v>6.9055844298354016E+19</v>
      </c>
      <c r="B1036" s="12">
        <v>5058</v>
      </c>
      <c r="K1036" s="15">
        <v>5085</v>
      </c>
    </row>
    <row r="1037" spans="1:11" x14ac:dyDescent="0.25">
      <c r="A1037" s="16">
        <v>7.532908074584739E+19</v>
      </c>
      <c r="B1037" s="12">
        <v>5058</v>
      </c>
      <c r="K1037" s="15">
        <v>5085</v>
      </c>
    </row>
    <row r="1038" spans="1:11" x14ac:dyDescent="0.25">
      <c r="A1038" s="16">
        <v>9.2576367506434802E+19</v>
      </c>
      <c r="B1038" s="12">
        <v>5058</v>
      </c>
      <c r="K1038" s="15">
        <v>5085</v>
      </c>
    </row>
    <row r="1039" spans="1:11" x14ac:dyDescent="0.25">
      <c r="A1039" s="16">
        <v>5.9187830861336158E+19</v>
      </c>
      <c r="B1039" s="12">
        <v>5058</v>
      </c>
      <c r="K1039" s="15">
        <v>5085</v>
      </c>
    </row>
    <row r="1040" spans="1:11" x14ac:dyDescent="0.25">
      <c r="A1040" s="16">
        <v>1.1515353889018524E+19</v>
      </c>
      <c r="B1040" s="12">
        <v>5085</v>
      </c>
      <c r="K1040" s="15">
        <v>5085</v>
      </c>
    </row>
    <row r="1041" spans="1:11" x14ac:dyDescent="0.25">
      <c r="A1041" s="16">
        <v>4.1686216853766971E+19</v>
      </c>
      <c r="B1041" s="12">
        <v>5085</v>
      </c>
      <c r="K1041" s="15">
        <v>5085</v>
      </c>
    </row>
    <row r="1042" spans="1:11" x14ac:dyDescent="0.25">
      <c r="A1042" s="16">
        <v>5.9872236507412341E+19</v>
      </c>
      <c r="B1042" s="12">
        <v>5085</v>
      </c>
      <c r="K1042" s="15">
        <v>5085</v>
      </c>
    </row>
    <row r="1043" spans="1:11" x14ac:dyDescent="0.25">
      <c r="A1043" s="16">
        <v>7.0381814145406984E+19</v>
      </c>
      <c r="B1043" s="12">
        <v>5085</v>
      </c>
      <c r="K1043" s="15">
        <v>5085</v>
      </c>
    </row>
    <row r="1044" spans="1:11" x14ac:dyDescent="0.25">
      <c r="A1044" s="16">
        <v>7.5201575343066923E+19</v>
      </c>
      <c r="B1044" s="12">
        <v>5085</v>
      </c>
      <c r="K1044" s="15">
        <v>5085</v>
      </c>
    </row>
    <row r="1045" spans="1:11" x14ac:dyDescent="0.25">
      <c r="A1045" s="16">
        <v>1.4167868450342691E+19</v>
      </c>
      <c r="B1045" s="12">
        <v>5085</v>
      </c>
      <c r="K1045" s="15">
        <v>5085</v>
      </c>
    </row>
    <row r="1046" spans="1:11" x14ac:dyDescent="0.25">
      <c r="A1046" s="16">
        <v>4.9450348152057995E+19</v>
      </c>
      <c r="B1046" s="12">
        <v>5091</v>
      </c>
      <c r="K1046" s="15">
        <v>5085</v>
      </c>
    </row>
    <row r="1047" spans="1:11" x14ac:dyDescent="0.25">
      <c r="A1047" s="16">
        <v>8.6887271280181461E+19</v>
      </c>
      <c r="B1047" s="12">
        <v>5091</v>
      </c>
      <c r="K1047" s="15">
        <v>5085</v>
      </c>
    </row>
    <row r="1048" spans="1:11" x14ac:dyDescent="0.25">
      <c r="A1048" s="16">
        <v>2.5897628803252797E+19</v>
      </c>
      <c r="B1048" s="12">
        <v>1123</v>
      </c>
      <c r="K1048" s="15">
        <v>5085</v>
      </c>
    </row>
    <row r="1049" spans="1:11" x14ac:dyDescent="0.25">
      <c r="A1049" s="16">
        <v>5.8438719485573849E+19</v>
      </c>
      <c r="B1049" s="12">
        <v>1123</v>
      </c>
      <c r="K1049" s="15">
        <v>1123</v>
      </c>
    </row>
    <row r="1050" spans="1:11" x14ac:dyDescent="0.25">
      <c r="A1050" s="16">
        <v>9.0756259463167885E+19</v>
      </c>
      <c r="B1050" s="12">
        <v>1123</v>
      </c>
      <c r="K1050" s="15">
        <v>1123</v>
      </c>
    </row>
    <row r="1051" spans="1:11" x14ac:dyDescent="0.25">
      <c r="A1051" s="16">
        <v>6.622697389641157E+19</v>
      </c>
      <c r="B1051" s="12">
        <v>1130</v>
      </c>
      <c r="K1051" s="15">
        <v>1123</v>
      </c>
    </row>
    <row r="1052" spans="1:11" x14ac:dyDescent="0.25">
      <c r="A1052" s="16">
        <v>1.3866457228731003E+19</v>
      </c>
      <c r="B1052" s="12">
        <v>1130</v>
      </c>
      <c r="K1052" s="15">
        <v>1123</v>
      </c>
    </row>
    <row r="1053" spans="1:11" x14ac:dyDescent="0.25">
      <c r="A1053" s="16">
        <v>6.4597944463116255E+19</v>
      </c>
      <c r="B1053" s="12">
        <v>1130</v>
      </c>
      <c r="K1053" s="15">
        <v>1123</v>
      </c>
    </row>
    <row r="1054" spans="1:11" x14ac:dyDescent="0.25">
      <c r="A1054" s="16">
        <v>8.3042566612570604E+19</v>
      </c>
      <c r="B1054" s="12">
        <v>5085</v>
      </c>
      <c r="K1054" s="15">
        <v>1123</v>
      </c>
    </row>
    <row r="1055" spans="1:11" x14ac:dyDescent="0.25">
      <c r="A1055" s="16">
        <v>3.0586656251128721E+19</v>
      </c>
      <c r="B1055" s="12">
        <v>5085</v>
      </c>
      <c r="K1055" s="15">
        <v>1123</v>
      </c>
    </row>
    <row r="1056" spans="1:11" x14ac:dyDescent="0.25">
      <c r="A1056" s="16">
        <v>8.3490948720248881E+19</v>
      </c>
      <c r="B1056" s="12">
        <v>5085</v>
      </c>
      <c r="K1056" s="15">
        <v>1123</v>
      </c>
    </row>
    <row r="1057" spans="1:11" x14ac:dyDescent="0.25">
      <c r="A1057" s="16">
        <v>3.5630796652461609E+19</v>
      </c>
      <c r="B1057" s="12">
        <v>5089</v>
      </c>
      <c r="K1057" s="15">
        <v>1123</v>
      </c>
    </row>
    <row r="1058" spans="1:11" x14ac:dyDescent="0.25">
      <c r="A1058" s="16">
        <v>7.5712451210013639E+19</v>
      </c>
      <c r="B1058" s="12">
        <v>5089</v>
      </c>
      <c r="K1058" s="15">
        <v>1123</v>
      </c>
    </row>
    <row r="1059" spans="1:11" x14ac:dyDescent="0.25">
      <c r="A1059" s="16">
        <v>1.8383188909843751E+19</v>
      </c>
      <c r="B1059" s="12">
        <v>5089</v>
      </c>
      <c r="K1059" s="15">
        <v>1123</v>
      </c>
    </row>
    <row r="1060" spans="1:11" x14ac:dyDescent="0.25">
      <c r="A1060" s="16">
        <v>7.6227505663245926E+19</v>
      </c>
      <c r="B1060" s="12">
        <v>5089</v>
      </c>
      <c r="K1060" s="15">
        <v>1123</v>
      </c>
    </row>
    <row r="1061" spans="1:11" x14ac:dyDescent="0.25">
      <c r="A1061" s="16">
        <v>7.6604251393663599E+19</v>
      </c>
      <c r="B1061" s="12">
        <v>5089</v>
      </c>
      <c r="K1061" s="15">
        <v>1130</v>
      </c>
    </row>
    <row r="1062" spans="1:11" x14ac:dyDescent="0.25">
      <c r="A1062" s="16">
        <v>1.6857591609589146E+19</v>
      </c>
      <c r="B1062" s="12">
        <v>5089</v>
      </c>
      <c r="K1062" s="15">
        <v>1130</v>
      </c>
    </row>
    <row r="1063" spans="1:11" x14ac:dyDescent="0.25">
      <c r="A1063" s="16">
        <v>8.1857450082453062E+19</v>
      </c>
      <c r="B1063" s="12">
        <v>1134</v>
      </c>
      <c r="K1063" s="15">
        <v>1130</v>
      </c>
    </row>
    <row r="1064" spans="1:11" x14ac:dyDescent="0.25">
      <c r="A1064" s="16">
        <v>7.6652584697642746E+19</v>
      </c>
      <c r="B1064" s="12">
        <v>1134</v>
      </c>
      <c r="K1064" s="15">
        <v>1130</v>
      </c>
    </row>
    <row r="1065" spans="1:11" x14ac:dyDescent="0.25">
      <c r="A1065" s="16">
        <v>6.521604841996909E+19</v>
      </c>
      <c r="B1065" s="12">
        <v>1134</v>
      </c>
      <c r="K1065" s="15">
        <v>1130</v>
      </c>
    </row>
    <row r="1066" spans="1:11" x14ac:dyDescent="0.25">
      <c r="A1066" s="16">
        <v>2.4829266652489466E+19</v>
      </c>
      <c r="B1066" s="12">
        <v>1134</v>
      </c>
      <c r="K1066" s="15">
        <v>1130</v>
      </c>
    </row>
    <row r="1067" spans="1:11" x14ac:dyDescent="0.25">
      <c r="A1067" s="16">
        <v>4.0560978735997682E+19</v>
      </c>
      <c r="B1067" s="12">
        <v>1134</v>
      </c>
      <c r="K1067" s="15">
        <v>1130</v>
      </c>
    </row>
    <row r="1068" spans="1:11" x14ac:dyDescent="0.25">
      <c r="A1068" s="16">
        <v>9.7815277720267145E+19</v>
      </c>
      <c r="B1068" s="12">
        <v>1134</v>
      </c>
      <c r="K1068" s="15">
        <v>1130</v>
      </c>
    </row>
    <row r="1069" spans="1:11" x14ac:dyDescent="0.25">
      <c r="A1069" s="16">
        <v>6.0191842092287549E+19</v>
      </c>
      <c r="B1069" s="12">
        <v>1047</v>
      </c>
      <c r="K1069" s="15">
        <v>1130</v>
      </c>
    </row>
    <row r="1070" spans="1:11" x14ac:dyDescent="0.25">
      <c r="A1070" s="16">
        <v>2.7373033873031733E+19</v>
      </c>
      <c r="B1070" s="12">
        <v>1047</v>
      </c>
      <c r="K1070" s="15">
        <v>1130</v>
      </c>
    </row>
    <row r="1071" spans="1:11" x14ac:dyDescent="0.25">
      <c r="A1071" s="16">
        <v>3.6490614315656204E+19</v>
      </c>
      <c r="B1071" s="12">
        <v>5094</v>
      </c>
      <c r="K1071" s="15">
        <v>1130</v>
      </c>
    </row>
    <row r="1072" spans="1:11" x14ac:dyDescent="0.25">
      <c r="A1072" s="16">
        <v>4.1623284978400731E+19</v>
      </c>
      <c r="B1072" s="12">
        <v>5094</v>
      </c>
      <c r="K1072" s="15">
        <v>1130</v>
      </c>
    </row>
    <row r="1073" spans="1:11" x14ac:dyDescent="0.25">
      <c r="A1073" s="16">
        <v>6.7638209227160322E+19</v>
      </c>
      <c r="B1073" s="12">
        <v>5094</v>
      </c>
      <c r="K1073" s="15">
        <v>1134</v>
      </c>
    </row>
    <row r="1074" spans="1:11" x14ac:dyDescent="0.25">
      <c r="A1074" s="16">
        <v>9.9658198665913745E+19</v>
      </c>
      <c r="B1074" s="12">
        <v>5094</v>
      </c>
      <c r="K1074" s="15">
        <v>1134</v>
      </c>
    </row>
    <row r="1075" spans="1:11" x14ac:dyDescent="0.25">
      <c r="A1075" s="16">
        <v>8.8970509398997074E+19</v>
      </c>
      <c r="B1075" s="12">
        <v>5094</v>
      </c>
      <c r="K1075" s="15">
        <v>1134</v>
      </c>
    </row>
    <row r="1076" spans="1:11" x14ac:dyDescent="0.25">
      <c r="A1076" s="16">
        <v>7.1916247603106578E+19</v>
      </c>
      <c r="B1076" s="12">
        <v>5094</v>
      </c>
      <c r="K1076" s="15">
        <v>1134</v>
      </c>
    </row>
    <row r="1077" spans="1:11" x14ac:dyDescent="0.25">
      <c r="K1077" s="15">
        <v>1134</v>
      </c>
    </row>
    <row r="1078" spans="1:11" x14ac:dyDescent="0.25">
      <c r="K1078" s="15">
        <v>1134</v>
      </c>
    </row>
    <row r="1079" spans="1:11" x14ac:dyDescent="0.25">
      <c r="K1079" s="15">
        <v>1134</v>
      </c>
    </row>
    <row r="1080" spans="1:11" x14ac:dyDescent="0.25">
      <c r="K1080" s="15">
        <v>1134</v>
      </c>
    </row>
    <row r="1081" spans="1:11" x14ac:dyDescent="0.25">
      <c r="K1081" s="15">
        <v>1134</v>
      </c>
    </row>
    <row r="1082" spans="1:11" x14ac:dyDescent="0.25">
      <c r="K1082" s="15">
        <v>1134</v>
      </c>
    </row>
    <row r="1083" spans="1:11" x14ac:dyDescent="0.25">
      <c r="K1083" s="15">
        <v>1134</v>
      </c>
    </row>
    <row r="1084" spans="1:11" x14ac:dyDescent="0.25">
      <c r="K1084" s="15">
        <v>1134</v>
      </c>
    </row>
    <row r="1085" spans="1:11" x14ac:dyDescent="0.25">
      <c r="K1085" s="15">
        <v>1134</v>
      </c>
    </row>
    <row r="1086" spans="1:11" x14ac:dyDescent="0.25">
      <c r="K1086" s="15">
        <v>1134</v>
      </c>
    </row>
    <row r="1087" spans="1:11" x14ac:dyDescent="0.25">
      <c r="K1087" s="15">
        <v>1134</v>
      </c>
    </row>
    <row r="1088" spans="1:11" x14ac:dyDescent="0.25">
      <c r="K1088" s="15">
        <v>1134</v>
      </c>
    </row>
    <row r="1089" spans="11:11" x14ac:dyDescent="0.25">
      <c r="K1089" s="15">
        <v>1134</v>
      </c>
    </row>
    <row r="1090" spans="11:11" x14ac:dyDescent="0.25">
      <c r="K1090" s="15">
        <v>1134</v>
      </c>
    </row>
    <row r="1091" spans="11:11" x14ac:dyDescent="0.25">
      <c r="K1091" s="15">
        <v>1134</v>
      </c>
    </row>
    <row r="1092" spans="11:11" x14ac:dyDescent="0.25">
      <c r="K1092" s="15">
        <v>1134</v>
      </c>
    </row>
    <row r="1093" spans="11:11" x14ac:dyDescent="0.25">
      <c r="K1093" s="15">
        <v>1134</v>
      </c>
    </row>
    <row r="1094" spans="11:11" x14ac:dyDescent="0.25">
      <c r="K1094" s="15">
        <v>1134</v>
      </c>
    </row>
    <row r="1095" spans="11:11" x14ac:dyDescent="0.25">
      <c r="K1095" s="15">
        <v>1134</v>
      </c>
    </row>
    <row r="1096" spans="11:11" x14ac:dyDescent="0.25">
      <c r="K1096" s="15">
        <v>1134</v>
      </c>
    </row>
    <row r="1097" spans="11:11" x14ac:dyDescent="0.25">
      <c r="K1097" s="15">
        <v>5089</v>
      </c>
    </row>
    <row r="1098" spans="11:11" x14ac:dyDescent="0.25">
      <c r="K1098" s="15">
        <v>5089</v>
      </c>
    </row>
    <row r="1099" spans="11:11" x14ac:dyDescent="0.25">
      <c r="K1099" s="15">
        <v>5089</v>
      </c>
    </row>
    <row r="1100" spans="11:11" x14ac:dyDescent="0.25">
      <c r="K1100" s="15">
        <v>5089</v>
      </c>
    </row>
    <row r="1101" spans="11:11" x14ac:dyDescent="0.25">
      <c r="K1101" s="15">
        <v>5089</v>
      </c>
    </row>
    <row r="1102" spans="11:11" x14ac:dyDescent="0.25">
      <c r="K1102" s="15">
        <v>5089</v>
      </c>
    </row>
    <row r="1103" spans="11:11" x14ac:dyDescent="0.25">
      <c r="K1103" s="15">
        <v>5089</v>
      </c>
    </row>
    <row r="1104" spans="11:11" x14ac:dyDescent="0.25">
      <c r="K1104" s="15">
        <v>5089</v>
      </c>
    </row>
    <row r="1105" spans="11:11" x14ac:dyDescent="0.25">
      <c r="K1105" s="15">
        <v>5094</v>
      </c>
    </row>
    <row r="1106" spans="11:11" x14ac:dyDescent="0.25">
      <c r="K1106" s="15">
        <v>5094</v>
      </c>
    </row>
    <row r="1107" spans="11:11" x14ac:dyDescent="0.25">
      <c r="K1107" s="15">
        <v>5094</v>
      </c>
    </row>
    <row r="1108" spans="11:11" x14ac:dyDescent="0.25">
      <c r="K1108" s="15">
        <v>5094</v>
      </c>
    </row>
    <row r="1109" spans="11:11" x14ac:dyDescent="0.25">
      <c r="K1109" s="15">
        <v>5094</v>
      </c>
    </row>
    <row r="1110" spans="11:11" x14ac:dyDescent="0.25">
      <c r="K1110" s="15">
        <v>5094</v>
      </c>
    </row>
    <row r="1111" spans="11:11" x14ac:dyDescent="0.25">
      <c r="K1111" s="15">
        <v>5094</v>
      </c>
    </row>
    <row r="1112" spans="11:11" x14ac:dyDescent="0.25">
      <c r="K1112" s="15">
        <v>5094</v>
      </c>
    </row>
    <row r="1113" spans="11:11" x14ac:dyDescent="0.25">
      <c r="K1113" s="15">
        <v>5094</v>
      </c>
    </row>
    <row r="1114" spans="11:11" x14ac:dyDescent="0.25">
      <c r="K1114" s="15">
        <v>5094</v>
      </c>
    </row>
    <row r="1115" spans="11:11" x14ac:dyDescent="0.25">
      <c r="K1115" s="15">
        <v>5094</v>
      </c>
    </row>
    <row r="1116" spans="11:11" x14ac:dyDescent="0.25">
      <c r="K1116" s="15">
        <v>5094</v>
      </c>
    </row>
    <row r="1117" spans="11:11" x14ac:dyDescent="0.25">
      <c r="K1117" s="15">
        <v>5094</v>
      </c>
    </row>
    <row r="1118" spans="11:11" x14ac:dyDescent="0.25">
      <c r="K1118" s="15">
        <v>5094</v>
      </c>
    </row>
    <row r="1119" spans="11:11" x14ac:dyDescent="0.25">
      <c r="K1119" s="15">
        <v>5094</v>
      </c>
    </row>
    <row r="1120" spans="11:11" x14ac:dyDescent="0.25">
      <c r="K1120" s="15">
        <v>5094</v>
      </c>
    </row>
    <row r="1121" spans="11:11" x14ac:dyDescent="0.25">
      <c r="K1121" s="15">
        <v>5094</v>
      </c>
    </row>
    <row r="1122" spans="11:11" x14ac:dyDescent="0.25">
      <c r="K1122" s="15">
        <v>5094</v>
      </c>
    </row>
    <row r="1123" spans="11:11" x14ac:dyDescent="0.25">
      <c r="K1123" s="15">
        <v>5094</v>
      </c>
    </row>
    <row r="1124" spans="11:11" x14ac:dyDescent="0.25">
      <c r="K1124" s="15">
        <v>5094</v>
      </c>
    </row>
    <row r="1125" spans="11:11" x14ac:dyDescent="0.25">
      <c r="K1125" s="15">
        <v>5094</v>
      </c>
    </row>
    <row r="1126" spans="11:11" x14ac:dyDescent="0.25">
      <c r="K1126" s="15">
        <v>5094</v>
      </c>
    </row>
    <row r="1127" spans="11:11" x14ac:dyDescent="0.25">
      <c r="K1127" s="15">
        <v>5094</v>
      </c>
    </row>
    <row r="1128" spans="11:11" x14ac:dyDescent="0.25">
      <c r="K1128" s="15">
        <v>5094</v>
      </c>
    </row>
    <row r="1129" spans="11:11" x14ac:dyDescent="0.25">
      <c r="K1129" s="15">
        <v>312</v>
      </c>
    </row>
    <row r="1130" spans="11:11" x14ac:dyDescent="0.25">
      <c r="K1130" s="15">
        <v>312</v>
      </c>
    </row>
    <row r="1131" spans="11:11" x14ac:dyDescent="0.25">
      <c r="K1131" s="15">
        <v>312</v>
      </c>
    </row>
    <row r="1132" spans="11:11" x14ac:dyDescent="0.25">
      <c r="K1132" s="15">
        <v>312</v>
      </c>
    </row>
    <row r="1133" spans="11:11" x14ac:dyDescent="0.25">
      <c r="K1133" s="15">
        <v>313</v>
      </c>
    </row>
    <row r="1134" spans="11:11" x14ac:dyDescent="0.25">
      <c r="K1134" s="15">
        <v>313</v>
      </c>
    </row>
    <row r="1135" spans="11:11" x14ac:dyDescent="0.25">
      <c r="K1135" s="15">
        <v>313</v>
      </c>
    </row>
    <row r="1136" spans="11:11" x14ac:dyDescent="0.25">
      <c r="K1136" s="15">
        <v>313</v>
      </c>
    </row>
    <row r="1137" spans="11:11" x14ac:dyDescent="0.25">
      <c r="K1137" s="15">
        <v>314</v>
      </c>
    </row>
    <row r="1138" spans="11:11" x14ac:dyDescent="0.25">
      <c r="K1138" s="15">
        <v>314</v>
      </c>
    </row>
    <row r="1139" spans="11:11" x14ac:dyDescent="0.25">
      <c r="K1139" s="15">
        <v>314</v>
      </c>
    </row>
    <row r="1140" spans="11:11" x14ac:dyDescent="0.25">
      <c r="K1140" s="15">
        <v>419</v>
      </c>
    </row>
    <row r="1141" spans="11:11" x14ac:dyDescent="0.25">
      <c r="K1141" s="15">
        <v>419</v>
      </c>
    </row>
    <row r="1142" spans="11:11" x14ac:dyDescent="0.25">
      <c r="K1142" s="15">
        <v>419</v>
      </c>
    </row>
    <row r="1143" spans="11:11" x14ac:dyDescent="0.25">
      <c r="K1143" s="15">
        <v>418</v>
      </c>
    </row>
    <row r="1144" spans="11:11" x14ac:dyDescent="0.25">
      <c r="K1144" s="15">
        <v>418</v>
      </c>
    </row>
    <row r="1145" spans="11:11" x14ac:dyDescent="0.25">
      <c r="K1145" s="15">
        <v>418</v>
      </c>
    </row>
    <row r="1146" spans="11:11" x14ac:dyDescent="0.25">
      <c r="K1146" s="15">
        <v>57</v>
      </c>
    </row>
    <row r="1147" spans="11:11" x14ac:dyDescent="0.25">
      <c r="K1147" s="15">
        <v>57</v>
      </c>
    </row>
    <row r="1148" spans="11:11" x14ac:dyDescent="0.25">
      <c r="K1148" s="15">
        <v>57</v>
      </c>
    </row>
    <row r="1149" spans="11:11" x14ac:dyDescent="0.25">
      <c r="K1149" s="15">
        <v>57</v>
      </c>
    </row>
    <row r="1150" spans="11:11" x14ac:dyDescent="0.25">
      <c r="K1150" s="15">
        <v>62</v>
      </c>
    </row>
    <row r="1151" spans="11:11" x14ac:dyDescent="0.25">
      <c r="K1151" s="15">
        <v>62</v>
      </c>
    </row>
    <row r="1152" spans="11:11" x14ac:dyDescent="0.25">
      <c r="K1152" s="15">
        <v>62</v>
      </c>
    </row>
    <row r="1153" spans="11:11" x14ac:dyDescent="0.25">
      <c r="K1153" s="15">
        <v>62</v>
      </c>
    </row>
    <row r="1154" spans="11:11" x14ac:dyDescent="0.25">
      <c r="K1154" s="15" t="s">
        <v>171</v>
      </c>
    </row>
    <row r="1155" spans="11:11" x14ac:dyDescent="0.25">
      <c r="K1155" s="15" t="s">
        <v>171</v>
      </c>
    </row>
    <row r="1156" spans="11:11" x14ac:dyDescent="0.25">
      <c r="K1156" s="15" t="s">
        <v>171</v>
      </c>
    </row>
    <row r="1157" spans="11:11" x14ac:dyDescent="0.25">
      <c r="K1157" s="15" t="s">
        <v>171</v>
      </c>
    </row>
    <row r="1158" spans="11:11" x14ac:dyDescent="0.25">
      <c r="K1158" s="15">
        <v>2329</v>
      </c>
    </row>
    <row r="1159" spans="11:11" x14ac:dyDescent="0.25">
      <c r="K1159" s="15">
        <v>2329</v>
      </c>
    </row>
    <row r="1160" spans="11:11" x14ac:dyDescent="0.25">
      <c r="K1160" s="15">
        <v>2329</v>
      </c>
    </row>
    <row r="1161" spans="11:11" x14ac:dyDescent="0.25">
      <c r="K1161" s="15">
        <v>26312</v>
      </c>
    </row>
    <row r="1162" spans="11:11" x14ac:dyDescent="0.25">
      <c r="K1162" s="15">
        <v>26312</v>
      </c>
    </row>
    <row r="1163" spans="11:11" x14ac:dyDescent="0.25">
      <c r="K1163" s="15">
        <v>26312</v>
      </c>
    </row>
    <row r="1164" spans="11:11" x14ac:dyDescent="0.25">
      <c r="K1164" s="15">
        <v>26312</v>
      </c>
    </row>
    <row r="1165" spans="11:11" x14ac:dyDescent="0.25">
      <c r="K1165" s="15">
        <v>26312</v>
      </c>
    </row>
    <row r="1166" spans="11:11" x14ac:dyDescent="0.25">
      <c r="K1166" s="15">
        <v>26312</v>
      </c>
    </row>
    <row r="1167" spans="11:11" x14ac:dyDescent="0.25">
      <c r="K1167" s="15">
        <v>26314</v>
      </c>
    </row>
    <row r="1168" spans="11:11" x14ac:dyDescent="0.25">
      <c r="K1168" s="15">
        <v>26314</v>
      </c>
    </row>
    <row r="1169" spans="11:11" x14ac:dyDescent="0.25">
      <c r="K1169" s="15">
        <v>26314</v>
      </c>
    </row>
    <row r="1170" spans="11:11" x14ac:dyDescent="0.25">
      <c r="K1170" s="15">
        <v>26314</v>
      </c>
    </row>
    <row r="1171" spans="11:11" x14ac:dyDescent="0.25">
      <c r="K1171" s="15">
        <v>26314</v>
      </c>
    </row>
    <row r="1172" spans="11:11" x14ac:dyDescent="0.25">
      <c r="K1172" s="15">
        <v>26314</v>
      </c>
    </row>
    <row r="1173" spans="11:11" x14ac:dyDescent="0.25">
      <c r="K1173" s="15">
        <v>26007</v>
      </c>
    </row>
    <row r="1174" spans="11:11" x14ac:dyDescent="0.25">
      <c r="K1174" s="15">
        <v>26007</v>
      </c>
    </row>
    <row r="1175" spans="11:11" x14ac:dyDescent="0.25">
      <c r="K1175" s="15">
        <v>26007</v>
      </c>
    </row>
    <row r="1176" spans="11:11" x14ac:dyDescent="0.25">
      <c r="K1176" s="15">
        <v>26007</v>
      </c>
    </row>
    <row r="1177" spans="11:11" x14ac:dyDescent="0.25">
      <c r="K1177" s="15">
        <v>26009</v>
      </c>
    </row>
    <row r="1178" spans="11:11" x14ac:dyDescent="0.25">
      <c r="K1178" s="15">
        <v>26009</v>
      </c>
    </row>
    <row r="1179" spans="11:11" x14ac:dyDescent="0.25">
      <c r="K1179" s="15">
        <v>26009</v>
      </c>
    </row>
    <row r="1180" spans="11:11" x14ac:dyDescent="0.25">
      <c r="K1180" s="15">
        <v>26009</v>
      </c>
    </row>
    <row r="1181" spans="11:11" x14ac:dyDescent="0.25">
      <c r="K1181" s="15">
        <v>26114</v>
      </c>
    </row>
    <row r="1182" spans="11:11" x14ac:dyDescent="0.25">
      <c r="K1182" s="15">
        <v>26114</v>
      </c>
    </row>
    <row r="1183" spans="11:11" x14ac:dyDescent="0.25">
      <c r="K1183" s="15">
        <v>26114</v>
      </c>
    </row>
    <row r="1184" spans="11:11" x14ac:dyDescent="0.25">
      <c r="K1184" s="15">
        <v>26114</v>
      </c>
    </row>
    <row r="1185" spans="11:11" x14ac:dyDescent="0.25">
      <c r="K1185" s="15">
        <v>26164</v>
      </c>
    </row>
    <row r="1186" spans="11:11" x14ac:dyDescent="0.25">
      <c r="K1186" s="15">
        <v>26164</v>
      </c>
    </row>
    <row r="1187" spans="11:11" x14ac:dyDescent="0.25">
      <c r="K1187" s="15">
        <v>26164</v>
      </c>
    </row>
    <row r="1188" spans="11:11" x14ac:dyDescent="0.25">
      <c r="K1188" s="15">
        <v>26164</v>
      </c>
    </row>
    <row r="1189" spans="11:11" x14ac:dyDescent="0.25">
      <c r="K1189" s="15">
        <v>339</v>
      </c>
    </row>
    <row r="1190" spans="11:11" x14ac:dyDescent="0.25">
      <c r="K1190" s="15">
        <v>339</v>
      </c>
    </row>
    <row r="1191" spans="11:11" x14ac:dyDescent="0.25">
      <c r="K1191" s="15">
        <v>339</v>
      </c>
    </row>
    <row r="1192" spans="11:11" x14ac:dyDescent="0.25">
      <c r="K1192" s="15">
        <v>336</v>
      </c>
    </row>
    <row r="1193" spans="11:11" x14ac:dyDescent="0.25">
      <c r="K1193" s="15">
        <v>336</v>
      </c>
    </row>
    <row r="1194" spans="11:11" x14ac:dyDescent="0.25">
      <c r="K1194" s="15">
        <v>336</v>
      </c>
    </row>
    <row r="1195" spans="11:11" x14ac:dyDescent="0.25">
      <c r="K1195" s="15">
        <v>343</v>
      </c>
    </row>
    <row r="1196" spans="11:11" x14ac:dyDescent="0.25">
      <c r="K1196" s="15">
        <v>343</v>
      </c>
    </row>
    <row r="1197" spans="11:11" x14ac:dyDescent="0.25">
      <c r="K1197" s="15">
        <v>343</v>
      </c>
    </row>
    <row r="1198" spans="11:11" x14ac:dyDescent="0.25">
      <c r="K1198" s="15">
        <v>343</v>
      </c>
    </row>
    <row r="1199" spans="11:11" x14ac:dyDescent="0.25">
      <c r="K1199" s="15">
        <v>450</v>
      </c>
    </row>
    <row r="1200" spans="11:11" x14ac:dyDescent="0.25">
      <c r="K1200" s="15">
        <v>450</v>
      </c>
    </row>
    <row r="1201" spans="11:11" x14ac:dyDescent="0.25">
      <c r="K1201" s="15">
        <v>450</v>
      </c>
    </row>
    <row r="1202" spans="11:11" x14ac:dyDescent="0.25">
      <c r="K1202" s="15">
        <v>124</v>
      </c>
    </row>
    <row r="1203" spans="11:11" x14ac:dyDescent="0.25">
      <c r="K1203" s="15">
        <v>124</v>
      </c>
    </row>
    <row r="1204" spans="11:11" x14ac:dyDescent="0.25">
      <c r="K1204" s="15">
        <v>124</v>
      </c>
    </row>
    <row r="1205" spans="11:11" x14ac:dyDescent="0.25">
      <c r="K1205" s="15">
        <v>124</v>
      </c>
    </row>
    <row r="1206" spans="11:11" x14ac:dyDescent="0.25">
      <c r="K1206" s="15">
        <v>132</v>
      </c>
    </row>
    <row r="1207" spans="11:11" x14ac:dyDescent="0.25">
      <c r="K1207" s="15">
        <v>132</v>
      </c>
    </row>
    <row r="1208" spans="11:11" x14ac:dyDescent="0.25">
      <c r="K1208" s="15">
        <v>132</v>
      </c>
    </row>
    <row r="1209" spans="11:11" x14ac:dyDescent="0.25">
      <c r="K1209" s="15">
        <v>132</v>
      </c>
    </row>
    <row r="1210" spans="11:11" x14ac:dyDescent="0.25">
      <c r="K1210" s="15">
        <v>129</v>
      </c>
    </row>
    <row r="1211" spans="11:11" x14ac:dyDescent="0.25">
      <c r="K1211" s="15">
        <v>129</v>
      </c>
    </row>
    <row r="1212" spans="11:11" x14ac:dyDescent="0.25">
      <c r="K1212" s="15">
        <v>129</v>
      </c>
    </row>
    <row r="1213" spans="11:11" x14ac:dyDescent="0.25">
      <c r="K1213" s="15">
        <v>129</v>
      </c>
    </row>
    <row r="1214" spans="11:11" x14ac:dyDescent="0.25">
      <c r="K1214" s="15">
        <v>3451</v>
      </c>
    </row>
    <row r="1215" spans="11:11" x14ac:dyDescent="0.25">
      <c r="K1215" s="15">
        <v>3451</v>
      </c>
    </row>
    <row r="1216" spans="11:11" x14ac:dyDescent="0.25">
      <c r="K1216" s="15">
        <v>3451</v>
      </c>
    </row>
    <row r="1217" spans="11:11" x14ac:dyDescent="0.25">
      <c r="K1217" s="15">
        <v>3451</v>
      </c>
    </row>
    <row r="1218" spans="11:11" x14ac:dyDescent="0.25">
      <c r="K1218" s="15">
        <v>3452</v>
      </c>
    </row>
    <row r="1219" spans="11:11" x14ac:dyDescent="0.25">
      <c r="K1219" s="15">
        <v>3452</v>
      </c>
    </row>
    <row r="1220" spans="11:11" x14ac:dyDescent="0.25">
      <c r="K1220" s="15">
        <v>3452</v>
      </c>
    </row>
    <row r="1221" spans="11:11" x14ac:dyDescent="0.25">
      <c r="K1221" s="15">
        <v>3426</v>
      </c>
    </row>
    <row r="1222" spans="11:11" x14ac:dyDescent="0.25">
      <c r="K1222" s="15">
        <v>3426</v>
      </c>
    </row>
    <row r="1223" spans="11:11" x14ac:dyDescent="0.25">
      <c r="K1223" s="15">
        <v>3426</v>
      </c>
    </row>
    <row r="1224" spans="11:11" x14ac:dyDescent="0.25">
      <c r="K1224" s="15">
        <v>3426</v>
      </c>
    </row>
    <row r="1225" spans="11:11" x14ac:dyDescent="0.25">
      <c r="K1225" s="15">
        <v>3436</v>
      </c>
    </row>
    <row r="1226" spans="11:11" x14ac:dyDescent="0.25">
      <c r="K1226" s="15">
        <v>3436</v>
      </c>
    </row>
    <row r="1227" spans="11:11" x14ac:dyDescent="0.25">
      <c r="K1227" s="15">
        <v>3436</v>
      </c>
    </row>
    <row r="1228" spans="11:11" x14ac:dyDescent="0.25">
      <c r="K1228" s="15">
        <v>3436</v>
      </c>
    </row>
    <row r="1229" spans="11:11" x14ac:dyDescent="0.25">
      <c r="K1229" s="15">
        <v>3437</v>
      </c>
    </row>
    <row r="1230" spans="11:11" x14ac:dyDescent="0.25">
      <c r="K1230" s="15">
        <v>3437</v>
      </c>
    </row>
    <row r="1231" spans="11:11" x14ac:dyDescent="0.25">
      <c r="K1231" s="15">
        <v>3437</v>
      </c>
    </row>
    <row r="1232" spans="11:11" x14ac:dyDescent="0.25">
      <c r="K1232" s="15">
        <v>3438</v>
      </c>
    </row>
    <row r="1233" spans="11:11" x14ac:dyDescent="0.25">
      <c r="K1233" s="15">
        <v>3438</v>
      </c>
    </row>
    <row r="1234" spans="11:11" x14ac:dyDescent="0.25">
      <c r="K1234" s="15">
        <v>3438</v>
      </c>
    </row>
    <row r="1235" spans="11:11" x14ac:dyDescent="0.25">
      <c r="K1235" s="15">
        <v>3432</v>
      </c>
    </row>
    <row r="1236" spans="11:11" x14ac:dyDescent="0.25">
      <c r="K1236" s="15">
        <v>3432</v>
      </c>
    </row>
    <row r="1237" spans="11:11" x14ac:dyDescent="0.25">
      <c r="K1237" s="15">
        <v>3432</v>
      </c>
    </row>
    <row r="1238" spans="11:11" x14ac:dyDescent="0.25">
      <c r="K1238" s="15">
        <v>3432</v>
      </c>
    </row>
    <row r="1239" spans="11:11" x14ac:dyDescent="0.25">
      <c r="K1239" s="15">
        <v>814</v>
      </c>
    </row>
    <row r="1240" spans="11:11" x14ac:dyDescent="0.25">
      <c r="K1240" s="15">
        <v>814</v>
      </c>
    </row>
    <row r="1241" spans="11:11" x14ac:dyDescent="0.25">
      <c r="K1241" s="15">
        <v>814</v>
      </c>
    </row>
    <row r="1242" spans="11:11" x14ac:dyDescent="0.25">
      <c r="K1242" s="15">
        <v>814</v>
      </c>
    </row>
    <row r="1243" spans="11:11" x14ac:dyDescent="0.25">
      <c r="K1243" s="15">
        <v>1101</v>
      </c>
    </row>
    <row r="1244" spans="11:11" x14ac:dyDescent="0.25">
      <c r="K1244" s="15">
        <v>1101</v>
      </c>
    </row>
    <row r="1245" spans="11:11" x14ac:dyDescent="0.25">
      <c r="K1245" s="15">
        <v>1101</v>
      </c>
    </row>
    <row r="1246" spans="11:11" x14ac:dyDescent="0.25">
      <c r="K1246" s="15">
        <v>1101</v>
      </c>
    </row>
    <row r="1247" spans="11:11" x14ac:dyDescent="0.25">
      <c r="K1247" s="15">
        <v>7128</v>
      </c>
    </row>
    <row r="1248" spans="11:11" x14ac:dyDescent="0.25">
      <c r="K1248" s="15">
        <v>7128</v>
      </c>
    </row>
    <row r="1249" spans="11:11" x14ac:dyDescent="0.25">
      <c r="K1249" s="15">
        <v>7128</v>
      </c>
    </row>
    <row r="1250" spans="11:11" x14ac:dyDescent="0.25">
      <c r="K1250" s="15">
        <v>7128</v>
      </c>
    </row>
    <row r="1251" spans="11:11" x14ac:dyDescent="0.25">
      <c r="K1251" s="15">
        <v>7122</v>
      </c>
    </row>
    <row r="1252" spans="11:11" x14ac:dyDescent="0.25">
      <c r="K1252" s="15">
        <v>7122</v>
      </c>
    </row>
    <row r="1253" spans="11:11" x14ac:dyDescent="0.25">
      <c r="K1253" s="15">
        <v>7122</v>
      </c>
    </row>
    <row r="1254" spans="11:11" x14ac:dyDescent="0.25">
      <c r="K1254" s="15">
        <v>7122</v>
      </c>
    </row>
    <row r="1255" spans="11:11" x14ac:dyDescent="0.25">
      <c r="K1255" s="15">
        <v>662</v>
      </c>
    </row>
    <row r="1256" spans="11:11" x14ac:dyDescent="0.25">
      <c r="K1256" s="15">
        <v>662</v>
      </c>
    </row>
    <row r="1257" spans="11:11" x14ac:dyDescent="0.25">
      <c r="K1257" s="15">
        <v>662</v>
      </c>
    </row>
    <row r="1258" spans="11:11" x14ac:dyDescent="0.25">
      <c r="K1258" s="15">
        <v>476</v>
      </c>
    </row>
    <row r="1259" spans="11:11" x14ac:dyDescent="0.25">
      <c r="K1259" s="15">
        <v>476</v>
      </c>
    </row>
    <row r="1260" spans="11:11" x14ac:dyDescent="0.25">
      <c r="K1260" s="15">
        <v>476</v>
      </c>
    </row>
    <row r="1261" spans="11:11" x14ac:dyDescent="0.25">
      <c r="K1261" s="15">
        <v>576</v>
      </c>
    </row>
    <row r="1262" spans="11:11" x14ac:dyDescent="0.25">
      <c r="K1262" s="15">
        <v>576</v>
      </c>
    </row>
    <row r="1263" spans="11:11" x14ac:dyDescent="0.25">
      <c r="K1263" s="15">
        <v>576</v>
      </c>
    </row>
    <row r="1264" spans="11:11" x14ac:dyDescent="0.25">
      <c r="K1264" s="15">
        <v>576</v>
      </c>
    </row>
    <row r="1265" spans="11:11" x14ac:dyDescent="0.25">
      <c r="K1265" s="15">
        <v>676</v>
      </c>
    </row>
    <row r="1266" spans="11:11" x14ac:dyDescent="0.25">
      <c r="K1266" s="15">
        <v>676</v>
      </c>
    </row>
    <row r="1267" spans="11:11" x14ac:dyDescent="0.25">
      <c r="K1267" s="15">
        <v>676</v>
      </c>
    </row>
    <row r="1268" spans="11:11" x14ac:dyDescent="0.25">
      <c r="K1268" s="15">
        <v>475</v>
      </c>
    </row>
    <row r="1269" spans="11:11" x14ac:dyDescent="0.25">
      <c r="K1269" s="15">
        <v>475</v>
      </c>
    </row>
    <row r="1270" spans="11:11" x14ac:dyDescent="0.25">
      <c r="K1270" s="15">
        <v>475</v>
      </c>
    </row>
    <row r="1271" spans="11:11" x14ac:dyDescent="0.25">
      <c r="K1271" s="15">
        <v>575</v>
      </c>
    </row>
    <row r="1272" spans="11:11" x14ac:dyDescent="0.25">
      <c r="K1272" s="15">
        <v>575</v>
      </c>
    </row>
    <row r="1273" spans="11:11" x14ac:dyDescent="0.25">
      <c r="K1273" s="15">
        <v>575</v>
      </c>
    </row>
    <row r="1274" spans="11:11" x14ac:dyDescent="0.25">
      <c r="K1274" s="15">
        <v>575</v>
      </c>
    </row>
    <row r="1275" spans="11:11" x14ac:dyDescent="0.25">
      <c r="K1275" s="15">
        <v>481</v>
      </c>
    </row>
    <row r="1276" spans="11:11" x14ac:dyDescent="0.25">
      <c r="K1276" s="15">
        <v>481</v>
      </c>
    </row>
    <row r="1277" spans="11:11" x14ac:dyDescent="0.25">
      <c r="K1277" s="15">
        <v>481</v>
      </c>
    </row>
    <row r="1278" spans="11:11" x14ac:dyDescent="0.25">
      <c r="K1278" s="15">
        <v>581</v>
      </c>
    </row>
    <row r="1279" spans="11:11" x14ac:dyDescent="0.25">
      <c r="K1279" s="15">
        <v>581</v>
      </c>
    </row>
    <row r="1280" spans="11:11" x14ac:dyDescent="0.25">
      <c r="K1280" s="15">
        <v>581</v>
      </c>
    </row>
    <row r="1281" spans="11:11" x14ac:dyDescent="0.25">
      <c r="K1281" s="15">
        <v>581</v>
      </c>
    </row>
    <row r="1282" spans="11:11" x14ac:dyDescent="0.25">
      <c r="K1282" s="15">
        <v>9040</v>
      </c>
    </row>
    <row r="1283" spans="11:11" x14ac:dyDescent="0.25">
      <c r="K1283" s="15">
        <v>9040</v>
      </c>
    </row>
    <row r="1284" spans="11:11" x14ac:dyDescent="0.25">
      <c r="K1284" s="15">
        <v>9040</v>
      </c>
    </row>
    <row r="1285" spans="11:11" x14ac:dyDescent="0.25">
      <c r="K1285" s="15" t="s">
        <v>134</v>
      </c>
    </row>
    <row r="1286" spans="11:11" x14ac:dyDescent="0.25">
      <c r="K1286" s="15" t="s">
        <v>134</v>
      </c>
    </row>
    <row r="1287" spans="11:11" x14ac:dyDescent="0.25">
      <c r="K1287" s="15" t="s">
        <v>134</v>
      </c>
    </row>
    <row r="1288" spans="11:11" x14ac:dyDescent="0.25">
      <c r="K1288" s="15">
        <v>1201</v>
      </c>
    </row>
    <row r="1289" spans="11:11" x14ac:dyDescent="0.25">
      <c r="K1289" s="15">
        <v>1201</v>
      </c>
    </row>
    <row r="1290" spans="11:11" x14ac:dyDescent="0.25">
      <c r="K1290" s="15">
        <v>1201</v>
      </c>
    </row>
    <row r="1291" spans="11:11" x14ac:dyDescent="0.25">
      <c r="K1291" s="15">
        <v>504</v>
      </c>
    </row>
    <row r="1292" spans="11:11" x14ac:dyDescent="0.25">
      <c r="K1292" s="15">
        <v>504</v>
      </c>
    </row>
    <row r="1293" spans="11:11" x14ac:dyDescent="0.25">
      <c r="K1293" s="15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43B3-8D46-42F5-8D61-2783CA686803}">
  <dimension ref="A1:B1"/>
  <sheetViews>
    <sheetView workbookViewId="0">
      <selection sqref="A1:A1292"/>
    </sheetView>
  </sheetViews>
  <sheetFormatPr defaultColWidth="10.85546875" defaultRowHeight="15" x14ac:dyDescent="0.25"/>
  <cols>
    <col min="1" max="1" width="19.42578125" style="15" bestFit="1" customWidth="1"/>
    <col min="2" max="2" width="8.42578125" style="12" bestFit="1" customWidth="1"/>
    <col min="3" max="16384" width="10.85546875" style="12"/>
  </cols>
  <sheetData>
    <row r="1" spans="2:2" x14ac:dyDescent="0.25">
      <c r="B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import_ready-23-8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AFKO-MONJED</dc:creator>
  <cp:lastModifiedBy>Monjed Hasan</cp:lastModifiedBy>
  <dcterms:created xsi:type="dcterms:W3CDTF">2026-08-25T05:20:37Z</dcterms:created>
  <dcterms:modified xsi:type="dcterms:W3CDTF">2026-08-25T10:39:46Z</dcterms:modified>
</cp:coreProperties>
</file>